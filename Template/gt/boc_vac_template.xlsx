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alary2\Scan2Excel-AI\Template\gt\"/>
    </mc:Choice>
  </mc:AlternateContent>
  <xr:revisionPtr revIDLastSave="0" documentId="13_ncr:1_{7607DCDA-9295-49F8-8E38-8A4E37963B75}" xr6:coauthVersionLast="47" xr6:coauthVersionMax="47" xr10:uidLastSave="{00000000-0000-0000-0000-000000000000}"/>
  <bookViews>
    <workbookView xWindow="14400" yWindow="0" windowWidth="14400" windowHeight="15600" tabRatio="599" xr2:uid="{00000000-000D-0000-FFFF-FFFF00000000}"/>
  </bookViews>
  <sheets>
    <sheet name="Bang TH nop" sheetId="2" r:id="rId1"/>
    <sheet name="LƯƠNG Tx" sheetId="3" r:id="rId2"/>
    <sheet name="Phieu lương" sheetId="5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Order1" hidden="1">255</definedName>
    <definedName name="_Order2" hidden="1">255</definedName>
    <definedName name="HTML_CodePage" hidden="1">950</definedName>
    <definedName name="HTML_Control" localSheetId="1" hidden="1">{"'Sheet1'!$L$16"}</definedName>
    <definedName name="HTML_Control" localSheetId="2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Title" hidden="1">"00Q3961-SUM"</definedName>
    <definedName name="huy" localSheetId="1" hidden="1">{"'Sheet1'!$L$16"}</definedName>
    <definedName name="huy" localSheetId="2" hidden="1">{"'Sheet1'!$L$16"}</definedName>
    <definedName name="huy" hidden="1">{"'Sheet1'!$L$16"}</definedName>
    <definedName name="_xlnm.Print_Area" localSheetId="2">'Phieu lương'!$A$1:$W$259</definedName>
    <definedName name="_xlnm.Print_Area">#REF!</definedName>
    <definedName name="_xlnm.Print_Titles" localSheetId="0">'Bang TH nop'!$4:$4</definedName>
    <definedName name="_xlnm.Print_Titles" localSheetId="1">'LƯƠNG Tx'!$6:$8</definedName>
    <definedName name="_xlnm.Print_Titles" localSheetId="2">#REF!</definedName>
    <definedName name="_xlnm.Print_Titles">#REF!</definedName>
    <definedName name="TaxTV">10%</definedName>
    <definedName name="TaxXL">5%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1" i="2" l="1"/>
  <c r="P13" i="3" s="1"/>
  <c r="O13" i="2"/>
  <c r="P15" i="3" s="1"/>
  <c r="P108" i="3" s="1"/>
  <c r="O15" i="2"/>
  <c r="P17" i="3" s="1"/>
  <c r="O17" i="2"/>
  <c r="O19" i="2"/>
  <c r="O21" i="2"/>
  <c r="O23" i="2"/>
  <c r="O25" i="2"/>
  <c r="O27" i="2"/>
  <c r="O29" i="2"/>
  <c r="O31" i="2"/>
  <c r="O9" i="2"/>
  <c r="N11" i="2"/>
  <c r="O13" i="3" s="1"/>
  <c r="N13" i="2"/>
  <c r="O15" i="3" s="1"/>
  <c r="O108" i="3" s="1"/>
  <c r="N15" i="2"/>
  <c r="O17" i="3" s="1"/>
  <c r="N17" i="2"/>
  <c r="N19" i="2"/>
  <c r="N21" i="2"/>
  <c r="N23" i="2"/>
  <c r="N25" i="2"/>
  <c r="N27" i="2"/>
  <c r="N29" i="2"/>
  <c r="N31" i="2"/>
  <c r="N9" i="2"/>
  <c r="O11" i="3" s="1"/>
  <c r="B10" i="3"/>
  <c r="C10" i="3"/>
  <c r="D10" i="3"/>
  <c r="H10" i="3"/>
  <c r="I10" i="3"/>
  <c r="J10" i="3"/>
  <c r="K10" i="3"/>
  <c r="D11" i="3"/>
  <c r="F11" i="3"/>
  <c r="H11" i="3"/>
  <c r="I11" i="3"/>
  <c r="J11" i="3"/>
  <c r="K11" i="3"/>
  <c r="M11" i="3"/>
  <c r="P11" i="3"/>
  <c r="Q11" i="3"/>
  <c r="R11" i="3"/>
  <c r="Y11" i="3"/>
  <c r="B12" i="3"/>
  <c r="C12" i="3"/>
  <c r="D12" i="3"/>
  <c r="H12" i="3"/>
  <c r="I12" i="3"/>
  <c r="J12" i="3"/>
  <c r="K12" i="3"/>
  <c r="D13" i="3"/>
  <c r="F13" i="3"/>
  <c r="H13" i="3"/>
  <c r="I13" i="3"/>
  <c r="J13" i="3"/>
  <c r="K13" i="3"/>
  <c r="M13" i="3"/>
  <c r="Q13" i="3"/>
  <c r="Y13" i="3"/>
  <c r="B14" i="3"/>
  <c r="C14" i="3"/>
  <c r="D14" i="3"/>
  <c r="H14" i="3"/>
  <c r="I14" i="3"/>
  <c r="J14" i="3"/>
  <c r="K14" i="3"/>
  <c r="D15" i="3"/>
  <c r="F15" i="3"/>
  <c r="H15" i="3"/>
  <c r="I15" i="3"/>
  <c r="J15" i="3"/>
  <c r="K15" i="3"/>
  <c r="M15" i="3"/>
  <c r="Q15" i="3"/>
  <c r="Y15" i="3"/>
  <c r="B16" i="3"/>
  <c r="C16" i="3"/>
  <c r="D16" i="3"/>
  <c r="H16" i="3"/>
  <c r="H17" i="3" s="1"/>
  <c r="I16" i="3"/>
  <c r="J16" i="3"/>
  <c r="K16" i="3"/>
  <c r="L16" i="3"/>
  <c r="D17" i="3"/>
  <c r="F17" i="3"/>
  <c r="I17" i="3"/>
  <c r="J17" i="3"/>
  <c r="K17" i="3"/>
  <c r="L17" i="3"/>
  <c r="M17" i="3"/>
  <c r="Q17" i="3"/>
  <c r="Y17" i="3"/>
  <c r="AB17" i="3"/>
  <c r="M108" i="3"/>
  <c r="I107" i="3"/>
  <c r="H107" i="3"/>
  <c r="R108" i="3"/>
  <c r="K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N108" i="3"/>
  <c r="Q108" i="3"/>
  <c r="S108" i="3"/>
  <c r="T108" i="3"/>
  <c r="U108" i="3"/>
  <c r="V108" i="3"/>
  <c r="W108" i="3"/>
  <c r="AB107" i="3"/>
  <c r="J34" i="3"/>
  <c r="J35" i="3" s="1"/>
  <c r="J36" i="3"/>
  <c r="J37" i="3"/>
  <c r="J38" i="3"/>
  <c r="J39" i="3" s="1"/>
  <c r="J40" i="3"/>
  <c r="J41" i="3" s="1"/>
  <c r="J42" i="3"/>
  <c r="J43" i="3" s="1"/>
  <c r="J44" i="3"/>
  <c r="J45" i="3" s="1"/>
  <c r="J46" i="3"/>
  <c r="J47" i="3" s="1"/>
  <c r="J48" i="3"/>
  <c r="J49" i="3" s="1"/>
  <c r="J50" i="3"/>
  <c r="J51" i="3" s="1"/>
  <c r="J52" i="3"/>
  <c r="J53" i="3" s="1"/>
  <c r="J54" i="3"/>
  <c r="J55" i="3" s="1"/>
  <c r="J56" i="3"/>
  <c r="J57" i="3" s="1"/>
  <c r="J58" i="3"/>
  <c r="J59" i="3" s="1"/>
  <c r="J60" i="3"/>
  <c r="J61" i="3" s="1"/>
  <c r="J62" i="3"/>
  <c r="J63" i="3" s="1"/>
  <c r="J64" i="3"/>
  <c r="J65" i="3" s="1"/>
  <c r="J66" i="3"/>
  <c r="J67" i="3" s="1"/>
  <c r="J68" i="3"/>
  <c r="J69" i="3" s="1"/>
  <c r="J70" i="3"/>
  <c r="J71" i="3" s="1"/>
  <c r="J72" i="3"/>
  <c r="J73" i="3" s="1"/>
  <c r="J74" i="3"/>
  <c r="J75" i="3" s="1"/>
  <c r="J76" i="3"/>
  <c r="J77" i="3" s="1"/>
  <c r="J78" i="3"/>
  <c r="J79" i="3" s="1"/>
  <c r="J80" i="3"/>
  <c r="J81" i="3" s="1"/>
  <c r="J82" i="3"/>
  <c r="J83" i="3" s="1"/>
  <c r="J84" i="3"/>
  <c r="J85" i="3" s="1"/>
  <c r="J86" i="3"/>
  <c r="J87" i="3" s="1"/>
  <c r="J88" i="3"/>
  <c r="J89" i="3" s="1"/>
  <c r="J90" i="3"/>
  <c r="J91" i="3" s="1"/>
  <c r="J92" i="3"/>
  <c r="J93" i="3" s="1"/>
  <c r="J94" i="3"/>
  <c r="J95" i="3" s="1"/>
  <c r="J96" i="3"/>
  <c r="J97" i="3" s="1"/>
  <c r="J98" i="3"/>
  <c r="J99" i="3" s="1"/>
  <c r="J100" i="3"/>
  <c r="J101" i="3" s="1"/>
  <c r="J102" i="3"/>
  <c r="J103" i="3" s="1"/>
  <c r="J104" i="3"/>
  <c r="J105" i="3" s="1"/>
  <c r="J106" i="3"/>
  <c r="F107" i="3"/>
  <c r="X17" i="3" l="1"/>
  <c r="Z108" i="3"/>
  <c r="AD17" i="3"/>
  <c r="AC17" i="3"/>
  <c r="F108" i="3"/>
  <c r="AE17" i="3" l="1"/>
  <c r="J108" i="3"/>
  <c r="AH19" i="3"/>
  <c r="AH21" i="3"/>
  <c r="AH23" i="3"/>
  <c r="AH25" i="3"/>
  <c r="AH27" i="3"/>
  <c r="AH29" i="3"/>
  <c r="AH31" i="3"/>
  <c r="AH33" i="3"/>
  <c r="AH35" i="3"/>
  <c r="AH37" i="3"/>
  <c r="AH39" i="3"/>
  <c r="AH41" i="3"/>
  <c r="AH43" i="3"/>
  <c r="AH45" i="3"/>
  <c r="AH47" i="3"/>
  <c r="AH49" i="3"/>
  <c r="AH51" i="3"/>
  <c r="AH53" i="3"/>
  <c r="AH55" i="3"/>
  <c r="AH57" i="3"/>
  <c r="AH59" i="3"/>
  <c r="AH61" i="3"/>
  <c r="AH63" i="3"/>
  <c r="AH65" i="3"/>
  <c r="AH67" i="3"/>
  <c r="AH69" i="3"/>
  <c r="AH71" i="3"/>
  <c r="AH73" i="3"/>
  <c r="AH75" i="3"/>
  <c r="AH77" i="3"/>
  <c r="AH79" i="3"/>
  <c r="AH81" i="3"/>
  <c r="AH83" i="3"/>
  <c r="AH85" i="3"/>
  <c r="AH87" i="3"/>
  <c r="AH89" i="3"/>
  <c r="AH91" i="3"/>
  <c r="AH93" i="3"/>
  <c r="AH95" i="3"/>
  <c r="AH97" i="3"/>
  <c r="AH99" i="3"/>
  <c r="AH101" i="3"/>
  <c r="AH103" i="3"/>
  <c r="AH105" i="3"/>
  <c r="AH17" i="3" l="1"/>
  <c r="AF17" i="3"/>
  <c r="AG17" i="3" s="1"/>
  <c r="AC19" i="3"/>
  <c r="AD19" i="3"/>
  <c r="AC21" i="3"/>
  <c r="AD21" i="3"/>
  <c r="AC23" i="3"/>
  <c r="AD23" i="3"/>
  <c r="AC25" i="3"/>
  <c r="AD25" i="3"/>
  <c r="AC27" i="3"/>
  <c r="AD27" i="3"/>
  <c r="AC29" i="3"/>
  <c r="AD29" i="3"/>
  <c r="AC31" i="3"/>
  <c r="AD31" i="3"/>
  <c r="AC33" i="3"/>
  <c r="AD33" i="3"/>
  <c r="AC35" i="3"/>
  <c r="AD35" i="3"/>
  <c r="AC37" i="3"/>
  <c r="AD37" i="3"/>
  <c r="AC39" i="3"/>
  <c r="AD39" i="3"/>
  <c r="AC41" i="3"/>
  <c r="AD41" i="3"/>
  <c r="AC43" i="3"/>
  <c r="AD43" i="3"/>
  <c r="AC45" i="3"/>
  <c r="AD45" i="3"/>
  <c r="AC47" i="3"/>
  <c r="AD47" i="3"/>
  <c r="AC49" i="3"/>
  <c r="AD49" i="3"/>
  <c r="AC51" i="3"/>
  <c r="AD51" i="3"/>
  <c r="AC53" i="3"/>
  <c r="AD53" i="3"/>
  <c r="AC55" i="3"/>
  <c r="AD55" i="3"/>
  <c r="AC57" i="3"/>
  <c r="AD57" i="3"/>
  <c r="AC59" i="3"/>
  <c r="AD59" i="3"/>
  <c r="AC61" i="3"/>
  <c r="AD61" i="3"/>
  <c r="AC63" i="3"/>
  <c r="AD63" i="3"/>
  <c r="AC65" i="3"/>
  <c r="AD65" i="3"/>
  <c r="AC67" i="3"/>
  <c r="AD67" i="3"/>
  <c r="AC69" i="3"/>
  <c r="AD69" i="3"/>
  <c r="AC71" i="3"/>
  <c r="AD71" i="3"/>
  <c r="AC73" i="3"/>
  <c r="AD73" i="3"/>
  <c r="AC75" i="3"/>
  <c r="AD75" i="3"/>
  <c r="AC77" i="3"/>
  <c r="AD77" i="3"/>
  <c r="AC79" i="3"/>
  <c r="AD79" i="3"/>
  <c r="AC81" i="3"/>
  <c r="AD81" i="3"/>
  <c r="AC83" i="3"/>
  <c r="AD83" i="3"/>
  <c r="AC85" i="3"/>
  <c r="AD85" i="3"/>
  <c r="AC87" i="3"/>
  <c r="AD87" i="3"/>
  <c r="AC89" i="3"/>
  <c r="AD89" i="3"/>
  <c r="AC91" i="3"/>
  <c r="AD91" i="3"/>
  <c r="AC93" i="3"/>
  <c r="AD93" i="3"/>
  <c r="AC95" i="3"/>
  <c r="AD95" i="3"/>
  <c r="AC97" i="3"/>
  <c r="AD97" i="3"/>
  <c r="AC99" i="3"/>
  <c r="AD99" i="3"/>
  <c r="AC101" i="3"/>
  <c r="AD101" i="3"/>
  <c r="AC103" i="3"/>
  <c r="AD103" i="3"/>
  <c r="AC105" i="3"/>
  <c r="AD105" i="3"/>
  <c r="AC15" i="3" l="1"/>
  <c r="AD15" i="3"/>
  <c r="AE15" i="3" l="1"/>
  <c r="I108" i="3"/>
  <c r="K108" i="3"/>
  <c r="AD11" i="3" l="1"/>
  <c r="AC11" i="3"/>
  <c r="AC13" i="3"/>
  <c r="AD13" i="3"/>
  <c r="Y108" i="3"/>
  <c r="H108" i="3"/>
  <c r="AA107" i="3"/>
  <c r="AE11" i="3" l="1"/>
  <c r="AE13" i="3"/>
  <c r="T11" i="2"/>
  <c r="L12" i="3" s="1"/>
  <c r="L13" i="3" s="1"/>
  <c r="X13" i="3" s="1"/>
  <c r="T13" i="2"/>
  <c r="L14" i="3" s="1"/>
  <c r="L15" i="3" s="1"/>
  <c r="X15" i="3" s="1"/>
  <c r="T9" i="2"/>
  <c r="L10" i="3" s="1"/>
  <c r="L11" i="3" s="1"/>
  <c r="X11" i="3" s="1"/>
  <c r="AB15" i="3" l="1"/>
  <c r="AB11" i="3"/>
  <c r="AB112" i="3" s="1"/>
  <c r="AB13" i="3"/>
  <c r="L107" i="3" l="1"/>
  <c r="AH13" i="3"/>
  <c r="AF13" i="3"/>
  <c r="AG13" i="3" s="1"/>
  <c r="AH11" i="3"/>
  <c r="AF11" i="3" s="1"/>
  <c r="AG11" i="3" s="1"/>
  <c r="AB108" i="3"/>
  <c r="L108" i="3"/>
  <c r="T1180" i="5"/>
  <c r="T1179" i="5"/>
  <c r="T1178" i="5"/>
  <c r="T1177" i="5"/>
  <c r="H1177" i="5"/>
  <c r="T1176" i="5"/>
  <c r="H1176" i="5"/>
  <c r="T1175" i="5"/>
  <c r="H1175" i="5"/>
  <c r="H1179" i="5" s="1"/>
  <c r="U1166" i="5"/>
  <c r="I1166" i="5"/>
  <c r="X1163" i="5"/>
  <c r="L1163" i="5"/>
  <c r="U1162" i="5"/>
  <c r="I1162" i="5"/>
  <c r="U1161" i="5"/>
  <c r="I1161" i="5"/>
  <c r="U1160" i="5"/>
  <c r="I1160" i="5"/>
  <c r="X1159" i="5"/>
  <c r="U1159" i="5"/>
  <c r="U1163" i="5" s="1"/>
  <c r="L1159" i="5"/>
  <c r="I1159" i="5"/>
  <c r="I1163" i="5" s="1"/>
  <c r="T1140" i="5"/>
  <c r="H1140" i="5"/>
  <c r="T1139" i="5"/>
  <c r="H1139" i="5"/>
  <c r="T1138" i="5"/>
  <c r="T1142" i="5" s="1"/>
  <c r="H1138" i="5"/>
  <c r="H1142" i="5" s="1"/>
  <c r="U1129" i="5"/>
  <c r="I1129" i="5"/>
  <c r="X1126" i="5"/>
  <c r="L1126" i="5"/>
  <c r="U1125" i="5"/>
  <c r="I1125" i="5"/>
  <c r="U1124" i="5"/>
  <c r="I1124" i="5"/>
  <c r="U1123" i="5"/>
  <c r="I1123" i="5"/>
  <c r="X1122" i="5"/>
  <c r="U1122" i="5"/>
  <c r="U1126" i="5" s="1"/>
  <c r="L1122" i="5"/>
  <c r="I1122" i="5"/>
  <c r="I1121" i="5" s="1"/>
  <c r="T1103" i="5"/>
  <c r="H1103" i="5"/>
  <c r="T1102" i="5"/>
  <c r="H1102" i="5"/>
  <c r="T1101" i="5"/>
  <c r="T1105" i="5" s="1"/>
  <c r="H1101" i="5"/>
  <c r="H1105" i="5" s="1"/>
  <c r="U1092" i="5"/>
  <c r="I1092" i="5"/>
  <c r="X1089" i="5"/>
  <c r="L1089" i="5"/>
  <c r="U1088" i="5"/>
  <c r="I1088" i="5"/>
  <c r="U1087" i="5"/>
  <c r="I1087" i="5"/>
  <c r="U1086" i="5"/>
  <c r="I1086" i="5"/>
  <c r="X1085" i="5"/>
  <c r="U1085" i="5"/>
  <c r="U1089" i="5" s="1"/>
  <c r="L1085" i="5"/>
  <c r="I1085" i="5"/>
  <c r="I1089" i="5" s="1"/>
  <c r="H1068" i="5"/>
  <c r="T1066" i="5"/>
  <c r="T1068" i="5" s="1"/>
  <c r="H1066" i="5"/>
  <c r="T1065" i="5"/>
  <c r="H1065" i="5"/>
  <c r="T1064" i="5"/>
  <c r="H1064" i="5"/>
  <c r="U1055" i="5"/>
  <c r="I1055" i="5"/>
  <c r="X1052" i="5"/>
  <c r="U1052" i="5"/>
  <c r="L1052" i="5"/>
  <c r="U1051" i="5"/>
  <c r="I1051" i="5"/>
  <c r="U1050" i="5"/>
  <c r="I1050" i="5"/>
  <c r="U1049" i="5"/>
  <c r="I1049" i="5"/>
  <c r="X1048" i="5"/>
  <c r="U1048" i="5"/>
  <c r="U1047" i="5" s="1"/>
  <c r="L1048" i="5"/>
  <c r="I1048" i="5"/>
  <c r="I1052" i="5" s="1"/>
  <c r="T1029" i="5"/>
  <c r="H1029" i="5"/>
  <c r="H1031" i="5" s="1"/>
  <c r="T1028" i="5"/>
  <c r="H1028" i="5"/>
  <c r="T1027" i="5"/>
  <c r="H1027" i="5"/>
  <c r="U1018" i="5"/>
  <c r="I1018" i="5"/>
  <c r="X1015" i="5"/>
  <c r="L1015" i="5"/>
  <c r="U1014" i="5"/>
  <c r="I1014" i="5"/>
  <c r="U1013" i="5"/>
  <c r="I1013" i="5"/>
  <c r="U1012" i="5"/>
  <c r="I1012" i="5"/>
  <c r="X1011" i="5"/>
  <c r="U1011" i="5"/>
  <c r="L1011" i="5"/>
  <c r="I1011" i="5"/>
  <c r="I1015" i="5" s="1"/>
  <c r="I1010" i="5"/>
  <c r="T992" i="5"/>
  <c r="H992" i="5"/>
  <c r="T991" i="5"/>
  <c r="H991" i="5"/>
  <c r="T990" i="5"/>
  <c r="T994" i="5" s="1"/>
  <c r="H990" i="5"/>
  <c r="U981" i="5"/>
  <c r="I981" i="5"/>
  <c r="X978" i="5"/>
  <c r="L978" i="5"/>
  <c r="U977" i="5"/>
  <c r="I977" i="5"/>
  <c r="U976" i="5"/>
  <c r="I976" i="5"/>
  <c r="U975" i="5"/>
  <c r="I975" i="5"/>
  <c r="X974" i="5"/>
  <c r="U974" i="5"/>
  <c r="U978" i="5" s="1"/>
  <c r="L974" i="5"/>
  <c r="I974" i="5"/>
  <c r="T955" i="5"/>
  <c r="H955" i="5"/>
  <c r="T954" i="5"/>
  <c r="H954" i="5"/>
  <c r="T953" i="5"/>
  <c r="T957" i="5" s="1"/>
  <c r="H953" i="5"/>
  <c r="H957" i="5" s="1"/>
  <c r="U944" i="5"/>
  <c r="I944" i="5"/>
  <c r="X941" i="5"/>
  <c r="L941" i="5"/>
  <c r="U940" i="5"/>
  <c r="I940" i="5"/>
  <c r="U939" i="5"/>
  <c r="I939" i="5"/>
  <c r="U938" i="5"/>
  <c r="I938" i="5"/>
  <c r="X937" i="5"/>
  <c r="U937" i="5"/>
  <c r="U941" i="5" s="1"/>
  <c r="L937" i="5"/>
  <c r="I937" i="5"/>
  <c r="I941" i="5" s="1"/>
  <c r="T918" i="5"/>
  <c r="H918" i="5"/>
  <c r="T917" i="5"/>
  <c r="H917" i="5"/>
  <c r="T916" i="5"/>
  <c r="T920" i="5" s="1"/>
  <c r="H916" i="5"/>
  <c r="H920" i="5" s="1"/>
  <c r="U907" i="5"/>
  <c r="I907" i="5"/>
  <c r="X904" i="5"/>
  <c r="L904" i="5"/>
  <c r="I904" i="5"/>
  <c r="U903" i="5"/>
  <c r="I903" i="5"/>
  <c r="U902" i="5"/>
  <c r="I902" i="5"/>
  <c r="U901" i="5"/>
  <c r="I901" i="5"/>
  <c r="X900" i="5"/>
  <c r="U900" i="5"/>
  <c r="U904" i="5" s="1"/>
  <c r="X909" i="5" s="1"/>
  <c r="U912" i="5" s="1"/>
  <c r="L900" i="5"/>
  <c r="I900" i="5"/>
  <c r="I899" i="5"/>
  <c r="T881" i="5"/>
  <c r="T880" i="5"/>
  <c r="T879" i="5"/>
  <c r="T883" i="5" s="1"/>
  <c r="I874" i="5"/>
  <c r="U870" i="5"/>
  <c r="C870" i="5"/>
  <c r="I870" i="5" s="1"/>
  <c r="X867" i="5"/>
  <c r="C867" i="5"/>
  <c r="L867" i="5" s="1"/>
  <c r="U866" i="5"/>
  <c r="C866" i="5"/>
  <c r="I866" i="5" s="1"/>
  <c r="U865" i="5"/>
  <c r="C865" i="5"/>
  <c r="I865" i="5" s="1"/>
  <c r="U864" i="5"/>
  <c r="C864" i="5"/>
  <c r="I864" i="5" s="1"/>
  <c r="X863" i="5"/>
  <c r="U863" i="5"/>
  <c r="U862" i="5" s="1"/>
  <c r="C863" i="5"/>
  <c r="I861" i="5"/>
  <c r="F857" i="5"/>
  <c r="F856" i="5"/>
  <c r="U837" i="5"/>
  <c r="I837" i="5"/>
  <c r="O833" i="5"/>
  <c r="U833" i="5" s="1"/>
  <c r="C833" i="5"/>
  <c r="I833" i="5" s="1"/>
  <c r="O830" i="5"/>
  <c r="X830" i="5" s="1"/>
  <c r="C830" i="5"/>
  <c r="L830" i="5" s="1"/>
  <c r="O829" i="5"/>
  <c r="C829" i="5"/>
  <c r="I829" i="5" s="1"/>
  <c r="O828" i="5"/>
  <c r="U828" i="5" s="1"/>
  <c r="C828" i="5"/>
  <c r="I828" i="5" s="1"/>
  <c r="O827" i="5"/>
  <c r="C827" i="5"/>
  <c r="U825" i="5"/>
  <c r="I825" i="5"/>
  <c r="U824" i="5"/>
  <c r="I824" i="5"/>
  <c r="R820" i="5"/>
  <c r="F820" i="5"/>
  <c r="R819" i="5"/>
  <c r="F819" i="5"/>
  <c r="U800" i="5"/>
  <c r="I800" i="5"/>
  <c r="O796" i="5"/>
  <c r="U796" i="5" s="1"/>
  <c r="C796" i="5"/>
  <c r="I796" i="5" s="1"/>
  <c r="O793" i="5"/>
  <c r="X793" i="5" s="1"/>
  <c r="I793" i="5"/>
  <c r="C793" i="5"/>
  <c r="L793" i="5" s="1"/>
  <c r="O792" i="5"/>
  <c r="U792" i="5" s="1"/>
  <c r="C792" i="5"/>
  <c r="O791" i="5"/>
  <c r="U791" i="5" s="1"/>
  <c r="C791" i="5"/>
  <c r="I791" i="5" s="1"/>
  <c r="O790" i="5"/>
  <c r="U790" i="5" s="1"/>
  <c r="C790" i="5"/>
  <c r="I790" i="5" s="1"/>
  <c r="O789" i="5"/>
  <c r="I789" i="5"/>
  <c r="C789" i="5"/>
  <c r="U787" i="5"/>
  <c r="I787" i="5"/>
  <c r="R783" i="5"/>
  <c r="F783" i="5"/>
  <c r="R782" i="5"/>
  <c r="F782" i="5"/>
  <c r="U763" i="5"/>
  <c r="I763" i="5"/>
  <c r="O759" i="5"/>
  <c r="U759" i="5" s="1"/>
  <c r="C759" i="5"/>
  <c r="I759" i="5" s="1"/>
  <c r="U756" i="5"/>
  <c r="O756" i="5"/>
  <c r="X756" i="5" s="1"/>
  <c r="I756" i="5"/>
  <c r="C756" i="5"/>
  <c r="L756" i="5" s="1"/>
  <c r="O755" i="5"/>
  <c r="U755" i="5" s="1"/>
  <c r="C755" i="5"/>
  <c r="I755" i="5" s="1"/>
  <c r="O754" i="5"/>
  <c r="U754" i="5" s="1"/>
  <c r="C754" i="5"/>
  <c r="O753" i="5"/>
  <c r="U753" i="5" s="1"/>
  <c r="C753" i="5"/>
  <c r="I753" i="5" s="1"/>
  <c r="U752" i="5"/>
  <c r="O752" i="5"/>
  <c r="I752" i="5"/>
  <c r="C752" i="5"/>
  <c r="U750" i="5"/>
  <c r="I750" i="5"/>
  <c r="R746" i="5"/>
  <c r="F746" i="5"/>
  <c r="R745" i="5"/>
  <c r="F745" i="5"/>
  <c r="U726" i="5"/>
  <c r="I726" i="5"/>
  <c r="O722" i="5"/>
  <c r="U722" i="5" s="1"/>
  <c r="C722" i="5"/>
  <c r="I722" i="5" s="1"/>
  <c r="U719" i="5"/>
  <c r="O719" i="5"/>
  <c r="X719" i="5" s="1"/>
  <c r="I719" i="5"/>
  <c r="C719" i="5"/>
  <c r="L719" i="5" s="1"/>
  <c r="O718" i="5"/>
  <c r="U718" i="5" s="1"/>
  <c r="C718" i="5"/>
  <c r="O717" i="5"/>
  <c r="U717" i="5" s="1"/>
  <c r="C717" i="5"/>
  <c r="I717" i="5" s="1"/>
  <c r="O716" i="5"/>
  <c r="U716" i="5" s="1"/>
  <c r="C716" i="5"/>
  <c r="I716" i="5" s="1"/>
  <c r="U715" i="5"/>
  <c r="O715" i="5"/>
  <c r="I715" i="5"/>
  <c r="C715" i="5"/>
  <c r="U713" i="5"/>
  <c r="I713" i="5"/>
  <c r="R709" i="5"/>
  <c r="F709" i="5"/>
  <c r="R708" i="5"/>
  <c r="F708" i="5"/>
  <c r="U689" i="5"/>
  <c r="I689" i="5"/>
  <c r="O685" i="5"/>
  <c r="U685" i="5" s="1"/>
  <c r="C685" i="5"/>
  <c r="I685" i="5" s="1"/>
  <c r="U682" i="5"/>
  <c r="O682" i="5"/>
  <c r="X682" i="5" s="1"/>
  <c r="I682" i="5"/>
  <c r="C682" i="5"/>
  <c r="L682" i="5" s="1"/>
  <c r="O681" i="5"/>
  <c r="U681" i="5" s="1"/>
  <c r="C681" i="5"/>
  <c r="I681" i="5" s="1"/>
  <c r="O680" i="5"/>
  <c r="U680" i="5" s="1"/>
  <c r="C680" i="5"/>
  <c r="O679" i="5"/>
  <c r="U679" i="5" s="1"/>
  <c r="C679" i="5"/>
  <c r="I679" i="5" s="1"/>
  <c r="U678" i="5"/>
  <c r="O678" i="5"/>
  <c r="I678" i="5"/>
  <c r="C678" i="5"/>
  <c r="L678" i="5" s="1"/>
  <c r="U676" i="5"/>
  <c r="I676" i="5"/>
  <c r="R672" i="5"/>
  <c r="F672" i="5"/>
  <c r="R671" i="5"/>
  <c r="F671" i="5"/>
  <c r="U652" i="5"/>
  <c r="I652" i="5"/>
  <c r="O648" i="5"/>
  <c r="U648" i="5" s="1"/>
  <c r="C648" i="5"/>
  <c r="I648" i="5" s="1"/>
  <c r="U645" i="5"/>
  <c r="O645" i="5"/>
  <c r="X645" i="5" s="1"/>
  <c r="I645" i="5"/>
  <c r="C645" i="5"/>
  <c r="L645" i="5" s="1"/>
  <c r="O644" i="5"/>
  <c r="U644" i="5" s="1"/>
  <c r="C644" i="5"/>
  <c r="I644" i="5" s="1"/>
  <c r="O643" i="5"/>
  <c r="U643" i="5" s="1"/>
  <c r="C643" i="5"/>
  <c r="I643" i="5" s="1"/>
  <c r="O642" i="5"/>
  <c r="U642" i="5" s="1"/>
  <c r="C642" i="5"/>
  <c r="I642" i="5" s="1"/>
  <c r="U641" i="5"/>
  <c r="O641" i="5"/>
  <c r="I641" i="5"/>
  <c r="C641" i="5"/>
  <c r="U639" i="5"/>
  <c r="I639" i="5"/>
  <c r="R635" i="5"/>
  <c r="F635" i="5"/>
  <c r="R634" i="5"/>
  <c r="F634" i="5"/>
  <c r="U615" i="5"/>
  <c r="I615" i="5"/>
  <c r="O611" i="5"/>
  <c r="U611" i="5" s="1"/>
  <c r="C611" i="5"/>
  <c r="I611" i="5" s="1"/>
  <c r="U608" i="5"/>
  <c r="O608" i="5"/>
  <c r="X608" i="5" s="1"/>
  <c r="I608" i="5"/>
  <c r="C608" i="5"/>
  <c r="L608" i="5" s="1"/>
  <c r="O607" i="5"/>
  <c r="U607" i="5" s="1"/>
  <c r="C607" i="5"/>
  <c r="I607" i="5" s="1"/>
  <c r="O606" i="5"/>
  <c r="U606" i="5" s="1"/>
  <c r="C606" i="5"/>
  <c r="I606" i="5" s="1"/>
  <c r="O605" i="5"/>
  <c r="U605" i="5" s="1"/>
  <c r="C605" i="5"/>
  <c r="I605" i="5" s="1"/>
  <c r="U604" i="5"/>
  <c r="O604" i="5"/>
  <c r="I604" i="5"/>
  <c r="C604" i="5"/>
  <c r="L604" i="5" s="1"/>
  <c r="U602" i="5"/>
  <c r="I602" i="5"/>
  <c r="R598" i="5"/>
  <c r="F598" i="5"/>
  <c r="R597" i="5"/>
  <c r="F597" i="5"/>
  <c r="U578" i="5"/>
  <c r="I578" i="5"/>
  <c r="O574" i="5"/>
  <c r="U574" i="5" s="1"/>
  <c r="C574" i="5"/>
  <c r="I574" i="5" s="1"/>
  <c r="U571" i="5"/>
  <c r="O571" i="5"/>
  <c r="X571" i="5" s="1"/>
  <c r="I571" i="5"/>
  <c r="C571" i="5"/>
  <c r="L571" i="5" s="1"/>
  <c r="O570" i="5"/>
  <c r="U570" i="5" s="1"/>
  <c r="C570" i="5"/>
  <c r="I570" i="5" s="1"/>
  <c r="O569" i="5"/>
  <c r="U569" i="5" s="1"/>
  <c r="C569" i="5"/>
  <c r="I569" i="5" s="1"/>
  <c r="O568" i="5"/>
  <c r="U568" i="5" s="1"/>
  <c r="C568" i="5"/>
  <c r="I568" i="5" s="1"/>
  <c r="U567" i="5"/>
  <c r="O567" i="5"/>
  <c r="I567" i="5"/>
  <c r="C567" i="5"/>
  <c r="U565" i="5"/>
  <c r="I565" i="5"/>
  <c r="R561" i="5"/>
  <c r="F561" i="5"/>
  <c r="R560" i="5"/>
  <c r="F560" i="5"/>
  <c r="U541" i="5"/>
  <c r="I541" i="5"/>
  <c r="O537" i="5"/>
  <c r="U537" i="5" s="1"/>
  <c r="C537" i="5"/>
  <c r="I537" i="5" s="1"/>
  <c r="U534" i="5"/>
  <c r="O534" i="5"/>
  <c r="X534" i="5" s="1"/>
  <c r="I534" i="5"/>
  <c r="C534" i="5"/>
  <c r="L534" i="5" s="1"/>
  <c r="O533" i="5"/>
  <c r="U533" i="5" s="1"/>
  <c r="C533" i="5"/>
  <c r="I533" i="5" s="1"/>
  <c r="O532" i="5"/>
  <c r="U532" i="5" s="1"/>
  <c r="C532" i="5"/>
  <c r="I532" i="5" s="1"/>
  <c r="O531" i="5"/>
  <c r="U531" i="5" s="1"/>
  <c r="C531" i="5"/>
  <c r="I531" i="5" s="1"/>
  <c r="U530" i="5"/>
  <c r="O530" i="5"/>
  <c r="I530" i="5"/>
  <c r="C530" i="5"/>
  <c r="U528" i="5"/>
  <c r="I528" i="5"/>
  <c r="R524" i="5"/>
  <c r="F524" i="5"/>
  <c r="R523" i="5"/>
  <c r="F523" i="5"/>
  <c r="U504" i="5"/>
  <c r="I504" i="5"/>
  <c r="O500" i="5"/>
  <c r="U500" i="5" s="1"/>
  <c r="C500" i="5"/>
  <c r="I500" i="5" s="1"/>
  <c r="U497" i="5"/>
  <c r="O497" i="5"/>
  <c r="X497" i="5" s="1"/>
  <c r="I497" i="5"/>
  <c r="C497" i="5"/>
  <c r="L497" i="5" s="1"/>
  <c r="O496" i="5"/>
  <c r="U496" i="5" s="1"/>
  <c r="C496" i="5"/>
  <c r="I496" i="5" s="1"/>
  <c r="O495" i="5"/>
  <c r="U495" i="5" s="1"/>
  <c r="C495" i="5"/>
  <c r="I495" i="5" s="1"/>
  <c r="O494" i="5"/>
  <c r="U494" i="5" s="1"/>
  <c r="C494" i="5"/>
  <c r="I494" i="5" s="1"/>
  <c r="U493" i="5"/>
  <c r="O493" i="5"/>
  <c r="I493" i="5"/>
  <c r="C493" i="5"/>
  <c r="U491" i="5"/>
  <c r="I491" i="5"/>
  <c r="R487" i="5"/>
  <c r="F487" i="5"/>
  <c r="R486" i="5"/>
  <c r="F486" i="5"/>
  <c r="U467" i="5"/>
  <c r="I467" i="5"/>
  <c r="O463" i="5"/>
  <c r="U463" i="5" s="1"/>
  <c r="C463" i="5"/>
  <c r="I463" i="5" s="1"/>
  <c r="U460" i="5"/>
  <c r="O460" i="5"/>
  <c r="X460" i="5" s="1"/>
  <c r="I460" i="5"/>
  <c r="C460" i="5"/>
  <c r="L460" i="5" s="1"/>
  <c r="O459" i="5"/>
  <c r="U459" i="5" s="1"/>
  <c r="C459" i="5"/>
  <c r="I459" i="5" s="1"/>
  <c r="O458" i="5"/>
  <c r="U458" i="5" s="1"/>
  <c r="C458" i="5"/>
  <c r="I458" i="5" s="1"/>
  <c r="O457" i="5"/>
  <c r="U457" i="5" s="1"/>
  <c r="C457" i="5"/>
  <c r="I457" i="5" s="1"/>
  <c r="U456" i="5"/>
  <c r="O456" i="5"/>
  <c r="I456" i="5"/>
  <c r="C456" i="5"/>
  <c r="U454" i="5"/>
  <c r="I454" i="5"/>
  <c r="R450" i="5"/>
  <c r="F450" i="5"/>
  <c r="R449" i="5"/>
  <c r="F449" i="5"/>
  <c r="U430" i="5"/>
  <c r="I430" i="5"/>
  <c r="O426" i="5"/>
  <c r="U426" i="5" s="1"/>
  <c r="C426" i="5"/>
  <c r="I426" i="5" s="1"/>
  <c r="U423" i="5"/>
  <c r="O423" i="5"/>
  <c r="X423" i="5" s="1"/>
  <c r="I423" i="5"/>
  <c r="C423" i="5"/>
  <c r="L423" i="5" s="1"/>
  <c r="O422" i="5"/>
  <c r="U422" i="5" s="1"/>
  <c r="C422" i="5"/>
  <c r="I422" i="5" s="1"/>
  <c r="O421" i="5"/>
  <c r="U421" i="5" s="1"/>
  <c r="C421" i="5"/>
  <c r="I421" i="5" s="1"/>
  <c r="O420" i="5"/>
  <c r="U420" i="5" s="1"/>
  <c r="C420" i="5"/>
  <c r="I420" i="5" s="1"/>
  <c r="U419" i="5"/>
  <c r="O419" i="5"/>
  <c r="I419" i="5"/>
  <c r="C419" i="5"/>
  <c r="U417" i="5"/>
  <c r="I417" i="5"/>
  <c r="R413" i="5"/>
  <c r="F413" i="5"/>
  <c r="R412" i="5"/>
  <c r="F412" i="5"/>
  <c r="U393" i="5"/>
  <c r="I393" i="5"/>
  <c r="O389" i="5"/>
  <c r="U389" i="5" s="1"/>
  <c r="C389" i="5"/>
  <c r="I389" i="5" s="1"/>
  <c r="U386" i="5"/>
  <c r="O386" i="5"/>
  <c r="X386" i="5" s="1"/>
  <c r="I386" i="5"/>
  <c r="C386" i="5"/>
  <c r="L386" i="5" s="1"/>
  <c r="O385" i="5"/>
  <c r="U385" i="5" s="1"/>
  <c r="C385" i="5"/>
  <c r="I385" i="5" s="1"/>
  <c r="O384" i="5"/>
  <c r="U384" i="5" s="1"/>
  <c r="C384" i="5"/>
  <c r="I384" i="5" s="1"/>
  <c r="O383" i="5"/>
  <c r="U383" i="5" s="1"/>
  <c r="C383" i="5"/>
  <c r="I383" i="5" s="1"/>
  <c r="U382" i="5"/>
  <c r="O382" i="5"/>
  <c r="I382" i="5"/>
  <c r="C382" i="5"/>
  <c r="L382" i="5" s="1"/>
  <c r="U380" i="5"/>
  <c r="I380" i="5"/>
  <c r="R376" i="5"/>
  <c r="F376" i="5"/>
  <c r="R375" i="5"/>
  <c r="F375" i="5"/>
  <c r="U356" i="5"/>
  <c r="I356" i="5"/>
  <c r="O352" i="5"/>
  <c r="U352" i="5" s="1"/>
  <c r="C352" i="5"/>
  <c r="I352" i="5" s="1"/>
  <c r="U349" i="5"/>
  <c r="O349" i="5"/>
  <c r="X349" i="5" s="1"/>
  <c r="I349" i="5"/>
  <c r="C349" i="5"/>
  <c r="L349" i="5" s="1"/>
  <c r="O348" i="5"/>
  <c r="U348" i="5" s="1"/>
  <c r="C348" i="5"/>
  <c r="I348" i="5" s="1"/>
  <c r="O347" i="5"/>
  <c r="U347" i="5" s="1"/>
  <c r="C347" i="5"/>
  <c r="I347" i="5" s="1"/>
  <c r="O346" i="5"/>
  <c r="U346" i="5" s="1"/>
  <c r="C346" i="5"/>
  <c r="I346" i="5" s="1"/>
  <c r="U345" i="5"/>
  <c r="O345" i="5"/>
  <c r="I345" i="5"/>
  <c r="C345" i="5"/>
  <c r="U343" i="5"/>
  <c r="I343" i="5"/>
  <c r="R339" i="5"/>
  <c r="F339" i="5"/>
  <c r="R338" i="5"/>
  <c r="F338" i="5"/>
  <c r="U319" i="5"/>
  <c r="I319" i="5"/>
  <c r="O315" i="5"/>
  <c r="U315" i="5" s="1"/>
  <c r="C315" i="5"/>
  <c r="I315" i="5" s="1"/>
  <c r="U312" i="5"/>
  <c r="O312" i="5"/>
  <c r="X312" i="5" s="1"/>
  <c r="I312" i="5"/>
  <c r="C312" i="5"/>
  <c r="L312" i="5" s="1"/>
  <c r="O311" i="5"/>
  <c r="U311" i="5" s="1"/>
  <c r="C311" i="5"/>
  <c r="I311" i="5" s="1"/>
  <c r="O310" i="5"/>
  <c r="U310" i="5" s="1"/>
  <c r="C310" i="5"/>
  <c r="O309" i="5"/>
  <c r="U309" i="5" s="1"/>
  <c r="C309" i="5"/>
  <c r="I309" i="5" s="1"/>
  <c r="U308" i="5"/>
  <c r="O308" i="5"/>
  <c r="I308" i="5"/>
  <c r="C308" i="5"/>
  <c r="U306" i="5"/>
  <c r="I306" i="5"/>
  <c r="R302" i="5"/>
  <c r="F302" i="5"/>
  <c r="R301" i="5"/>
  <c r="F301" i="5"/>
  <c r="U282" i="5"/>
  <c r="I282" i="5"/>
  <c r="O278" i="5"/>
  <c r="U278" i="5" s="1"/>
  <c r="C278" i="5"/>
  <c r="I278" i="5" s="1"/>
  <c r="U275" i="5"/>
  <c r="O275" i="5"/>
  <c r="X275" i="5" s="1"/>
  <c r="I275" i="5"/>
  <c r="C275" i="5"/>
  <c r="L275" i="5" s="1"/>
  <c r="O274" i="5"/>
  <c r="U274" i="5" s="1"/>
  <c r="C274" i="5"/>
  <c r="I274" i="5" s="1"/>
  <c r="O273" i="5"/>
  <c r="U273" i="5" s="1"/>
  <c r="C273" i="5"/>
  <c r="I273" i="5" s="1"/>
  <c r="O272" i="5"/>
  <c r="U272" i="5" s="1"/>
  <c r="C272" i="5"/>
  <c r="I272" i="5" s="1"/>
  <c r="U271" i="5"/>
  <c r="O271" i="5"/>
  <c r="X271" i="5" s="1"/>
  <c r="I271" i="5"/>
  <c r="C271" i="5"/>
  <c r="U269" i="5"/>
  <c r="I269" i="5"/>
  <c r="R265" i="5"/>
  <c r="F265" i="5"/>
  <c r="R264" i="5"/>
  <c r="F264" i="5"/>
  <c r="U245" i="5"/>
  <c r="I245" i="5"/>
  <c r="O241" i="5"/>
  <c r="U241" i="5" s="1"/>
  <c r="C241" i="5"/>
  <c r="I241" i="5" s="1"/>
  <c r="U238" i="5"/>
  <c r="O238" i="5"/>
  <c r="X238" i="5" s="1"/>
  <c r="I238" i="5"/>
  <c r="C238" i="5"/>
  <c r="L238" i="5" s="1"/>
  <c r="O237" i="5"/>
  <c r="U237" i="5" s="1"/>
  <c r="I237" i="5"/>
  <c r="C237" i="5"/>
  <c r="O236" i="5"/>
  <c r="U236" i="5" s="1"/>
  <c r="C236" i="5"/>
  <c r="I236" i="5" s="1"/>
  <c r="O235" i="5"/>
  <c r="U235" i="5" s="1"/>
  <c r="C235" i="5"/>
  <c r="I235" i="5" s="1"/>
  <c r="U234" i="5"/>
  <c r="U233" i="5" s="1"/>
  <c r="O234" i="5"/>
  <c r="I234" i="5"/>
  <c r="I233" i="5" s="1"/>
  <c r="C234" i="5"/>
  <c r="H251" i="5" s="1"/>
  <c r="U232" i="5"/>
  <c r="I232" i="5"/>
  <c r="U208" i="5"/>
  <c r="I208" i="5"/>
  <c r="O204" i="5"/>
  <c r="U204" i="5" s="1"/>
  <c r="C204" i="5"/>
  <c r="I204" i="5" s="1"/>
  <c r="U201" i="5"/>
  <c r="O201" i="5"/>
  <c r="X201" i="5" s="1"/>
  <c r="I201" i="5"/>
  <c r="C201" i="5"/>
  <c r="L201" i="5" s="1"/>
  <c r="U200" i="5"/>
  <c r="O200" i="5"/>
  <c r="C200" i="5"/>
  <c r="I200" i="5" s="1"/>
  <c r="O199" i="5"/>
  <c r="U199" i="5" s="1"/>
  <c r="C199" i="5"/>
  <c r="I199" i="5" s="1"/>
  <c r="O198" i="5"/>
  <c r="U198" i="5" s="1"/>
  <c r="C198" i="5"/>
  <c r="I198" i="5" s="1"/>
  <c r="U197" i="5"/>
  <c r="U196" i="5" s="1"/>
  <c r="O197" i="5"/>
  <c r="I197" i="5"/>
  <c r="C197" i="5"/>
  <c r="H213" i="5" s="1"/>
  <c r="H217" i="5" s="1"/>
  <c r="U195" i="5"/>
  <c r="I195" i="5"/>
  <c r="R192" i="5"/>
  <c r="F192" i="5"/>
  <c r="H178" i="5"/>
  <c r="U171" i="5"/>
  <c r="I171" i="5"/>
  <c r="O167" i="5"/>
  <c r="C167" i="5"/>
  <c r="U164" i="5"/>
  <c r="O164" i="5"/>
  <c r="X164" i="5" s="1"/>
  <c r="I164" i="5"/>
  <c r="C164" i="5"/>
  <c r="L164" i="5" s="1"/>
  <c r="O163" i="5"/>
  <c r="U163" i="5" s="1"/>
  <c r="I163" i="5"/>
  <c r="C163" i="5"/>
  <c r="O162" i="5"/>
  <c r="U162" i="5" s="1"/>
  <c r="C162" i="5"/>
  <c r="I162" i="5" s="1"/>
  <c r="O161" i="5"/>
  <c r="U161" i="5" s="1"/>
  <c r="I161" i="5"/>
  <c r="C161" i="5"/>
  <c r="U160" i="5"/>
  <c r="O160" i="5"/>
  <c r="L160" i="5"/>
  <c r="I160" i="5"/>
  <c r="I159" i="5" s="1"/>
  <c r="C160" i="5"/>
  <c r="U158" i="5"/>
  <c r="I158" i="5"/>
  <c r="R155" i="5"/>
  <c r="F155" i="5"/>
  <c r="U134" i="5"/>
  <c r="I134" i="5"/>
  <c r="O130" i="5"/>
  <c r="U130" i="5" s="1"/>
  <c r="C130" i="5"/>
  <c r="I130" i="5" s="1"/>
  <c r="U127" i="5"/>
  <c r="O127" i="5"/>
  <c r="X127" i="5" s="1"/>
  <c r="I127" i="5"/>
  <c r="C127" i="5"/>
  <c r="L127" i="5" s="1"/>
  <c r="U126" i="5"/>
  <c r="O126" i="5"/>
  <c r="C126" i="5"/>
  <c r="I126" i="5" s="1"/>
  <c r="O125" i="5"/>
  <c r="U125" i="5" s="1"/>
  <c r="C125" i="5"/>
  <c r="I125" i="5" s="1"/>
  <c r="O124" i="5"/>
  <c r="U124" i="5" s="1"/>
  <c r="I124" i="5"/>
  <c r="C124" i="5"/>
  <c r="X123" i="5"/>
  <c r="U123" i="5"/>
  <c r="O123" i="5"/>
  <c r="I123" i="5"/>
  <c r="C123" i="5"/>
  <c r="U122" i="5"/>
  <c r="U121" i="5"/>
  <c r="L121" i="5"/>
  <c r="I121" i="5"/>
  <c r="L119" i="5"/>
  <c r="R118" i="5"/>
  <c r="F118" i="5"/>
  <c r="F117" i="5"/>
  <c r="F116" i="5"/>
  <c r="U97" i="5"/>
  <c r="I97" i="5"/>
  <c r="O93" i="5"/>
  <c r="U93" i="5" s="1"/>
  <c r="I93" i="5"/>
  <c r="C93" i="5"/>
  <c r="U90" i="5"/>
  <c r="O90" i="5"/>
  <c r="X90" i="5" s="1"/>
  <c r="L90" i="5"/>
  <c r="I90" i="5"/>
  <c r="C90" i="5"/>
  <c r="O89" i="5"/>
  <c r="U89" i="5" s="1"/>
  <c r="C89" i="5"/>
  <c r="I89" i="5" s="1"/>
  <c r="U88" i="5"/>
  <c r="O88" i="5"/>
  <c r="C88" i="5"/>
  <c r="I88" i="5" s="1"/>
  <c r="O87" i="5"/>
  <c r="U87" i="5" s="1"/>
  <c r="I87" i="5"/>
  <c r="C87" i="5"/>
  <c r="U86" i="5"/>
  <c r="O86" i="5"/>
  <c r="I86" i="5"/>
  <c r="C86" i="5"/>
  <c r="H102" i="5" s="1"/>
  <c r="H106" i="5" s="1"/>
  <c r="U84" i="5"/>
  <c r="I84" i="5"/>
  <c r="R81" i="5"/>
  <c r="F81" i="5"/>
  <c r="U60" i="5"/>
  <c r="I60" i="5"/>
  <c r="U56" i="5"/>
  <c r="O56" i="5"/>
  <c r="C56" i="5"/>
  <c r="I56" i="5" s="1"/>
  <c r="U53" i="5"/>
  <c r="O53" i="5"/>
  <c r="X53" i="5" s="1"/>
  <c r="I53" i="5"/>
  <c r="C53" i="5"/>
  <c r="L53" i="5" s="1"/>
  <c r="O52" i="5"/>
  <c r="U52" i="5" s="1"/>
  <c r="C52" i="5"/>
  <c r="I52" i="5" s="1"/>
  <c r="O51" i="5"/>
  <c r="U51" i="5" s="1"/>
  <c r="C51" i="5"/>
  <c r="I51" i="5" s="1"/>
  <c r="O50" i="5"/>
  <c r="U50" i="5" s="1"/>
  <c r="C50" i="5"/>
  <c r="I50" i="5" s="1"/>
  <c r="U49" i="5"/>
  <c r="O49" i="5"/>
  <c r="T65" i="5" s="1"/>
  <c r="T69" i="5" s="1"/>
  <c r="I49" i="5"/>
  <c r="I48" i="5" s="1"/>
  <c r="C49" i="5"/>
  <c r="L49" i="5" s="1"/>
  <c r="L58" i="5" s="1"/>
  <c r="I61" i="5" s="1"/>
  <c r="U47" i="5"/>
  <c r="I47" i="5"/>
  <c r="R44" i="5"/>
  <c r="F44" i="5"/>
  <c r="U22" i="5"/>
  <c r="I22" i="5"/>
  <c r="O18" i="5"/>
  <c r="C18" i="5"/>
  <c r="I18" i="5" s="1"/>
  <c r="U15" i="5"/>
  <c r="O15" i="5"/>
  <c r="X15" i="5" s="1"/>
  <c r="I15" i="5"/>
  <c r="C15" i="5"/>
  <c r="L15" i="5" s="1"/>
  <c r="O14" i="5"/>
  <c r="U14" i="5" s="1"/>
  <c r="C14" i="5"/>
  <c r="I14" i="5" s="1"/>
  <c r="O13" i="5"/>
  <c r="U13" i="5" s="1"/>
  <c r="C13" i="5"/>
  <c r="I13" i="5" s="1"/>
  <c r="U12" i="5"/>
  <c r="O12" i="5"/>
  <c r="C12" i="5"/>
  <c r="I12" i="5" s="1"/>
  <c r="U11" i="5"/>
  <c r="O11" i="5"/>
  <c r="T29" i="5" s="1"/>
  <c r="I11" i="5"/>
  <c r="C11" i="5"/>
  <c r="U9" i="5"/>
  <c r="I9" i="5"/>
  <c r="R6" i="5"/>
  <c r="F6" i="5"/>
  <c r="F5" i="5"/>
  <c r="F4" i="5"/>
  <c r="G108" i="3"/>
  <c r="G107" i="3"/>
  <c r="M217" i="2"/>
  <c r="M215" i="2"/>
  <c r="M213" i="2"/>
  <c r="M211" i="2"/>
  <c r="M209" i="2"/>
  <c r="M207" i="2"/>
  <c r="M205" i="2"/>
  <c r="M203" i="2"/>
  <c r="M201" i="2"/>
  <c r="M199" i="2"/>
  <c r="M197" i="2"/>
  <c r="M195" i="2"/>
  <c r="M193" i="2"/>
  <c r="M191" i="2"/>
  <c r="M189" i="2"/>
  <c r="M187" i="2"/>
  <c r="M185" i="2"/>
  <c r="M183" i="2"/>
  <c r="M181" i="2"/>
  <c r="M179" i="2"/>
  <c r="M177" i="2"/>
  <c r="M175" i="2"/>
  <c r="M173" i="2"/>
  <c r="M171" i="2"/>
  <c r="M169" i="2"/>
  <c r="M167" i="2"/>
  <c r="M165" i="2"/>
  <c r="M163" i="2"/>
  <c r="M161" i="2"/>
  <c r="M159" i="2"/>
  <c r="M157" i="2"/>
  <c r="M155" i="2"/>
  <c r="M153" i="2"/>
  <c r="M151" i="2"/>
  <c r="M149" i="2"/>
  <c r="M147" i="2"/>
  <c r="M145" i="2"/>
  <c r="M143" i="2"/>
  <c r="M141" i="2"/>
  <c r="M139" i="2"/>
  <c r="M137" i="2"/>
  <c r="M135" i="2"/>
  <c r="M133" i="2"/>
  <c r="M131" i="2"/>
  <c r="M129" i="2"/>
  <c r="M127" i="2"/>
  <c r="M125" i="2"/>
  <c r="M123" i="2"/>
  <c r="M121" i="2"/>
  <c r="M119" i="2"/>
  <c r="M117" i="2"/>
  <c r="M115" i="2"/>
  <c r="M113" i="2"/>
  <c r="M111" i="2"/>
  <c r="M109" i="2"/>
  <c r="M107" i="2"/>
  <c r="M105" i="2"/>
  <c r="M103" i="2"/>
  <c r="M101" i="2"/>
  <c r="M99" i="2"/>
  <c r="M97" i="2"/>
  <c r="M95" i="2"/>
  <c r="M93" i="2"/>
  <c r="M31" i="2"/>
  <c r="L31" i="2"/>
  <c r="K31" i="2"/>
  <c r="J31" i="2"/>
  <c r="I31" i="2"/>
  <c r="H31" i="2"/>
  <c r="J32" i="3" s="1"/>
  <c r="J33" i="3" s="1"/>
  <c r="G31" i="2"/>
  <c r="F31" i="2"/>
  <c r="E31" i="2"/>
  <c r="M29" i="2"/>
  <c r="L29" i="2"/>
  <c r="K29" i="2"/>
  <c r="J29" i="2"/>
  <c r="I29" i="2"/>
  <c r="H29" i="2"/>
  <c r="J30" i="3" s="1"/>
  <c r="J31" i="3" s="1"/>
  <c r="G29" i="2"/>
  <c r="F29" i="2"/>
  <c r="E29" i="2"/>
  <c r="L27" i="2"/>
  <c r="K27" i="2"/>
  <c r="J27" i="2"/>
  <c r="I27" i="2"/>
  <c r="H27" i="2"/>
  <c r="J28" i="3" s="1"/>
  <c r="J29" i="3" s="1"/>
  <c r="G27" i="2"/>
  <c r="F27" i="2"/>
  <c r="E27" i="2"/>
  <c r="M26" i="2"/>
  <c r="L25" i="2"/>
  <c r="K25" i="2"/>
  <c r="J25" i="2"/>
  <c r="I25" i="2"/>
  <c r="H25" i="2"/>
  <c r="J26" i="3" s="1"/>
  <c r="J27" i="3" s="1"/>
  <c r="G25" i="2"/>
  <c r="F25" i="2"/>
  <c r="E25" i="2"/>
  <c r="M24" i="2"/>
  <c r="L23" i="2"/>
  <c r="K23" i="2"/>
  <c r="J23" i="2"/>
  <c r="I23" i="2"/>
  <c r="H23" i="2"/>
  <c r="J24" i="3" s="1"/>
  <c r="J25" i="3" s="1"/>
  <c r="G23" i="2"/>
  <c r="F23" i="2"/>
  <c r="E23" i="2"/>
  <c r="M21" i="2"/>
  <c r="L21" i="2"/>
  <c r="K21" i="2"/>
  <c r="J21" i="2"/>
  <c r="I21" i="2"/>
  <c r="H21" i="2"/>
  <c r="J22" i="3" s="1"/>
  <c r="J23" i="3" s="1"/>
  <c r="G21" i="2"/>
  <c r="F21" i="2"/>
  <c r="E21" i="2"/>
  <c r="M19" i="2"/>
  <c r="L19" i="2"/>
  <c r="K19" i="2"/>
  <c r="J19" i="2"/>
  <c r="I19" i="2"/>
  <c r="H19" i="2"/>
  <c r="J20" i="3" s="1"/>
  <c r="G19" i="2"/>
  <c r="F19" i="2"/>
  <c r="E19" i="2"/>
  <c r="L17" i="2"/>
  <c r="K17" i="2"/>
  <c r="J17" i="2"/>
  <c r="I17" i="2"/>
  <c r="H17" i="2"/>
  <c r="J18" i="3" s="1"/>
  <c r="J19" i="3" s="1"/>
  <c r="G17" i="2"/>
  <c r="F17" i="2"/>
  <c r="E17" i="2"/>
  <c r="AH15" i="3" l="1"/>
  <c r="AA108" i="3"/>
  <c r="AF15" i="3"/>
  <c r="AG15" i="3" s="1"/>
  <c r="X108" i="3"/>
  <c r="AC108" i="3" s="1"/>
  <c r="AC112" i="3" s="1"/>
  <c r="J21" i="3"/>
  <c r="J107" i="3"/>
  <c r="I381" i="5"/>
  <c r="L687" i="5"/>
  <c r="I690" i="5" s="1"/>
  <c r="X280" i="5"/>
  <c r="U283" i="5" s="1"/>
  <c r="T284" i="5" s="1"/>
  <c r="I418" i="5"/>
  <c r="I455" i="5"/>
  <c r="I492" i="5"/>
  <c r="I640" i="5"/>
  <c r="H844" i="5"/>
  <c r="U455" i="5"/>
  <c r="I714" i="5"/>
  <c r="I307" i="5"/>
  <c r="I344" i="5"/>
  <c r="T362" i="5"/>
  <c r="T842" i="5"/>
  <c r="T846" i="5" s="1"/>
  <c r="H733" i="5"/>
  <c r="I603" i="5"/>
  <c r="U529" i="5"/>
  <c r="U603" i="5"/>
  <c r="U677" i="5"/>
  <c r="U830" i="5"/>
  <c r="X835" i="5" s="1"/>
  <c r="U838" i="5" s="1"/>
  <c r="H547" i="5"/>
  <c r="H585" i="5"/>
  <c r="H807" i="5"/>
  <c r="I529" i="5"/>
  <c r="I566" i="5"/>
  <c r="I751" i="5"/>
  <c r="T770" i="5"/>
  <c r="I270" i="5"/>
  <c r="U751" i="5"/>
  <c r="T289" i="5"/>
  <c r="I788" i="5"/>
  <c r="T657" i="5"/>
  <c r="T661" i="5" s="1"/>
  <c r="I677" i="5"/>
  <c r="L613" i="5"/>
  <c r="I616" i="5" s="1"/>
  <c r="H617" i="5" s="1"/>
  <c r="X132" i="5"/>
  <c r="U135" i="5" s="1"/>
  <c r="H400" i="5"/>
  <c r="T177" i="5"/>
  <c r="L234" i="5"/>
  <c r="L243" i="5" s="1"/>
  <c r="I246" i="5" s="1"/>
  <c r="I792" i="5"/>
  <c r="X1168" i="5"/>
  <c r="U1171" i="5" s="1"/>
  <c r="T1172" i="5" s="1"/>
  <c r="X946" i="5"/>
  <c r="U949" i="5" s="1"/>
  <c r="T950" i="5" s="1"/>
  <c r="T958" i="5" s="1"/>
  <c r="I718" i="5"/>
  <c r="T27" i="5"/>
  <c r="T31" i="5" s="1"/>
  <c r="L86" i="5"/>
  <c r="H139" i="5"/>
  <c r="H143" i="5" s="1"/>
  <c r="H325" i="5"/>
  <c r="H473" i="5"/>
  <c r="L530" i="5"/>
  <c r="L539" i="5" s="1"/>
  <c r="I542" i="5" s="1"/>
  <c r="H543" i="5" s="1"/>
  <c r="T584" i="5"/>
  <c r="H696" i="5"/>
  <c r="H732" i="5"/>
  <c r="T913" i="5"/>
  <c r="T921" i="5" s="1"/>
  <c r="L1057" i="5"/>
  <c r="I1060" i="5" s="1"/>
  <c r="H1061" i="5" s="1"/>
  <c r="H1069" i="5" s="1"/>
  <c r="X1094" i="5"/>
  <c r="U1097" i="5" s="1"/>
  <c r="L169" i="5"/>
  <c r="I172" i="5" s="1"/>
  <c r="H173" i="5" s="1"/>
  <c r="U10" i="5"/>
  <c r="T622" i="5"/>
  <c r="I680" i="5"/>
  <c r="H913" i="5"/>
  <c r="H921" i="5" s="1"/>
  <c r="H103" i="5"/>
  <c r="H27" i="5"/>
  <c r="H31" i="5" s="1"/>
  <c r="T103" i="5"/>
  <c r="T140" i="5"/>
  <c r="H247" i="5"/>
  <c r="L391" i="5"/>
  <c r="I394" i="5" s="1"/>
  <c r="H395" i="5" s="1"/>
  <c r="L456" i="5"/>
  <c r="L465" i="5" s="1"/>
  <c r="I468" i="5" s="1"/>
  <c r="H469" i="5" s="1"/>
  <c r="L715" i="5"/>
  <c r="L724" i="5" s="1"/>
  <c r="I727" i="5" s="1"/>
  <c r="H806" i="5"/>
  <c r="I10" i="5"/>
  <c r="T141" i="5"/>
  <c r="H289" i="5"/>
  <c r="T731" i="5"/>
  <c r="T735" i="5" s="1"/>
  <c r="H770" i="5"/>
  <c r="T844" i="5"/>
  <c r="T843" i="5"/>
  <c r="X1057" i="5"/>
  <c r="U1060" i="5" s="1"/>
  <c r="T213" i="5"/>
  <c r="T217" i="5" s="1"/>
  <c r="H362" i="5"/>
  <c r="T400" i="5"/>
  <c r="T583" i="5"/>
  <c r="T587" i="5" s="1"/>
  <c r="T805" i="5"/>
  <c r="U899" i="5"/>
  <c r="I936" i="5"/>
  <c r="U973" i="5"/>
  <c r="L1020" i="5"/>
  <c r="I1023" i="5" s="1"/>
  <c r="T215" i="5"/>
  <c r="H288" i="5"/>
  <c r="H363" i="5"/>
  <c r="U381" i="5"/>
  <c r="U936" i="5"/>
  <c r="H252" i="5"/>
  <c r="X11" i="5"/>
  <c r="X20" i="5" s="1"/>
  <c r="U23" i="5" s="1"/>
  <c r="T363" i="5"/>
  <c r="T509" i="5"/>
  <c r="H622" i="5"/>
  <c r="H658" i="5"/>
  <c r="T658" i="5"/>
  <c r="L909" i="5"/>
  <c r="I912" i="5" s="1"/>
  <c r="I1126" i="5"/>
  <c r="I1158" i="5"/>
  <c r="T288" i="5"/>
  <c r="H326" i="5"/>
  <c r="H659" i="5"/>
  <c r="T696" i="5"/>
  <c r="U1158" i="5"/>
  <c r="T28" i="5"/>
  <c r="H177" i="5"/>
  <c r="I310" i="5"/>
  <c r="T435" i="5"/>
  <c r="L641" i="5"/>
  <c r="L650" i="5" s="1"/>
  <c r="I653" i="5" s="1"/>
  <c r="H654" i="5" s="1"/>
  <c r="H843" i="5"/>
  <c r="H994" i="5"/>
  <c r="T24" i="5"/>
  <c r="T32" i="5" s="1"/>
  <c r="H181" i="5"/>
  <c r="U418" i="5"/>
  <c r="T436" i="5"/>
  <c r="T510" i="5"/>
  <c r="T733" i="5"/>
  <c r="U789" i="5"/>
  <c r="L11" i="5"/>
  <c r="L20" i="5" s="1"/>
  <c r="I23" i="5" s="1"/>
  <c r="H24" i="5" s="1"/>
  <c r="H32" i="5" s="1"/>
  <c r="U48" i="5"/>
  <c r="X419" i="5"/>
  <c r="X428" i="5" s="1"/>
  <c r="U431" i="5" s="1"/>
  <c r="T432" i="5" s="1"/>
  <c r="H437" i="5"/>
  <c r="H474" i="5"/>
  <c r="U492" i="5"/>
  <c r="H511" i="5"/>
  <c r="H548" i="5"/>
  <c r="U566" i="5"/>
  <c r="T585" i="5"/>
  <c r="U640" i="5"/>
  <c r="T659" i="5"/>
  <c r="U714" i="5"/>
  <c r="X789" i="5"/>
  <c r="T807" i="5"/>
  <c r="H881" i="5"/>
  <c r="H880" i="5"/>
  <c r="H879" i="5"/>
  <c r="H28" i="5"/>
  <c r="T176" i="5"/>
  <c r="T180" i="5" s="1"/>
  <c r="U159" i="5"/>
  <c r="X160" i="5"/>
  <c r="X169" i="5" s="1"/>
  <c r="U172" i="5" s="1"/>
  <c r="H29" i="5"/>
  <c r="H67" i="5"/>
  <c r="H66" i="5"/>
  <c r="T437" i="5"/>
  <c r="T474" i="5"/>
  <c r="X493" i="5"/>
  <c r="X502" i="5" s="1"/>
  <c r="U505" i="5" s="1"/>
  <c r="T506" i="5" s="1"/>
  <c r="T511" i="5"/>
  <c r="T548" i="5"/>
  <c r="X567" i="5"/>
  <c r="X576" i="5" s="1"/>
  <c r="U579" i="5" s="1"/>
  <c r="T580" i="5" s="1"/>
  <c r="X641" i="5"/>
  <c r="X650" i="5" s="1"/>
  <c r="U653" i="5" s="1"/>
  <c r="T654" i="5" s="1"/>
  <c r="X715" i="5"/>
  <c r="X724" i="5" s="1"/>
  <c r="U727" i="5" s="1"/>
  <c r="T728" i="5" s="1"/>
  <c r="I863" i="5"/>
  <c r="T806" i="5"/>
  <c r="H62" i="5"/>
  <c r="H70" i="5" s="1"/>
  <c r="T178" i="5"/>
  <c r="L863" i="5"/>
  <c r="T173" i="5"/>
  <c r="I85" i="5"/>
  <c r="L1094" i="5"/>
  <c r="I1097" i="5" s="1"/>
  <c r="H1098" i="5" s="1"/>
  <c r="H1106" i="5" s="1"/>
  <c r="L95" i="5"/>
  <c r="I98" i="5" s="1"/>
  <c r="H99" i="5" s="1"/>
  <c r="H107" i="5" s="1"/>
  <c r="I754" i="5"/>
  <c r="U829" i="5"/>
  <c r="H1024" i="5"/>
  <c r="H1032" i="5" s="1"/>
  <c r="U270" i="5"/>
  <c r="X49" i="5"/>
  <c r="X58" i="5" s="1"/>
  <c r="U61" i="5" s="1"/>
  <c r="T62" i="5" s="1"/>
  <c r="T70" i="5" s="1"/>
  <c r="H65" i="5"/>
  <c r="H69" i="5" s="1"/>
  <c r="U85" i="5"/>
  <c r="T104" i="5"/>
  <c r="X86" i="5"/>
  <c r="X95" i="5" s="1"/>
  <c r="U98" i="5" s="1"/>
  <c r="T99" i="5" s="1"/>
  <c r="U307" i="5"/>
  <c r="T66" i="5"/>
  <c r="T361" i="5"/>
  <c r="T365" i="5" s="1"/>
  <c r="I978" i="5"/>
  <c r="L983" i="5" s="1"/>
  <c r="I986" i="5" s="1"/>
  <c r="H987" i="5" s="1"/>
  <c r="H995" i="5" s="1"/>
  <c r="I973" i="5"/>
  <c r="U1015" i="5"/>
  <c r="U1010" i="5"/>
  <c r="T67" i="5"/>
  <c r="T102" i="5"/>
  <c r="T106" i="5" s="1"/>
  <c r="T136" i="5"/>
  <c r="H215" i="5"/>
  <c r="H214" i="5"/>
  <c r="L197" i="5"/>
  <c r="L206" i="5" s="1"/>
  <c r="I209" i="5" s="1"/>
  <c r="H210" i="5" s="1"/>
  <c r="H218" i="5" s="1"/>
  <c r="T252" i="5"/>
  <c r="U344" i="5"/>
  <c r="H436" i="5"/>
  <c r="H769" i="5"/>
  <c r="L946" i="5"/>
  <c r="I949" i="5" s="1"/>
  <c r="H950" i="5" s="1"/>
  <c r="H958" i="5" s="1"/>
  <c r="X1020" i="5"/>
  <c r="U1023" i="5" s="1"/>
  <c r="T1024" i="5" s="1"/>
  <c r="T1032" i="5" s="1"/>
  <c r="H1172" i="5"/>
  <c r="H1180" i="5" s="1"/>
  <c r="H141" i="5"/>
  <c r="H140" i="5"/>
  <c r="L123" i="5"/>
  <c r="L132" i="5" s="1"/>
  <c r="I135" i="5" s="1"/>
  <c r="H136" i="5" s="1"/>
  <c r="H144" i="5" s="1"/>
  <c r="I196" i="5"/>
  <c r="T287" i="5"/>
  <c r="T291" i="5" s="1"/>
  <c r="T326" i="5"/>
  <c r="X345" i="5"/>
  <c r="X354" i="5" s="1"/>
  <c r="U357" i="5" s="1"/>
  <c r="T358" i="5" s="1"/>
  <c r="H399" i="5"/>
  <c r="H510" i="5"/>
  <c r="H584" i="5"/>
  <c r="H621" i="5"/>
  <c r="H695" i="5"/>
  <c r="T732" i="5"/>
  <c r="T1031" i="5"/>
  <c r="X1131" i="5"/>
  <c r="U1134" i="5" s="1"/>
  <c r="T1135" i="5" s="1"/>
  <c r="T1143" i="5" s="1"/>
  <c r="L1168" i="5"/>
  <c r="I1171" i="5" s="1"/>
  <c r="H104" i="5"/>
  <c r="H250" i="5"/>
  <c r="H254" i="5" s="1"/>
  <c r="H255" i="5" s="1"/>
  <c r="H324" i="5"/>
  <c r="H328" i="5" s="1"/>
  <c r="H398" i="5"/>
  <c r="H402" i="5" s="1"/>
  <c r="H472" i="5"/>
  <c r="H546" i="5"/>
  <c r="H620" i="5"/>
  <c r="H624" i="5" s="1"/>
  <c r="H694" i="5"/>
  <c r="H768" i="5"/>
  <c r="T214" i="5"/>
  <c r="T250" i="5"/>
  <c r="T254" i="5" s="1"/>
  <c r="T324" i="5"/>
  <c r="T398" i="5"/>
  <c r="T402" i="5" s="1"/>
  <c r="T472" i="5"/>
  <c r="T476" i="5" s="1"/>
  <c r="T546" i="5"/>
  <c r="T550" i="5" s="1"/>
  <c r="T620" i="5"/>
  <c r="T624" i="5" s="1"/>
  <c r="T694" i="5"/>
  <c r="T768" i="5"/>
  <c r="I827" i="5"/>
  <c r="I830" i="5"/>
  <c r="L835" i="5" s="1"/>
  <c r="I838" i="5" s="1"/>
  <c r="T1098" i="5"/>
  <c r="T1106" i="5" s="1"/>
  <c r="U1121" i="5"/>
  <c r="I122" i="5"/>
  <c r="L308" i="5"/>
  <c r="L317" i="5" s="1"/>
  <c r="I320" i="5" s="1"/>
  <c r="L752" i="5"/>
  <c r="L761" i="5" s="1"/>
  <c r="I764" i="5" s="1"/>
  <c r="U867" i="5"/>
  <c r="I1084" i="5"/>
  <c r="X197" i="5"/>
  <c r="X206" i="5" s="1"/>
  <c r="U209" i="5" s="1"/>
  <c r="T210" i="5" s="1"/>
  <c r="T218" i="5" s="1"/>
  <c r="T251" i="5"/>
  <c r="T325" i="5"/>
  <c r="T399" i="5"/>
  <c r="T473" i="5"/>
  <c r="T547" i="5"/>
  <c r="T621" i="5"/>
  <c r="T695" i="5"/>
  <c r="T769" i="5"/>
  <c r="U827" i="5"/>
  <c r="X983" i="5"/>
  <c r="U986" i="5" s="1"/>
  <c r="T987" i="5" s="1"/>
  <c r="T995" i="5" s="1"/>
  <c r="T1061" i="5"/>
  <c r="T1069" i="5" s="1"/>
  <c r="U1084" i="5"/>
  <c r="I1047" i="5"/>
  <c r="T139" i="5"/>
  <c r="T143" i="5" s="1"/>
  <c r="X234" i="5"/>
  <c r="X243" i="5" s="1"/>
  <c r="U246" i="5" s="1"/>
  <c r="T247" i="5" s="1"/>
  <c r="X308" i="5"/>
  <c r="X317" i="5" s="1"/>
  <c r="U320" i="5" s="1"/>
  <c r="T321" i="5" s="1"/>
  <c r="X382" i="5"/>
  <c r="X391" i="5" s="1"/>
  <c r="U394" i="5" s="1"/>
  <c r="T395" i="5" s="1"/>
  <c r="X456" i="5"/>
  <c r="X465" i="5" s="1"/>
  <c r="U468" i="5" s="1"/>
  <c r="T469" i="5" s="1"/>
  <c r="X530" i="5"/>
  <c r="X539" i="5" s="1"/>
  <c r="U542" i="5" s="1"/>
  <c r="T543" i="5" s="1"/>
  <c r="X604" i="5"/>
  <c r="X613" i="5" s="1"/>
  <c r="U616" i="5" s="1"/>
  <c r="T617" i="5" s="1"/>
  <c r="X678" i="5"/>
  <c r="X687" i="5" s="1"/>
  <c r="U690" i="5" s="1"/>
  <c r="T691" i="5" s="1"/>
  <c r="X752" i="5"/>
  <c r="X761" i="5" s="1"/>
  <c r="U764" i="5" s="1"/>
  <c r="T765" i="5" s="1"/>
  <c r="H176" i="5"/>
  <c r="H180" i="5" s="1"/>
  <c r="H287" i="5"/>
  <c r="H291" i="5" s="1"/>
  <c r="H361" i="5"/>
  <c r="H365" i="5" s="1"/>
  <c r="H435" i="5"/>
  <c r="H439" i="5" s="1"/>
  <c r="H509" i="5"/>
  <c r="H583" i="5"/>
  <c r="H657" i="5"/>
  <c r="H661" i="5" s="1"/>
  <c r="H731" i="5"/>
  <c r="H735" i="5" s="1"/>
  <c r="H805" i="5"/>
  <c r="H809" i="5" s="1"/>
  <c r="H842" i="5"/>
  <c r="H846" i="5" s="1"/>
  <c r="L271" i="5"/>
  <c r="L280" i="5" s="1"/>
  <c r="I283" i="5" s="1"/>
  <c r="H284" i="5" s="1"/>
  <c r="L345" i="5"/>
  <c r="L354" i="5" s="1"/>
  <c r="I357" i="5" s="1"/>
  <c r="H358" i="5" s="1"/>
  <c r="L419" i="5"/>
  <c r="L428" i="5" s="1"/>
  <c r="I431" i="5" s="1"/>
  <c r="H432" i="5" s="1"/>
  <c r="L493" i="5"/>
  <c r="L502" i="5" s="1"/>
  <c r="I505" i="5" s="1"/>
  <c r="H506" i="5" s="1"/>
  <c r="L567" i="5"/>
  <c r="L576" i="5" s="1"/>
  <c r="I579" i="5" s="1"/>
  <c r="H580" i="5" s="1"/>
  <c r="L789" i="5"/>
  <c r="L798" i="5" s="1"/>
  <c r="I801" i="5" s="1"/>
  <c r="H802" i="5" s="1"/>
  <c r="B46" i="2"/>
  <c r="C113" i="3" a="1"/>
  <c r="H691" i="5" l="1"/>
  <c r="H728" i="5"/>
  <c r="C113" i="3"/>
  <c r="T439" i="5"/>
  <c r="T440" i="5" s="1"/>
  <c r="H321" i="5"/>
  <c r="T477" i="5"/>
  <c r="H810" i="5"/>
  <c r="T809" i="5"/>
  <c r="H329" i="5"/>
  <c r="T551" i="5"/>
  <c r="T736" i="5"/>
  <c r="H625" i="5"/>
  <c r="T181" i="5"/>
  <c r="T588" i="5"/>
  <c r="H403" i="5"/>
  <c r="T662" i="5"/>
  <c r="T366" i="5"/>
  <c r="T513" i="5"/>
  <c r="T514" i="5" s="1"/>
  <c r="H366" i="5"/>
  <c r="H292" i="5"/>
  <c r="T839" i="5"/>
  <c r="T847" i="5" s="1"/>
  <c r="T876" i="5"/>
  <c r="T884" i="5" s="1"/>
  <c r="T328" i="5"/>
  <c r="T329" i="5" s="1"/>
  <c r="T255" i="5"/>
  <c r="T144" i="5"/>
  <c r="T107" i="5"/>
  <c r="X872" i="5"/>
  <c r="U875" i="5" s="1"/>
  <c r="L1131" i="5"/>
  <c r="I1134" i="5" s="1"/>
  <c r="H1135" i="5" s="1"/>
  <c r="H1143" i="5" s="1"/>
  <c r="H765" i="5"/>
  <c r="T403" i="5"/>
  <c r="I862" i="5"/>
  <c r="I867" i="5"/>
  <c r="L872" i="5" s="1"/>
  <c r="I875" i="5" s="1"/>
  <c r="H513" i="5"/>
  <c r="H514" i="5" s="1"/>
  <c r="H772" i="5"/>
  <c r="H587" i="5"/>
  <c r="H588" i="5" s="1"/>
  <c r="H698" i="5"/>
  <c r="H699" i="5" s="1"/>
  <c r="T625" i="5"/>
  <c r="H839" i="5"/>
  <c r="H847" i="5" s="1"/>
  <c r="T292" i="5"/>
  <c r="H736" i="5"/>
  <c r="T772" i="5"/>
  <c r="T773" i="5" s="1"/>
  <c r="H550" i="5"/>
  <c r="H551" i="5" s="1"/>
  <c r="H662" i="5"/>
  <c r="U788" i="5"/>
  <c r="U793" i="5"/>
  <c r="X798" i="5" s="1"/>
  <c r="U801" i="5" s="1"/>
  <c r="H440" i="5"/>
  <c r="T698" i="5"/>
  <c r="T699" i="5" s="1"/>
  <c r="H476" i="5"/>
  <c r="H477" i="5" s="1"/>
  <c r="H883" i="5"/>
  <c r="H773" i="5" l="1"/>
  <c r="T802" i="5"/>
  <c r="T810" i="5" s="1"/>
  <c r="H876" i="5"/>
  <c r="H884" i="5" s="1"/>
  <c r="AH108" i="3" l="1"/>
  <c r="AD108" i="3" s="1"/>
  <c r="AD11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<sst xmlns="http://schemas.openxmlformats.org/spreadsheetml/2006/main" count="7168" uniqueCount="202">
  <si>
    <t>CÔNG TY TNHH S&amp;D</t>
  </si>
  <si>
    <t xml:space="preserve"> Tổ Gián tiếp</t>
  </si>
  <si>
    <t>TT</t>
  </si>
  <si>
    <t>Họ và tên</t>
  </si>
  <si>
    <t>Mã số</t>
  </si>
  <si>
    <t>Ký nhận</t>
  </si>
  <si>
    <t>Ngày vào</t>
  </si>
  <si>
    <t>Mức lương</t>
  </si>
  <si>
    <t>Công</t>
  </si>
  <si>
    <t>Phép</t>
  </si>
  <si>
    <t>Học, họp</t>
  </si>
  <si>
    <t>Thêm giờ</t>
  </si>
  <si>
    <t>Tiền con nhỏ</t>
  </si>
  <si>
    <t>Lê Thị Hà</t>
  </si>
  <si>
    <t>Bùi Huy Ánh</t>
  </si>
  <si>
    <t>Xăng xe</t>
  </si>
  <si>
    <t>CN CÔNG TY TNHH S&amp;D TẠI THANH HOÁ</t>
  </si>
  <si>
    <t>BP: Bốc xếp</t>
  </si>
  <si>
    <t>BẢNG CHI TIẾT THANH TOÁN LƯƠNG</t>
  </si>
  <si>
    <t>Stt</t>
  </si>
  <si>
    <t>Mã Số</t>
  </si>
  <si>
    <t>Ngày tiếp nhận/ Mức lương CB</t>
  </si>
  <si>
    <t>Ăn ca</t>
  </si>
  <si>
    <t>Tổng cộng</t>
  </si>
  <si>
    <t>Thực lĩnh</t>
  </si>
  <si>
    <t>So sánh</t>
  </si>
  <si>
    <t>Lễ, tết</t>
  </si>
  <si>
    <t>Thêm Giờ</t>
  </si>
  <si>
    <t>Phụ cấp nuôi con nhỏ + ATV</t>
  </si>
  <si>
    <t>bï l­¬ng SP</t>
  </si>
  <si>
    <t>bï l­¬ng Thªm giê</t>
  </si>
  <si>
    <t>BHXH, BHYT, BHTN</t>
  </si>
  <si>
    <t>Công tiền</t>
  </si>
  <si>
    <t>Cộng</t>
  </si>
  <si>
    <t>Lập biểu</t>
  </si>
  <si>
    <t>CÔNG TY TNHH 888</t>
  </si>
  <si>
    <t>STT : 01</t>
  </si>
  <si>
    <t>Gián tiếp</t>
  </si>
  <si>
    <t>STT : 02</t>
  </si>
  <si>
    <t>PHIẾU CHI TIẾT LƯƠNG</t>
  </si>
  <si>
    <t xml:space="preserve">(01) Họ Và Tên </t>
  </si>
  <si>
    <t>:</t>
  </si>
  <si>
    <t>Nguyễn Văn Huy</t>
  </si>
  <si>
    <t>(02) Mã số cá nhân</t>
  </si>
  <si>
    <t>(03) Tổ / Bộ phận</t>
  </si>
  <si>
    <t>(04) Chức danh: Công nhân vận hành máy may công nghiệp</t>
  </si>
  <si>
    <t>(05) Lương cơ bản</t>
  </si>
  <si>
    <t>vnd</t>
  </si>
  <si>
    <t xml:space="preserve">(06) Giây chế tạo </t>
  </si>
  <si>
    <t>(07) Lương 1 giờ:</t>
  </si>
  <si>
    <t>(08) Công SP</t>
  </si>
  <si>
    <t>ngày</t>
  </si>
  <si>
    <t>Lương SP</t>
  </si>
  <si>
    <t>(09) Phép</t>
  </si>
  <si>
    <t>Lương Phép</t>
  </si>
  <si>
    <t>(10) Lễ, tết</t>
  </si>
  <si>
    <t>Lương lễ tết</t>
  </si>
  <si>
    <t>(11) Học, họp</t>
  </si>
  <si>
    <t>Lương học họp</t>
  </si>
  <si>
    <t>(12) Thêm giờ</t>
  </si>
  <si>
    <t>Giờ</t>
  </si>
  <si>
    <t>Lương thêm giờ</t>
  </si>
  <si>
    <t>(13) Thêm ngày CN</t>
  </si>
  <si>
    <t>Lương thêm ngày</t>
  </si>
  <si>
    <t xml:space="preserve">(14) Chờ Việc </t>
  </si>
  <si>
    <t>Lương chờ việc</t>
  </si>
  <si>
    <t>(15) Con nhỏ, thai 7 tháng</t>
  </si>
  <si>
    <t>Lương giờ con nhỏ</t>
  </si>
  <si>
    <t>(16) Ca ba</t>
  </si>
  <si>
    <t>Cơm ca</t>
  </si>
  <si>
    <t>(17) Nóng, độc hại</t>
  </si>
  <si>
    <t>%</t>
  </si>
  <si>
    <t>Tiền nóng, độc hại</t>
  </si>
  <si>
    <t>(18) Khuyến công</t>
  </si>
  <si>
    <t>Tiền khuyến công</t>
  </si>
  <si>
    <t>(19) Lương khác</t>
  </si>
  <si>
    <t>(20) Bù lương</t>
  </si>
  <si>
    <t>-------&gt;</t>
  </si>
  <si>
    <t>(21) Tổng cộng lương</t>
  </si>
  <si>
    <t>(22) Khấu trừ</t>
  </si>
  <si>
    <t>BHXH (8%)</t>
  </si>
  <si>
    <t>BHYT (1.5%)</t>
  </si>
  <si>
    <t>BHTN (1%)</t>
  </si>
  <si>
    <t>(23) Thuế</t>
  </si>
  <si>
    <t>(24) Tổng khấu trừ</t>
  </si>
  <si>
    <t>(25) Thực lĩnh</t>
  </si>
  <si>
    <t>Phụ trách đơn vị</t>
  </si>
  <si>
    <t>Đã duyệt</t>
  </si>
  <si>
    <t>STT : 03</t>
  </si>
  <si>
    <t>STT : 04</t>
  </si>
  <si>
    <t>Phạm Văn Định</t>
  </si>
  <si>
    <t>Đặng Văn Tá</t>
  </si>
  <si>
    <t>Lương giờ ca ba</t>
  </si>
  <si>
    <t>STT : 05</t>
  </si>
  <si>
    <t>STT : 06</t>
  </si>
  <si>
    <t>Nguyễn Thị Hạnh</t>
  </si>
  <si>
    <t>Vũ Thị Thuỷ</t>
  </si>
  <si>
    <t>(16) Ăn ca</t>
  </si>
  <si>
    <t>STT : 07</t>
  </si>
  <si>
    <t>STT : 08</t>
  </si>
  <si>
    <t>Nguyễn Văn Tuấn</t>
  </si>
  <si>
    <t>(16) Tiền ăn ca</t>
  </si>
  <si>
    <t>STT : 09</t>
  </si>
  <si>
    <t>STT : 10</t>
  </si>
  <si>
    <t>Hoàng Thị Quỳnh</t>
  </si>
  <si>
    <t>Lương ăn ca</t>
  </si>
  <si>
    <t>STT : 11</t>
  </si>
  <si>
    <t>STT : 12</t>
  </si>
  <si>
    <t>Trịnh Thị Duyên</t>
  </si>
  <si>
    <t>Mai Văn Điều</t>
  </si>
  <si>
    <t>STT : 13</t>
  </si>
  <si>
    <t>STT : 14</t>
  </si>
  <si>
    <t>Trịnh Quốc Hiệp</t>
  </si>
  <si>
    <t>Hoàng Minh Công</t>
  </si>
  <si>
    <t>STT : 15</t>
  </si>
  <si>
    <t>STT : 16</t>
  </si>
  <si>
    <t>Tổ 10</t>
  </si>
  <si>
    <t>(18) Công ăn ca</t>
  </si>
  <si>
    <t>Tiền ăn ca</t>
  </si>
  <si>
    <t>STT : 17</t>
  </si>
  <si>
    <t>STT : 18</t>
  </si>
  <si>
    <t>STT : 19</t>
  </si>
  <si>
    <t>STT : 20</t>
  </si>
  <si>
    <t>STT : 21</t>
  </si>
  <si>
    <t>STT : 22</t>
  </si>
  <si>
    <t>STT : 23</t>
  </si>
  <si>
    <t>STT : 24</t>
  </si>
  <si>
    <t>STT : 25</t>
  </si>
  <si>
    <t>STT : 26</t>
  </si>
  <si>
    <t>STT : 27</t>
  </si>
  <si>
    <t>STT : 28</t>
  </si>
  <si>
    <t>STT : 29</t>
  </si>
  <si>
    <t>STT : 30</t>
  </si>
  <si>
    <t>STT : 31</t>
  </si>
  <si>
    <t>STT : 32</t>
  </si>
  <si>
    <t>STT : 33</t>
  </si>
  <si>
    <t>STT : 34</t>
  </si>
  <si>
    <t>STT : 35</t>
  </si>
  <si>
    <t>STT : 36</t>
  </si>
  <si>
    <t>STT : 37</t>
  </si>
  <si>
    <t>STT : 38</t>
  </si>
  <si>
    <t>STT : 39</t>
  </si>
  <si>
    <t>STT : 40</t>
  </si>
  <si>
    <t>STT : 41</t>
  </si>
  <si>
    <t>STT : 42</t>
  </si>
  <si>
    <t>STT : 43</t>
  </si>
  <si>
    <t>STT : 44</t>
  </si>
  <si>
    <t>STT : 45</t>
  </si>
  <si>
    <t>STT : 46</t>
  </si>
  <si>
    <t>STT : 47</t>
  </si>
  <si>
    <t>STT : 48</t>
  </si>
  <si>
    <t>STT : 49</t>
  </si>
  <si>
    <t>STT : 50</t>
  </si>
  <si>
    <t>STT : 51</t>
  </si>
  <si>
    <t>STT : 52</t>
  </si>
  <si>
    <t>STT : 53</t>
  </si>
  <si>
    <t>STT : 54</t>
  </si>
  <si>
    <t xml:space="preserve">STT : 55 </t>
  </si>
  <si>
    <t>STT : 56</t>
  </si>
  <si>
    <t>STT : 57</t>
  </si>
  <si>
    <t>STT : 58</t>
  </si>
  <si>
    <t>STT : 59</t>
  </si>
  <si>
    <t>STT : 60</t>
  </si>
  <si>
    <t>STT : 61</t>
  </si>
  <si>
    <t>STT : 62</t>
  </si>
  <si>
    <t>STT : 63</t>
  </si>
  <si>
    <t>STT : 64</t>
  </si>
  <si>
    <t>Bằng chữ:</t>
  </si>
  <si>
    <t>Khuyến công</t>
  </si>
  <si>
    <t>Phân loại</t>
  </si>
  <si>
    <t>PC ATV</t>
  </si>
  <si>
    <t>Vắt sữa</t>
  </si>
  <si>
    <t>CN</t>
  </si>
  <si>
    <t>Tổng lương thực tế</t>
  </si>
  <si>
    <t>PCCV</t>
  </si>
  <si>
    <t>Lê Thị Linh</t>
  </si>
  <si>
    <t>Khấu trừ</t>
  </si>
  <si>
    <t>CĐ</t>
  </si>
  <si>
    <t>Hỗ trợ gửi hàng</t>
  </si>
  <si>
    <t>Lê Văn Bắc</t>
  </si>
  <si>
    <t>Chủ nhật</t>
  </si>
  <si>
    <t>BẢNG HẾ SỐ HƯỞNG LƯƠNG THÁNG 11/2024</t>
  </si>
  <si>
    <t>Công SP</t>
  </si>
  <si>
    <t>Các khoản hỗ trợ</t>
  </si>
  <si>
    <t>Chuyên cần</t>
  </si>
  <si>
    <t>Bốc công ngoài giờ</t>
  </si>
  <si>
    <t>Đi lại</t>
  </si>
  <si>
    <t>Đi lại (Thâm niên)</t>
  </si>
  <si>
    <t>Thưởng theo KQKD</t>
  </si>
  <si>
    <t>Các khoản tiền lương</t>
  </si>
  <si>
    <t>24=23/22</t>
  </si>
  <si>
    <t>25=27/21</t>
  </si>
  <si>
    <t>26=25/24</t>
  </si>
  <si>
    <t>27=17-8</t>
  </si>
  <si>
    <t>Mức lương CB</t>
  </si>
  <si>
    <t>BQT03</t>
  </si>
  <si>
    <t>Ngày 15 tháng 05 năm 2026</t>
  </si>
  <si>
    <t>Công T03</t>
  </si>
  <si>
    <t>Lương T03</t>
  </si>
  <si>
    <t>BQT04</t>
  </si>
  <si>
    <t>Tháng 04 năm 2026</t>
  </si>
  <si>
    <t>Lễ tết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</si>
</sst>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.00_-;\-* #,##0.00_-;_-* &quot;-&quot;??_-;_-@_-"/>
    <numFmt numFmtId="165" formatCode="_(* #,##0.00_);_(* \(#,##0.00\);_(* &quot;-&quot;&quot;?&quot;&quot;?&quot;_);_(@_)"/>
    <numFmt numFmtId="166" formatCode="0.0"/>
    <numFmt numFmtId="167" formatCode="_(* #,##0_);_(* \(#,##0\);_(* &quot;-&quot;&quot;?&quot;&quot;?&quot;_);_(@_)"/>
    <numFmt numFmtId="168" formatCode="_-* #,##0_-;\-* #,##0_-;_-* &quot;-&quot;??_-;_-@_-"/>
    <numFmt numFmtId="169" formatCode="#,##0.0"/>
    <numFmt numFmtId="170" formatCode="_(* #,##0.0_);_(* \(#,##0.0\);_(* &quot;-&quot;&quot;?&quot;&quot;?&quot;_);_(@_)"/>
    <numFmt numFmtId="171" formatCode="#,##0;[Red]#,##0"/>
    <numFmt numFmtId="172" formatCode="_-* #,##0.00\ _₫_-;\-* #,##0.00\ _₫_-;_-* &quot;-&quot;&quot;?&quot;&quot;?&quot;\ _₫_-;_-@_-"/>
    <numFmt numFmtId="173" formatCode="_-* #,##0_-;\-* #,##0_-;_-* &quot;-&quot;&quot;?&quot;&quot;?&quot;_-;_-@_-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.VnTime"/>
      <family val="2"/>
    </font>
    <font>
      <sz val="12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2"/>
      <name val=".VnTime"/>
      <family val="2"/>
    </font>
    <font>
      <b/>
      <sz val="1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name val="Arial"/>
      <family val="2"/>
    </font>
    <font>
      <sz val="14"/>
      <color theme="1"/>
      <name val="Times New Roman"/>
      <family val="1"/>
    </font>
    <font>
      <sz val="8"/>
      <name val="Times New Roman"/>
      <family val="1"/>
    </font>
    <font>
      <sz val="11"/>
      <color theme="1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b/>
      <i/>
      <sz val="11"/>
      <name val="Times New Roman"/>
      <family val="1"/>
    </font>
    <font>
      <b/>
      <i/>
      <sz val="13"/>
      <name val="Times New Roman"/>
      <family val="1"/>
    </font>
    <font>
      <sz val="8"/>
      <name val="VNI-Helve-Condense"/>
      <family val="2"/>
    </font>
    <font>
      <i/>
      <sz val="9"/>
      <name val="Times New Roman"/>
      <family val="1"/>
    </font>
    <font>
      <b/>
      <sz val="8"/>
      <name val="Times New Roman"/>
      <family val="1"/>
    </font>
    <font>
      <b/>
      <u/>
      <sz val="9"/>
      <name val="Times New Roman"/>
      <family val="1"/>
    </font>
    <font>
      <b/>
      <i/>
      <u val="singleAccounting"/>
      <sz val="11"/>
      <name val="Times New Roman"/>
      <family val="1"/>
    </font>
    <font>
      <b/>
      <i/>
      <u/>
      <sz val="11"/>
      <color theme="1"/>
      <name val="Times New Roman"/>
      <family val="1"/>
    </font>
    <font>
      <sz val="10"/>
      <color theme="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8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8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double">
        <color indexed="64"/>
      </right>
      <top/>
      <bottom style="thin">
        <color indexed="12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2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0"/>
    <xf numFmtId="0" fontId="22" fillId="0" borderId="0"/>
    <xf numFmtId="165" fontId="11" fillId="0" borderId="0" applyFont="0" applyFill="0" applyBorder="0" applyAlignment="0" applyProtection="0"/>
    <xf numFmtId="172" fontId="2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305">
    <xf numFmtId="0" fontId="0" fillId="0" borderId="0" xfId="0"/>
    <xf numFmtId="0" fontId="3" fillId="2" borderId="0" xfId="2" applyFont="1" applyFill="1"/>
    <xf numFmtId="0" fontId="4" fillId="2" borderId="0" xfId="2" applyFont="1" applyFill="1"/>
    <xf numFmtId="1" fontId="3" fillId="2" borderId="0" xfId="2" applyNumberFormat="1" applyFont="1" applyFill="1"/>
    <xf numFmtId="0" fontId="7" fillId="2" borderId="0" xfId="2" applyFont="1" applyFill="1"/>
    <xf numFmtId="0" fontId="2" fillId="2" borderId="0" xfId="2" applyFill="1"/>
    <xf numFmtId="1" fontId="7" fillId="2" borderId="0" xfId="2" applyNumberFormat="1" applyFont="1" applyFill="1"/>
    <xf numFmtId="0" fontId="3" fillId="2" borderId="0" xfId="2" applyFont="1" applyFill="1" applyAlignment="1">
      <alignment horizontal="center" vertical="center" wrapText="1"/>
    </xf>
    <xf numFmtId="0" fontId="5" fillId="2" borderId="3" xfId="2" applyFont="1" applyFill="1" applyBorder="1" applyAlignment="1">
      <alignment horizontal="center" vertical="center" wrapText="1"/>
    </xf>
    <xf numFmtId="0" fontId="4" fillId="2" borderId="6" xfId="2" applyFont="1" applyFill="1" applyBorder="1" applyAlignment="1">
      <alignment horizontal="center" wrapText="1"/>
    </xf>
    <xf numFmtId="4" fontId="4" fillId="2" borderId="7" xfId="2" applyNumberFormat="1" applyFont="1" applyFill="1" applyBorder="1" applyAlignment="1">
      <alignment horizontal="left" wrapText="1"/>
    </xf>
    <xf numFmtId="1" fontId="4" fillId="2" borderId="7" xfId="2" applyNumberFormat="1" applyFont="1" applyFill="1" applyBorder="1" applyAlignment="1">
      <alignment horizontal="center" wrapText="1"/>
    </xf>
    <xf numFmtId="0" fontId="9" fillId="0" borderId="3" xfId="2" applyFont="1" applyBorder="1" applyAlignment="1">
      <alignment horizontal="left" vertical="center"/>
    </xf>
    <xf numFmtId="4" fontId="4" fillId="2" borderId="7" xfId="2" applyNumberFormat="1" applyFont="1" applyFill="1" applyBorder="1"/>
    <xf numFmtId="0" fontId="9" fillId="2" borderId="7" xfId="2" applyFont="1" applyFill="1" applyBorder="1" applyAlignment="1">
      <alignment horizontal="left" wrapText="1"/>
    </xf>
    <xf numFmtId="0" fontId="4" fillId="2" borderId="3" xfId="2" applyFont="1" applyFill="1" applyBorder="1" applyAlignment="1">
      <alignment horizontal="center" wrapText="1"/>
    </xf>
    <xf numFmtId="4" fontId="4" fillId="2" borderId="3" xfId="2" applyNumberFormat="1" applyFont="1" applyFill="1" applyBorder="1" applyAlignment="1">
      <alignment horizontal="left" wrapText="1"/>
    </xf>
    <xf numFmtId="0" fontId="4" fillId="2" borderId="0" xfId="2" applyFont="1" applyFill="1" applyAlignment="1">
      <alignment horizontal="left" wrapText="1"/>
    </xf>
    <xf numFmtId="1" fontId="4" fillId="2" borderId="0" xfId="2" applyNumberFormat="1" applyFont="1" applyFill="1" applyAlignment="1">
      <alignment horizontal="center" wrapText="1"/>
    </xf>
    <xf numFmtId="0" fontId="4" fillId="2" borderId="0" xfId="2" applyFont="1" applyFill="1" applyAlignment="1">
      <alignment horizontal="center" wrapText="1"/>
    </xf>
    <xf numFmtId="1" fontId="4" fillId="2" borderId="0" xfId="2" applyNumberFormat="1" applyFont="1" applyFill="1"/>
    <xf numFmtId="0" fontId="4" fillId="2" borderId="9" xfId="2" applyFont="1" applyFill="1" applyBorder="1" applyAlignment="1">
      <alignment horizontal="center" wrapText="1"/>
    </xf>
    <xf numFmtId="0" fontId="4" fillId="2" borderId="9" xfId="2" applyFont="1" applyFill="1" applyBorder="1" applyAlignment="1">
      <alignment horizontal="left" wrapText="1"/>
    </xf>
    <xf numFmtId="1" fontId="4" fillId="2" borderId="9" xfId="2" applyNumberFormat="1" applyFont="1" applyFill="1" applyBorder="1" applyAlignment="1">
      <alignment horizontal="center" wrapText="1"/>
    </xf>
    <xf numFmtId="0" fontId="4" fillId="2" borderId="10" xfId="2" applyFont="1" applyFill="1" applyBorder="1"/>
    <xf numFmtId="0" fontId="4" fillId="2" borderId="7" xfId="2" applyFont="1" applyFill="1" applyBorder="1" applyAlignment="1">
      <alignment horizontal="center" wrapText="1"/>
    </xf>
    <xf numFmtId="0" fontId="4" fillId="2" borderId="7" xfId="2" applyFont="1" applyFill="1" applyBorder="1" applyAlignment="1">
      <alignment horizontal="left" wrapText="1"/>
    </xf>
    <xf numFmtId="0" fontId="4" fillId="2" borderId="11" xfId="2" applyFont="1" applyFill="1" applyBorder="1"/>
    <xf numFmtId="0" fontId="4" fillId="2" borderId="12" xfId="2" applyFont="1" applyFill="1" applyBorder="1" applyAlignment="1">
      <alignment horizontal="center" wrapText="1"/>
    </xf>
    <xf numFmtId="0" fontId="4" fillId="2" borderId="12" xfId="2" applyFont="1" applyFill="1" applyBorder="1" applyAlignment="1">
      <alignment horizontal="left" wrapText="1"/>
    </xf>
    <xf numFmtId="1" fontId="4" fillId="2" borderId="12" xfId="2" applyNumberFormat="1" applyFont="1" applyFill="1" applyBorder="1" applyAlignment="1">
      <alignment horizontal="center" wrapText="1"/>
    </xf>
    <xf numFmtId="0" fontId="4" fillId="2" borderId="13" xfId="2" applyFont="1" applyFill="1" applyBorder="1" applyAlignment="1">
      <alignment horizontal="center" wrapText="1"/>
    </xf>
    <xf numFmtId="0" fontId="4" fillId="2" borderId="13" xfId="2" applyFont="1" applyFill="1" applyBorder="1" applyAlignment="1">
      <alignment horizontal="left" wrapText="1"/>
    </xf>
    <xf numFmtId="1" fontId="4" fillId="2" borderId="13" xfId="2" applyNumberFormat="1" applyFont="1" applyFill="1" applyBorder="1" applyAlignment="1">
      <alignment horizontal="center" wrapText="1"/>
    </xf>
    <xf numFmtId="0" fontId="4" fillId="2" borderId="13" xfId="2" applyFont="1" applyFill="1" applyBorder="1" applyAlignment="1">
      <alignment horizontal="center"/>
    </xf>
    <xf numFmtId="0" fontId="4" fillId="2" borderId="13" xfId="2" applyFont="1" applyFill="1" applyBorder="1"/>
    <xf numFmtId="1" fontId="4" fillId="2" borderId="13" xfId="2" applyNumberFormat="1" applyFont="1" applyFill="1" applyBorder="1"/>
    <xf numFmtId="1" fontId="4" fillId="2" borderId="7" xfId="2" applyNumberFormat="1" applyFont="1" applyFill="1" applyBorder="1"/>
    <xf numFmtId="0" fontId="4" fillId="2" borderId="7" xfId="2" applyFont="1" applyFill="1" applyBorder="1" applyAlignment="1">
      <alignment horizontal="center"/>
    </xf>
    <xf numFmtId="0" fontId="4" fillId="2" borderId="0" xfId="2" applyFont="1" applyFill="1" applyAlignment="1">
      <alignment horizontal="center" vertical="center" wrapText="1"/>
    </xf>
    <xf numFmtId="1" fontId="3" fillId="2" borderId="0" xfId="2" applyNumberFormat="1" applyFont="1" applyFill="1" applyAlignment="1">
      <alignment horizontal="center" vertical="center" wrapText="1"/>
    </xf>
    <xf numFmtId="0" fontId="3" fillId="2" borderId="0" xfId="2" applyFont="1" applyFill="1" applyAlignment="1" applyProtection="1">
      <alignment horizontal="center" vertical="center" wrapText="1"/>
      <protection locked="0"/>
    </xf>
    <xf numFmtId="0" fontId="5" fillId="2" borderId="15" xfId="2" applyFont="1" applyFill="1" applyBorder="1" applyAlignment="1">
      <alignment horizontal="center" vertical="center" wrapText="1"/>
    </xf>
    <xf numFmtId="0" fontId="4" fillId="2" borderId="16" xfId="2" applyFont="1" applyFill="1" applyBorder="1" applyAlignment="1">
      <alignment horizontal="center" wrapText="1"/>
    </xf>
    <xf numFmtId="0" fontId="4" fillId="2" borderId="15" xfId="2" applyFont="1" applyFill="1" applyBorder="1" applyAlignment="1">
      <alignment horizontal="center" wrapText="1"/>
    </xf>
    <xf numFmtId="1" fontId="4" fillId="2" borderId="18" xfId="2" applyNumberFormat="1" applyFont="1" applyFill="1" applyBorder="1" applyAlignment="1">
      <alignment horizontal="center" wrapText="1"/>
    </xf>
    <xf numFmtId="1" fontId="9" fillId="2" borderId="18" xfId="2" applyNumberFormat="1" applyFont="1" applyFill="1" applyBorder="1" applyAlignment="1">
      <alignment horizontal="center" wrapText="1"/>
    </xf>
    <xf numFmtId="0" fontId="9" fillId="2" borderId="18" xfId="2" applyFont="1" applyFill="1" applyBorder="1" applyAlignment="1">
      <alignment horizontal="center" wrapText="1"/>
    </xf>
    <xf numFmtId="1" fontId="4" fillId="2" borderId="17" xfId="2" applyNumberFormat="1" applyFont="1" applyFill="1" applyBorder="1" applyAlignment="1">
      <alignment horizontal="center" wrapText="1"/>
    </xf>
    <xf numFmtId="0" fontId="2" fillId="2" borderId="4" xfId="2" applyFill="1" applyBorder="1"/>
    <xf numFmtId="0" fontId="4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166" fontId="4" fillId="2" borderId="0" xfId="2" applyNumberFormat="1" applyFont="1" applyFill="1" applyAlignment="1">
      <alignment horizontal="center" vertical="center"/>
    </xf>
    <xf numFmtId="0" fontId="14" fillId="2" borderId="0" xfId="2" applyFont="1" applyFill="1" applyAlignment="1">
      <alignment horizontal="center" vertical="center"/>
    </xf>
    <xf numFmtId="0" fontId="2" fillId="2" borderId="0" xfId="2" applyFill="1" applyAlignment="1">
      <alignment horizontal="center" vertical="center"/>
    </xf>
    <xf numFmtId="0" fontId="4" fillId="2" borderId="14" xfId="2" applyFont="1" applyFill="1" applyBorder="1" applyAlignment="1">
      <alignment horizontal="center" vertical="center"/>
    </xf>
    <xf numFmtId="14" fontId="4" fillId="2" borderId="0" xfId="2" applyNumberFormat="1" applyFont="1" applyFill="1" applyAlignment="1">
      <alignment horizontal="center" vertical="center"/>
    </xf>
    <xf numFmtId="3" fontId="4" fillId="2" borderId="0" xfId="2" applyNumberFormat="1" applyFont="1" applyFill="1" applyAlignment="1">
      <alignment horizontal="center" vertical="center"/>
    </xf>
    <xf numFmtId="0" fontId="4" fillId="2" borderId="4" xfId="2" applyFont="1" applyFill="1" applyBorder="1" applyAlignment="1">
      <alignment horizontal="center" vertical="center"/>
    </xf>
    <xf numFmtId="0" fontId="5" fillId="2" borderId="0" xfId="2" applyFont="1" applyFill="1"/>
    <xf numFmtId="0" fontId="5" fillId="3" borderId="4" xfId="2" applyFont="1" applyFill="1" applyBorder="1" applyAlignment="1">
      <alignment horizontal="center" vertical="center" wrapText="1"/>
    </xf>
    <xf numFmtId="0" fontId="8" fillId="3" borderId="4" xfId="2" applyFont="1" applyFill="1" applyBorder="1" applyAlignment="1">
      <alignment horizontal="center" vertical="center" wrapText="1"/>
    </xf>
    <xf numFmtId="1" fontId="5" fillId="3" borderId="4" xfId="2" applyNumberFormat="1" applyFont="1" applyFill="1" applyBorder="1" applyAlignment="1">
      <alignment horizontal="center" vertical="center" wrapText="1"/>
    </xf>
    <xf numFmtId="0" fontId="5" fillId="0" borderId="0" xfId="2" applyFont="1"/>
    <xf numFmtId="167" fontId="5" fillId="0" borderId="0" xfId="3" applyNumberFormat="1" applyFont="1" applyFill="1"/>
    <xf numFmtId="0" fontId="4" fillId="0" borderId="0" xfId="2" applyFont="1"/>
    <xf numFmtId="0" fontId="3" fillId="0" borderId="0" xfId="2" applyFont="1"/>
    <xf numFmtId="167" fontId="3" fillId="0" borderId="0" xfId="3" applyNumberFormat="1" applyFont="1" applyFill="1"/>
    <xf numFmtId="3" fontId="3" fillId="0" borderId="0" xfId="2" applyNumberFormat="1" applyFont="1"/>
    <xf numFmtId="170" fontId="3" fillId="0" borderId="0" xfId="3" applyNumberFormat="1" applyFont="1" applyFill="1"/>
    <xf numFmtId="0" fontId="15" fillId="0" borderId="3" xfId="2" applyFont="1" applyBorder="1" applyAlignment="1">
      <alignment horizontal="center" vertical="center" wrapText="1"/>
    </xf>
    <xf numFmtId="0" fontId="9" fillId="0" borderId="0" xfId="2" applyFont="1"/>
    <xf numFmtId="0" fontId="17" fillId="0" borderId="1" xfId="2" applyFont="1" applyBorder="1" applyAlignment="1">
      <alignment horizontal="center" vertical="center" wrapText="1"/>
    </xf>
    <xf numFmtId="167" fontId="17" fillId="0" borderId="1" xfId="5" applyNumberFormat="1" applyFont="1" applyFill="1" applyBorder="1" applyAlignment="1">
      <alignment horizontal="center" vertical="center" wrapText="1"/>
    </xf>
    <xf numFmtId="1" fontId="17" fillId="0" borderId="1" xfId="3" applyNumberFormat="1" applyFont="1" applyFill="1" applyBorder="1" applyAlignment="1">
      <alignment horizontal="center" vertical="center" wrapText="1"/>
    </xf>
    <xf numFmtId="167" fontId="17" fillId="0" borderId="1" xfId="3" applyNumberFormat="1" applyFont="1" applyFill="1" applyBorder="1" applyAlignment="1">
      <alignment horizontal="center" vertical="center" wrapText="1"/>
    </xf>
    <xf numFmtId="0" fontId="9" fillId="0" borderId="1" xfId="2" applyFont="1" applyBorder="1" applyAlignment="1">
      <alignment vertical="center" shrinkToFit="1"/>
    </xf>
    <xf numFmtId="166" fontId="9" fillId="0" borderId="1" xfId="2" applyNumberFormat="1" applyFont="1" applyBorder="1" applyAlignment="1">
      <alignment vertical="center" shrinkToFit="1"/>
    </xf>
    <xf numFmtId="166" fontId="9" fillId="0" borderId="1" xfId="3" applyNumberFormat="1" applyFont="1" applyFill="1" applyBorder="1" applyAlignment="1">
      <alignment vertical="center" shrinkToFit="1"/>
    </xf>
    <xf numFmtId="2" fontId="9" fillId="0" borderId="1" xfId="3" applyNumberFormat="1" applyFont="1" applyFill="1" applyBorder="1" applyAlignment="1">
      <alignment vertical="center" shrinkToFit="1"/>
    </xf>
    <xf numFmtId="167" fontId="9" fillId="0" borderId="1" xfId="3" applyNumberFormat="1" applyFont="1" applyFill="1" applyBorder="1" applyAlignment="1">
      <alignment vertical="center" shrinkToFit="1"/>
    </xf>
    <xf numFmtId="3" fontId="9" fillId="0" borderId="9" xfId="2" applyNumberFormat="1" applyFont="1" applyBorder="1" applyAlignment="1">
      <alignment vertical="center" shrinkToFit="1"/>
    </xf>
    <xf numFmtId="3" fontId="9" fillId="0" borderId="9" xfId="5" applyNumberFormat="1" applyFont="1" applyFill="1" applyBorder="1" applyAlignment="1">
      <alignment vertical="center" shrinkToFit="1"/>
    </xf>
    <xf numFmtId="167" fontId="4" fillId="3" borderId="3" xfId="5" applyNumberFormat="1" applyFont="1" applyFill="1" applyBorder="1"/>
    <xf numFmtId="0" fontId="4" fillId="0" borderId="3" xfId="2" applyFont="1" applyBorder="1"/>
    <xf numFmtId="0" fontId="9" fillId="0" borderId="9" xfId="2" applyFont="1" applyBorder="1" applyAlignment="1">
      <alignment horizontal="center" vertical="center"/>
    </xf>
    <xf numFmtId="0" fontId="9" fillId="0" borderId="9" xfId="2" applyFont="1" applyBorder="1" applyAlignment="1">
      <alignment horizontal="left" vertical="center" wrapText="1"/>
    </xf>
    <xf numFmtId="0" fontId="9" fillId="0" borderId="19" xfId="2" applyFont="1" applyBorder="1" applyAlignment="1">
      <alignment vertical="center" shrinkToFit="1"/>
    </xf>
    <xf numFmtId="0" fontId="9" fillId="0" borderId="22" xfId="2" applyFont="1" applyBorder="1" applyAlignment="1">
      <alignment vertical="center" shrinkToFit="1"/>
    </xf>
    <xf numFmtId="0" fontId="9" fillId="0" borderId="9" xfId="2" applyFont="1" applyBorder="1" applyAlignment="1">
      <alignment vertical="center" shrinkToFit="1"/>
    </xf>
    <xf numFmtId="0" fontId="9" fillId="0" borderId="9" xfId="3" applyNumberFormat="1" applyFont="1" applyFill="1" applyBorder="1" applyAlignment="1">
      <alignment vertical="center" shrinkToFit="1"/>
    </xf>
    <xf numFmtId="167" fontId="9" fillId="0" borderId="9" xfId="3" applyNumberFormat="1" applyFont="1" applyFill="1" applyBorder="1" applyAlignment="1">
      <alignment vertical="center" shrinkToFit="1"/>
    </xf>
    <xf numFmtId="169" fontId="15" fillId="0" borderId="3" xfId="3" applyNumberFormat="1" applyFont="1" applyFill="1" applyBorder="1" applyAlignment="1">
      <alignment vertical="center" shrinkToFit="1"/>
    </xf>
    <xf numFmtId="3" fontId="15" fillId="0" borderId="3" xfId="3" applyNumberFormat="1" applyFont="1" applyFill="1" applyBorder="1" applyAlignment="1">
      <alignment vertical="center" shrinkToFit="1"/>
    </xf>
    <xf numFmtId="0" fontId="9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166" fontId="15" fillId="0" borderId="0" xfId="3" applyNumberFormat="1" applyFont="1" applyFill="1" applyBorder="1" applyAlignment="1">
      <alignment vertical="center" shrinkToFit="1"/>
    </xf>
    <xf numFmtId="167" fontId="15" fillId="0" borderId="0" xfId="3" applyNumberFormat="1" applyFont="1" applyFill="1" applyBorder="1" applyAlignment="1">
      <alignment vertical="center" shrinkToFit="1"/>
    </xf>
    <xf numFmtId="0" fontId="3" fillId="0" borderId="0" xfId="3" applyNumberFormat="1" applyFont="1" applyFill="1"/>
    <xf numFmtId="0" fontId="19" fillId="0" borderId="0" xfId="2" applyFont="1" applyAlignment="1">
      <alignment wrapText="1"/>
    </xf>
    <xf numFmtId="0" fontId="19" fillId="0" borderId="0" xfId="2" applyFont="1"/>
    <xf numFmtId="167" fontId="19" fillId="0" borderId="0" xfId="3" applyNumberFormat="1" applyFont="1" applyFill="1"/>
    <xf numFmtId="0" fontId="20" fillId="0" borderId="0" xfId="2" applyFont="1"/>
    <xf numFmtId="167" fontId="4" fillId="0" borderId="0" xfId="3" applyNumberFormat="1" applyFont="1" applyFill="1"/>
    <xf numFmtId="0" fontId="5" fillId="0" borderId="0" xfId="2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19" fillId="0" borderId="0" xfId="2" applyFont="1" applyAlignment="1">
      <alignment horizontal="center" vertical="center" wrapText="1"/>
    </xf>
    <xf numFmtId="0" fontId="8" fillId="0" borderId="0" xfId="2" applyFont="1"/>
    <xf numFmtId="0" fontId="6" fillId="0" borderId="0" xfId="2" applyFont="1" applyAlignment="1">
      <alignment horizontal="center" vertical="center"/>
    </xf>
    <xf numFmtId="0" fontId="17" fillId="0" borderId="0" xfId="8" applyFont="1"/>
    <xf numFmtId="0" fontId="16" fillId="3" borderId="32" xfId="7" applyFont="1" applyFill="1" applyBorder="1" applyAlignment="1">
      <alignment horizontal="center"/>
    </xf>
    <xf numFmtId="0" fontId="16" fillId="0" borderId="0" xfId="7" applyFont="1" applyAlignment="1">
      <alignment horizontal="center"/>
    </xf>
    <xf numFmtId="0" fontId="16" fillId="0" borderId="33" xfId="7" applyFont="1" applyBorder="1" applyAlignment="1">
      <alignment horizontal="center"/>
    </xf>
    <xf numFmtId="0" fontId="17" fillId="0" borderId="0" xfId="7" applyFont="1"/>
    <xf numFmtId="0" fontId="17" fillId="0" borderId="34" xfId="7" applyFont="1" applyBorder="1"/>
    <xf numFmtId="0" fontId="16" fillId="0" borderId="32" xfId="7" applyFont="1" applyBorder="1"/>
    <xf numFmtId="2" fontId="17" fillId="0" borderId="10" xfId="7" applyNumberFormat="1" applyFont="1" applyBorder="1" applyAlignment="1">
      <alignment horizontal="right"/>
    </xf>
    <xf numFmtId="0" fontId="23" fillId="0" borderId="0" xfId="7" applyFont="1"/>
    <xf numFmtId="0" fontId="17" fillId="0" borderId="0" xfId="7" applyFont="1" applyAlignment="1">
      <alignment horizontal="left"/>
    </xf>
    <xf numFmtId="3" fontId="3" fillId="2" borderId="0" xfId="8" applyNumberFormat="1" applyFont="1" applyFill="1" applyAlignment="1">
      <alignment vertical="center" shrinkToFit="1"/>
    </xf>
    <xf numFmtId="171" fontId="5" fillId="0" borderId="0" xfId="9" applyNumberFormat="1" applyFont="1" applyBorder="1" applyAlignment="1">
      <alignment horizontal="right"/>
    </xf>
    <xf numFmtId="0" fontId="23" fillId="0" borderId="34" xfId="7" applyFont="1" applyBorder="1"/>
    <xf numFmtId="173" fontId="17" fillId="0" borderId="0" xfId="10" applyNumberFormat="1" applyFont="1"/>
    <xf numFmtId="2" fontId="17" fillId="0" borderId="0" xfId="7" applyNumberFormat="1" applyFont="1"/>
    <xf numFmtId="0" fontId="24" fillId="0" borderId="32" xfId="7" applyFont="1" applyBorder="1"/>
    <xf numFmtId="0" fontId="16" fillId="0" borderId="0" xfId="7" applyFont="1" applyAlignment="1">
      <alignment horizontal="left"/>
    </xf>
    <xf numFmtId="0" fontId="16" fillId="0" borderId="36" xfId="7" applyFont="1" applyBorder="1"/>
    <xf numFmtId="0" fontId="17" fillId="0" borderId="10" xfId="7" applyFont="1" applyBorder="1"/>
    <xf numFmtId="0" fontId="17" fillId="0" borderId="39" xfId="7" applyFont="1" applyBorder="1"/>
    <xf numFmtId="0" fontId="17" fillId="0" borderId="28" xfId="7" applyFont="1" applyBorder="1"/>
    <xf numFmtId="0" fontId="23" fillId="0" borderId="40" xfId="7" applyFont="1" applyBorder="1"/>
    <xf numFmtId="0" fontId="17" fillId="0" borderId="45" xfId="7" applyFont="1" applyBorder="1"/>
    <xf numFmtId="2" fontId="17" fillId="0" borderId="46" xfId="7" applyNumberFormat="1" applyFont="1" applyBorder="1"/>
    <xf numFmtId="0" fontId="17" fillId="0" borderId="47" xfId="7" applyFont="1" applyBorder="1"/>
    <xf numFmtId="0" fontId="17" fillId="0" borderId="32" xfId="7" applyFont="1" applyBorder="1"/>
    <xf numFmtId="0" fontId="17" fillId="0" borderId="48" xfId="7" applyFont="1" applyBorder="1"/>
    <xf numFmtId="0" fontId="17" fillId="0" borderId="49" xfId="7" applyFont="1" applyBorder="1"/>
    <xf numFmtId="0" fontId="17" fillId="0" borderId="0" xfId="7" applyFont="1" applyAlignment="1">
      <alignment horizontal="center"/>
    </xf>
    <xf numFmtId="0" fontId="2" fillId="0" borderId="0" xfId="2"/>
    <xf numFmtId="0" fontId="17" fillId="2" borderId="1" xfId="0" applyFont="1" applyFill="1" applyBorder="1" applyAlignment="1">
      <alignment horizontal="center" vertical="center" wrapText="1"/>
    </xf>
    <xf numFmtId="0" fontId="4" fillId="3" borderId="3" xfId="0" applyFont="1" applyFill="1" applyBorder="1"/>
    <xf numFmtId="0" fontId="4" fillId="4" borderId="3" xfId="0" applyFont="1" applyFill="1" applyBorder="1"/>
    <xf numFmtId="2" fontId="4" fillId="4" borderId="3" xfId="0" applyNumberFormat="1" applyFont="1" applyFill="1" applyBorder="1"/>
    <xf numFmtId="166" fontId="21" fillId="0" borderId="0" xfId="3" applyNumberFormat="1" applyFont="1" applyFill="1" applyBorder="1" applyAlignment="1">
      <alignment vertical="center" shrinkToFit="1"/>
    </xf>
    <xf numFmtId="9" fontId="4" fillId="4" borderId="3" xfId="6" applyFont="1" applyFill="1" applyBorder="1"/>
    <xf numFmtId="0" fontId="4" fillId="2" borderId="4" xfId="0" applyFont="1" applyFill="1" applyBorder="1" applyAlignment="1">
      <alignment horizontal="center" vertical="center"/>
    </xf>
    <xf numFmtId="3" fontId="4" fillId="0" borderId="3" xfId="2" applyNumberFormat="1" applyFont="1" applyBorder="1"/>
    <xf numFmtId="167" fontId="17" fillId="2" borderId="1" xfId="5" applyNumberFormat="1" applyFont="1" applyFill="1" applyBorder="1" applyAlignment="1">
      <alignment horizontal="center" vertical="center" wrapText="1"/>
    </xf>
    <xf numFmtId="167" fontId="17" fillId="2" borderId="1" xfId="4" applyNumberFormat="1" applyFont="1" applyFill="1" applyBorder="1" applyAlignment="1">
      <alignment horizontal="center" vertical="center" wrapText="1"/>
    </xf>
    <xf numFmtId="167" fontId="4" fillId="4" borderId="3" xfId="4" applyNumberFormat="1" applyFont="1" applyFill="1" applyBorder="1"/>
    <xf numFmtId="0" fontId="17" fillId="0" borderId="3" xfId="2" applyFont="1" applyBorder="1" applyAlignment="1">
      <alignment horizontal="center" vertical="center"/>
    </xf>
    <xf numFmtId="168" fontId="26" fillId="0" borderId="0" xfId="1" applyNumberFormat="1" applyFont="1"/>
    <xf numFmtId="0" fontId="27" fillId="0" borderId="0" xfId="2" applyFont="1"/>
    <xf numFmtId="167" fontId="28" fillId="0" borderId="1" xfId="3" applyNumberFormat="1" applyFont="1" applyFill="1" applyBorder="1" applyAlignment="1">
      <alignment vertical="center" shrinkToFit="1"/>
    </xf>
    <xf numFmtId="3" fontId="28" fillId="0" borderId="9" xfId="5" applyNumberFormat="1" applyFont="1" applyFill="1" applyBorder="1" applyAlignment="1">
      <alignment vertical="center" shrinkToFit="1"/>
    </xf>
    <xf numFmtId="167" fontId="28" fillId="0" borderId="9" xfId="3" applyNumberFormat="1" applyFont="1" applyFill="1" applyBorder="1" applyAlignment="1">
      <alignment vertical="center" shrinkToFit="1"/>
    </xf>
    <xf numFmtId="170" fontId="17" fillId="2" borderId="1" xfId="5" applyNumberFormat="1" applyFont="1" applyFill="1" applyBorder="1" applyAlignment="1">
      <alignment horizontal="center" vertical="center" wrapText="1"/>
    </xf>
    <xf numFmtId="170" fontId="4" fillId="3" borderId="3" xfId="5" applyNumberFormat="1" applyFont="1" applyFill="1" applyBorder="1"/>
    <xf numFmtId="0" fontId="3" fillId="0" borderId="0" xfId="2" applyFont="1" applyAlignment="1">
      <alignment vertical="center"/>
    </xf>
    <xf numFmtId="167" fontId="3" fillId="0" borderId="0" xfId="3" applyNumberFormat="1" applyFont="1" applyFill="1" applyAlignment="1">
      <alignment vertical="center"/>
    </xf>
    <xf numFmtId="167" fontId="9" fillId="0" borderId="0" xfId="3" applyNumberFormat="1" applyFont="1" applyFill="1" applyAlignment="1">
      <alignment vertical="center"/>
    </xf>
    <xf numFmtId="0" fontId="4" fillId="0" borderId="0" xfId="2" applyFont="1" applyAlignment="1">
      <alignment vertical="center"/>
    </xf>
    <xf numFmtId="3" fontId="3" fillId="0" borderId="0" xfId="2" applyNumberFormat="1" applyFont="1" applyAlignment="1">
      <alignment vertical="center"/>
    </xf>
    <xf numFmtId="167" fontId="13" fillId="0" borderId="0" xfId="2" applyNumberFormat="1" applyFont="1" applyAlignment="1">
      <alignment vertical="center"/>
    </xf>
    <xf numFmtId="3" fontId="3" fillId="0" borderId="0" xfId="3" applyNumberFormat="1" applyFont="1" applyFill="1" applyAlignment="1">
      <alignment vertical="center"/>
    </xf>
    <xf numFmtId="170" fontId="4" fillId="3" borderId="3" xfId="3" applyNumberFormat="1" applyFont="1" applyFill="1" applyBorder="1"/>
    <xf numFmtId="0" fontId="15" fillId="0" borderId="17" xfId="2" applyFont="1" applyBorder="1" applyAlignment="1">
      <alignment vertical="center" wrapText="1"/>
    </xf>
    <xf numFmtId="167" fontId="4" fillId="0" borderId="0" xfId="2" applyNumberFormat="1" applyFont="1"/>
    <xf numFmtId="0" fontId="8" fillId="0" borderId="0" xfId="1" applyNumberFormat="1" applyFont="1"/>
    <xf numFmtId="1" fontId="5" fillId="2" borderId="20" xfId="2" applyNumberFormat="1" applyFont="1" applyFill="1" applyBorder="1" applyAlignment="1">
      <alignment horizontal="center" vertical="center" wrapText="1"/>
    </xf>
    <xf numFmtId="1" fontId="10" fillId="0" borderId="3" xfId="2" applyNumberFormat="1" applyFont="1" applyBorder="1" applyAlignment="1">
      <alignment horizontal="center" vertical="center"/>
    </xf>
    <xf numFmtId="168" fontId="4" fillId="2" borderId="3" xfId="1" applyNumberFormat="1" applyFont="1" applyFill="1" applyBorder="1" applyAlignment="1">
      <alignment horizontal="center" vertical="center"/>
    </xf>
    <xf numFmtId="14" fontId="4" fillId="2" borderId="3" xfId="0" applyNumberFormat="1" applyFont="1" applyFill="1" applyBorder="1" applyAlignment="1">
      <alignment horizontal="center" vertical="center"/>
    </xf>
    <xf numFmtId="167" fontId="4" fillId="2" borderId="3" xfId="5" applyNumberFormat="1" applyFont="1" applyFill="1" applyBorder="1" applyAlignment="1">
      <alignment horizontal="center" vertical="center"/>
    </xf>
    <xf numFmtId="166" fontId="4" fillId="2" borderId="3" xfId="0" applyNumberFormat="1" applyFont="1" applyFill="1" applyBorder="1" applyAlignment="1">
      <alignment horizontal="center" vertical="center"/>
    </xf>
    <xf numFmtId="1" fontId="4" fillId="2" borderId="3" xfId="2" applyNumberFormat="1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2" applyFont="1" applyFill="1" applyBorder="1"/>
    <xf numFmtId="0" fontId="4" fillId="2" borderId="3" xfId="2" applyFont="1" applyFill="1" applyBorder="1" applyAlignment="1">
      <alignment horizontal="center" vertical="center"/>
    </xf>
    <xf numFmtId="14" fontId="4" fillId="2" borderId="3" xfId="2" applyNumberFormat="1" applyFont="1" applyFill="1" applyBorder="1" applyAlignment="1">
      <alignment horizontal="center" vertical="center"/>
    </xf>
    <xf numFmtId="2" fontId="4" fillId="2" borderId="3" xfId="2" applyNumberFormat="1" applyFont="1" applyFill="1" applyBorder="1" applyAlignment="1">
      <alignment horizontal="center" vertical="center"/>
    </xf>
    <xf numFmtId="166" fontId="4" fillId="2" borderId="3" xfId="2" applyNumberFormat="1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 wrapText="1"/>
    </xf>
    <xf numFmtId="168" fontId="3" fillId="2" borderId="3" xfId="1" applyNumberFormat="1" applyFont="1" applyFill="1" applyBorder="1"/>
    <xf numFmtId="0" fontId="2" fillId="0" borderId="3" xfId="2" applyBorder="1"/>
    <xf numFmtId="0" fontId="3" fillId="2" borderId="3" xfId="2" applyFont="1" applyFill="1" applyBorder="1" applyAlignment="1">
      <alignment horizontal="center" vertical="center"/>
    </xf>
    <xf numFmtId="14" fontId="12" fillId="2" borderId="3" xfId="2" applyNumberFormat="1" applyFont="1" applyFill="1" applyBorder="1" applyAlignment="1">
      <alignment horizontal="left" vertical="center"/>
    </xf>
    <xf numFmtId="1" fontId="12" fillId="2" borderId="3" xfId="2" applyNumberFormat="1" applyFont="1" applyFill="1" applyBorder="1" applyAlignment="1">
      <alignment horizontal="center" vertical="center"/>
    </xf>
    <xf numFmtId="1" fontId="4" fillId="2" borderId="3" xfId="2" applyNumberFormat="1" applyFont="1" applyFill="1" applyBorder="1" applyAlignment="1">
      <alignment vertical="center"/>
    </xf>
    <xf numFmtId="0" fontId="3" fillId="3" borderId="1" xfId="2" applyFont="1" applyFill="1" applyBorder="1" applyAlignment="1">
      <alignment horizontal="center" wrapText="1"/>
    </xf>
    <xf numFmtId="0" fontId="3" fillId="3" borderId="4" xfId="2" applyFont="1" applyFill="1" applyBorder="1" applyAlignment="1">
      <alignment horizontal="center" wrapText="1"/>
    </xf>
    <xf numFmtId="0" fontId="4" fillId="3" borderId="3" xfId="2" applyFont="1" applyFill="1" applyBorder="1" applyAlignment="1">
      <alignment horizontal="center" vertical="center" wrapText="1"/>
    </xf>
    <xf numFmtId="1" fontId="3" fillId="3" borderId="3" xfId="2" applyNumberFormat="1" applyFont="1" applyFill="1" applyBorder="1" applyAlignment="1">
      <alignment horizontal="center" vertical="center" wrapText="1"/>
    </xf>
    <xf numFmtId="0" fontId="3" fillId="3" borderId="1" xfId="2" applyFont="1" applyFill="1" applyBorder="1" applyAlignment="1" applyProtection="1">
      <alignment horizontal="center" vertical="center" wrapText="1"/>
      <protection locked="0"/>
    </xf>
    <xf numFmtId="0" fontId="3" fillId="3" borderId="4" xfId="2" applyFont="1" applyFill="1" applyBorder="1" applyAlignment="1" applyProtection="1">
      <alignment horizontal="center" vertical="center" wrapText="1"/>
      <protection locked="0"/>
    </xf>
    <xf numFmtId="0" fontId="6" fillId="2" borderId="0" xfId="2" applyFont="1" applyFill="1" applyAlignment="1">
      <alignment horizontal="center"/>
    </xf>
    <xf numFmtId="0" fontId="5" fillId="3" borderId="1" xfId="2" applyFont="1" applyFill="1" applyBorder="1" applyAlignment="1">
      <alignment horizontal="center" vertical="center" wrapText="1"/>
    </xf>
    <xf numFmtId="0" fontId="5" fillId="3" borderId="4" xfId="2" applyFont="1" applyFill="1" applyBorder="1" applyAlignment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8" fillId="3" borderId="4" xfId="2" applyFont="1" applyFill="1" applyBorder="1" applyAlignment="1">
      <alignment horizontal="center" vertical="center" wrapText="1"/>
    </xf>
    <xf numFmtId="1" fontId="5" fillId="3" borderId="1" xfId="2" applyNumberFormat="1" applyFont="1" applyFill="1" applyBorder="1" applyAlignment="1">
      <alignment horizontal="center" vertical="center" wrapText="1"/>
    </xf>
    <xf numFmtId="1" fontId="5" fillId="3" borderId="4" xfId="2" applyNumberFormat="1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wrapText="1"/>
    </xf>
    <xf numFmtId="0" fontId="3" fillId="3" borderId="4" xfId="2" applyFont="1" applyFill="1" applyBorder="1" applyAlignment="1">
      <alignment horizontal="center" vertical="center" wrapText="1"/>
    </xf>
    <xf numFmtId="167" fontId="3" fillId="3" borderId="1" xfId="3" applyNumberFormat="1" applyFont="1" applyFill="1" applyBorder="1" applyAlignment="1">
      <alignment horizontal="center"/>
    </xf>
    <xf numFmtId="167" fontId="3" fillId="3" borderId="4" xfId="3" applyNumberFormat="1" applyFont="1" applyFill="1" applyBorder="1" applyAlignment="1">
      <alignment horizontal="center"/>
    </xf>
    <xf numFmtId="0" fontId="9" fillId="0" borderId="1" xfId="2" applyFont="1" applyBorder="1" applyAlignment="1">
      <alignment horizontal="center" vertical="center"/>
    </xf>
    <xf numFmtId="0" fontId="9" fillId="0" borderId="8" xfId="2" applyFont="1" applyBorder="1" applyAlignment="1">
      <alignment horizontal="center" vertical="center"/>
    </xf>
    <xf numFmtId="1" fontId="9" fillId="0" borderId="1" xfId="2" applyNumberFormat="1" applyFont="1" applyBorder="1" applyAlignment="1">
      <alignment horizontal="left" vertical="center"/>
    </xf>
    <xf numFmtId="0" fontId="9" fillId="0" borderId="8" xfId="2" applyFont="1" applyBorder="1" applyAlignment="1">
      <alignment horizontal="left" vertical="center"/>
    </xf>
    <xf numFmtId="1" fontId="9" fillId="0" borderId="1" xfId="2" applyNumberFormat="1" applyFont="1" applyBorder="1" applyAlignment="1">
      <alignment horizontal="center" vertical="center"/>
    </xf>
    <xf numFmtId="14" fontId="9" fillId="0" borderId="23" xfId="2" applyNumberFormat="1" applyFont="1" applyBorder="1" applyAlignment="1">
      <alignment horizontal="center" vertical="center" shrinkToFit="1"/>
    </xf>
    <xf numFmtId="0" fontId="9" fillId="0" borderId="24" xfId="2" applyFont="1" applyBorder="1" applyAlignment="1">
      <alignment horizontal="center" vertical="center" shrinkToFit="1"/>
    </xf>
    <xf numFmtId="1" fontId="9" fillId="0" borderId="25" xfId="2" applyNumberFormat="1" applyFont="1" applyBorder="1" applyAlignment="1">
      <alignment horizontal="center" vertical="center" shrinkToFit="1"/>
    </xf>
    <xf numFmtId="1" fontId="9" fillId="0" borderId="26" xfId="2" applyNumberFormat="1" applyFont="1" applyBorder="1" applyAlignment="1">
      <alignment horizontal="center" vertical="center" shrinkToFit="1"/>
    </xf>
    <xf numFmtId="0" fontId="15" fillId="0" borderId="2" xfId="2" applyFont="1" applyBorder="1" applyAlignment="1">
      <alignment horizontal="center" vertical="center" wrapText="1"/>
    </xf>
    <xf numFmtId="0" fontId="15" fillId="0" borderId="5" xfId="2" applyFont="1" applyBorder="1" applyAlignment="1">
      <alignment horizontal="center" vertical="center" wrapText="1"/>
    </xf>
    <xf numFmtId="0" fontId="15" fillId="0" borderId="53" xfId="2" applyFont="1" applyBorder="1" applyAlignment="1">
      <alignment horizontal="center" vertical="center" wrapText="1"/>
    </xf>
    <xf numFmtId="0" fontId="5" fillId="0" borderId="0" xfId="2" applyFont="1" applyAlignment="1">
      <alignment horizontal="center"/>
    </xf>
    <xf numFmtId="0" fontId="19" fillId="0" borderId="0" xfId="2" applyFont="1" applyAlignment="1">
      <alignment horizontal="center"/>
    </xf>
    <xf numFmtId="0" fontId="15" fillId="0" borderId="3" xfId="2" applyFont="1" applyBorder="1" applyAlignment="1">
      <alignment horizontal="center" vertical="center" wrapText="1"/>
    </xf>
    <xf numFmtId="0" fontId="15" fillId="0" borderId="20" xfId="2" applyFont="1" applyBorder="1" applyAlignment="1">
      <alignment horizontal="center" vertical="center" wrapText="1"/>
    </xf>
    <xf numFmtId="0" fontId="15" fillId="0" borderId="21" xfId="2" applyFont="1" applyBorder="1" applyAlignment="1">
      <alignment horizontal="center" vertical="center" wrapText="1"/>
    </xf>
    <xf numFmtId="0" fontId="15" fillId="0" borderId="19" xfId="2" applyFont="1" applyBorder="1" applyAlignment="1">
      <alignment horizontal="center" vertical="center" wrapText="1"/>
    </xf>
    <xf numFmtId="0" fontId="15" fillId="0" borderId="22" xfId="2" applyFont="1" applyBorder="1" applyAlignment="1">
      <alignment horizontal="center" vertical="center" wrapText="1"/>
    </xf>
    <xf numFmtId="0" fontId="17" fillId="0" borderId="15" xfId="2" applyFont="1" applyBorder="1" applyAlignment="1">
      <alignment horizontal="center" vertical="center" wrapText="1"/>
    </xf>
    <xf numFmtId="0" fontId="17" fillId="0" borderId="17" xfId="2" applyFont="1" applyBorder="1" applyAlignment="1">
      <alignment horizontal="center" vertical="center" wrapText="1"/>
    </xf>
    <xf numFmtId="167" fontId="16" fillId="0" borderId="1" xfId="5" applyNumberFormat="1" applyFont="1" applyFill="1" applyBorder="1" applyAlignment="1">
      <alignment horizontal="center" vertical="center" wrapText="1"/>
    </xf>
    <xf numFmtId="167" fontId="16" fillId="0" borderId="9" xfId="5" applyNumberFormat="1" applyFont="1" applyFill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 wrapText="1"/>
    </xf>
    <xf numFmtId="0" fontId="16" fillId="0" borderId="9" xfId="2" applyFont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 wrapText="1"/>
    </xf>
    <xf numFmtId="0" fontId="15" fillId="0" borderId="9" xfId="2" applyFont="1" applyBorder="1" applyAlignment="1">
      <alignment horizontal="center" vertical="center" wrapText="1"/>
    </xf>
    <xf numFmtId="1" fontId="9" fillId="0" borderId="9" xfId="2" applyNumberFormat="1" applyFont="1" applyBorder="1" applyAlignment="1">
      <alignment horizontal="left" vertical="center"/>
    </xf>
    <xf numFmtId="0" fontId="9" fillId="0" borderId="25" xfId="2" applyFont="1" applyBorder="1" applyAlignment="1">
      <alignment horizontal="center" vertical="center" shrinkToFit="1"/>
    </xf>
    <xf numFmtId="0" fontId="9" fillId="0" borderId="26" xfId="2" applyFont="1" applyBorder="1" applyAlignment="1">
      <alignment horizontal="center" vertical="center" shrinkToFit="1"/>
    </xf>
    <xf numFmtId="0" fontId="9" fillId="0" borderId="23" xfId="2" applyFont="1" applyBorder="1" applyAlignment="1">
      <alignment horizontal="center" vertical="center" shrinkToFit="1"/>
    </xf>
    <xf numFmtId="166" fontId="21" fillId="0" borderId="0" xfId="3" applyNumberFormat="1" applyFont="1" applyFill="1" applyBorder="1" applyAlignment="1">
      <alignment horizontal="center" vertical="center" shrinkToFit="1"/>
    </xf>
    <xf numFmtId="0" fontId="18" fillId="0" borderId="0" xfId="2" applyFont="1" applyAlignment="1">
      <alignment horizontal="center"/>
    </xf>
    <xf numFmtId="0" fontId="9" fillId="0" borderId="16" xfId="2" applyFont="1" applyBorder="1" applyAlignment="1">
      <alignment horizontal="center" vertical="center"/>
    </xf>
    <xf numFmtId="0" fontId="9" fillId="0" borderId="25" xfId="2" applyFont="1" applyBorder="1" applyAlignment="1">
      <alignment horizontal="center" vertical="center"/>
    </xf>
    <xf numFmtId="0" fontId="15" fillId="0" borderId="14" xfId="2" applyFont="1" applyBorder="1" applyAlignment="1">
      <alignment horizontal="center" vertical="center" wrapText="1"/>
    </xf>
    <xf numFmtId="0" fontId="15" fillId="0" borderId="28" xfId="2" applyFont="1" applyBorder="1" applyAlignment="1">
      <alignment horizontal="center" vertical="center" wrapText="1"/>
    </xf>
    <xf numFmtId="0" fontId="15" fillId="0" borderId="27" xfId="2" applyFont="1" applyBorder="1" applyAlignment="1">
      <alignment horizontal="center" vertical="center"/>
    </xf>
    <xf numFmtId="0" fontId="15" fillId="0" borderId="26" xfId="2" applyFont="1" applyBorder="1" applyAlignment="1">
      <alignment horizontal="center" vertical="center"/>
    </xf>
    <xf numFmtId="0" fontId="4" fillId="5" borderId="1" xfId="2" applyFont="1" applyFill="1" applyBorder="1" applyAlignment="1">
      <alignment horizontal="center" vertical="center" wrapText="1"/>
    </xf>
    <xf numFmtId="0" fontId="4" fillId="5" borderId="4" xfId="2" applyFont="1" applyFill="1" applyBorder="1" applyAlignment="1">
      <alignment horizontal="center" vertical="center" wrapText="1"/>
    </xf>
    <xf numFmtId="0" fontId="4" fillId="5" borderId="51" xfId="2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1" xfId="0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2" fontId="4" fillId="4" borderId="4" xfId="0" applyNumberFormat="1" applyFont="1" applyFill="1" applyBorder="1" applyAlignment="1">
      <alignment horizontal="center" vertical="center"/>
    </xf>
    <xf numFmtId="2" fontId="4" fillId="4" borderId="51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70" fontId="4" fillId="3" borderId="3" xfId="5" applyNumberFormat="1" applyFont="1" applyFill="1" applyBorder="1" applyAlignment="1">
      <alignment horizontal="center" vertical="center"/>
    </xf>
    <xf numFmtId="1" fontId="5" fillId="2" borderId="1" xfId="2" applyNumberFormat="1" applyFont="1" applyFill="1" applyBorder="1" applyAlignment="1">
      <alignment horizontal="center" vertical="center"/>
    </xf>
    <xf numFmtId="1" fontId="5" fillId="2" borderId="4" xfId="2" applyNumberFormat="1" applyFont="1" applyFill="1" applyBorder="1" applyAlignment="1">
      <alignment horizontal="center" vertical="center"/>
    </xf>
    <xf numFmtId="1" fontId="5" fillId="2" borderId="51" xfId="2" applyNumberFormat="1" applyFont="1" applyFill="1" applyBorder="1" applyAlignment="1">
      <alignment horizontal="center" vertical="center"/>
    </xf>
    <xf numFmtId="0" fontId="15" fillId="0" borderId="15" xfId="2" applyFont="1" applyBorder="1" applyAlignment="1">
      <alignment horizontal="center" vertical="center" wrapText="1"/>
    </xf>
    <xf numFmtId="0" fontId="15" fillId="0" borderId="52" xfId="2" applyFont="1" applyBorder="1" applyAlignment="1">
      <alignment horizontal="center" vertical="center" wrapText="1"/>
    </xf>
    <xf numFmtId="0" fontId="15" fillId="0" borderId="17" xfId="2" applyFont="1" applyBorder="1" applyAlignment="1">
      <alignment horizontal="center" vertical="center" wrapText="1"/>
    </xf>
    <xf numFmtId="0" fontId="15" fillId="0" borderId="51" xfId="2" applyFont="1" applyBorder="1" applyAlignment="1">
      <alignment horizontal="center" vertical="center" wrapText="1"/>
    </xf>
    <xf numFmtId="167" fontId="15" fillId="0" borderId="1" xfId="3" applyNumberFormat="1" applyFont="1" applyFill="1" applyBorder="1" applyAlignment="1">
      <alignment horizontal="center" vertical="center" wrapText="1"/>
    </xf>
    <xf numFmtId="167" fontId="15" fillId="0" borderId="4" xfId="3" applyNumberFormat="1" applyFont="1" applyFill="1" applyBorder="1" applyAlignment="1">
      <alignment horizontal="center" vertical="center" wrapText="1"/>
    </xf>
    <xf numFmtId="167" fontId="15" fillId="0" borderId="51" xfId="3" applyNumberFormat="1" applyFont="1" applyFill="1" applyBorder="1" applyAlignment="1">
      <alignment horizontal="center" vertical="center" wrapText="1"/>
    </xf>
    <xf numFmtId="0" fontId="16" fillId="0" borderId="32" xfId="7" applyFont="1" applyBorder="1" applyAlignment="1">
      <alignment horizontal="left"/>
    </xf>
    <xf numFmtId="0" fontId="16" fillId="0" borderId="0" xfId="7" applyFont="1" applyAlignment="1">
      <alignment horizontal="left"/>
    </xf>
    <xf numFmtId="1" fontId="16" fillId="0" borderId="0" xfId="7" applyNumberFormat="1" applyFont="1" applyAlignment="1">
      <alignment horizontal="left"/>
    </xf>
    <xf numFmtId="1" fontId="16" fillId="0" borderId="33" xfId="7" applyNumberFormat="1" applyFont="1" applyBorder="1" applyAlignment="1">
      <alignment horizontal="left"/>
    </xf>
    <xf numFmtId="0" fontId="16" fillId="0" borderId="33" xfId="7" applyFont="1" applyBorder="1" applyAlignment="1">
      <alignment horizontal="left"/>
    </xf>
    <xf numFmtId="0" fontId="16" fillId="0" borderId="29" xfId="7" applyFont="1" applyBorder="1" applyAlignment="1">
      <alignment horizontal="center"/>
    </xf>
    <xf numFmtId="0" fontId="16" fillId="0" borderId="30" xfId="7" applyFont="1" applyBorder="1" applyAlignment="1">
      <alignment horizontal="center"/>
    </xf>
    <xf numFmtId="0" fontId="16" fillId="0" borderId="31" xfId="7" applyFont="1" applyBorder="1" applyAlignment="1">
      <alignment horizontal="center"/>
    </xf>
    <xf numFmtId="0" fontId="16" fillId="0" borderId="32" xfId="7" applyFont="1" applyBorder="1" applyAlignment="1">
      <alignment horizontal="center"/>
    </xf>
    <xf numFmtId="0" fontId="16" fillId="0" borderId="0" xfId="7" applyFont="1" applyAlignment="1">
      <alignment horizontal="center"/>
    </xf>
    <xf numFmtId="0" fontId="16" fillId="0" borderId="33" xfId="7" applyFont="1" applyBorder="1" applyAlignment="1">
      <alignment horizontal="center"/>
    </xf>
    <xf numFmtId="0" fontId="16" fillId="2" borderId="0" xfId="7" applyFont="1" applyFill="1" applyAlignment="1">
      <alignment horizontal="left"/>
    </xf>
    <xf numFmtId="171" fontId="16" fillId="0" borderId="11" xfId="9" applyNumberFormat="1" applyFont="1" applyBorder="1" applyAlignment="1">
      <alignment horizontal="right"/>
    </xf>
    <xf numFmtId="0" fontId="16" fillId="0" borderId="35" xfId="7" applyFont="1" applyBorder="1" applyAlignment="1">
      <alignment horizontal="left"/>
    </xf>
    <xf numFmtId="171" fontId="16" fillId="0" borderId="10" xfId="9" applyNumberFormat="1" applyFont="1" applyBorder="1" applyAlignment="1">
      <alignment horizontal="right"/>
    </xf>
    <xf numFmtId="171" fontId="16" fillId="0" borderId="0" xfId="7" applyNumberFormat="1" applyFont="1" applyAlignment="1">
      <alignment horizontal="left"/>
    </xf>
    <xf numFmtId="0" fontId="25" fillId="0" borderId="37" xfId="7" applyFont="1" applyBorder="1" applyAlignment="1">
      <alignment horizontal="left"/>
    </xf>
    <xf numFmtId="0" fontId="25" fillId="0" borderId="35" xfId="7" applyFont="1" applyBorder="1" applyAlignment="1">
      <alignment horizontal="left"/>
    </xf>
    <xf numFmtId="171" fontId="16" fillId="0" borderId="38" xfId="9" applyNumberFormat="1" applyFont="1" applyBorder="1" applyAlignment="1">
      <alignment horizontal="right"/>
    </xf>
    <xf numFmtId="0" fontId="16" fillId="0" borderId="37" xfId="7" applyFont="1" applyBorder="1" applyAlignment="1">
      <alignment horizontal="left"/>
    </xf>
    <xf numFmtId="0" fontId="16" fillId="0" borderId="32" xfId="7" applyFont="1" applyBorder="1"/>
    <xf numFmtId="0" fontId="16" fillId="0" borderId="0" xfId="7" applyFont="1"/>
    <xf numFmtId="171" fontId="16" fillId="0" borderId="43" xfId="9" applyNumberFormat="1" applyFont="1" applyBorder="1" applyAlignment="1">
      <alignment horizontal="right"/>
    </xf>
    <xf numFmtId="0" fontId="25" fillId="0" borderId="32" xfId="7" applyFont="1" applyBorder="1"/>
    <xf numFmtId="0" fontId="25" fillId="0" borderId="0" xfId="7" applyFont="1"/>
    <xf numFmtId="171" fontId="16" fillId="0" borderId="44" xfId="9" applyNumberFormat="1" applyFont="1" applyBorder="1" applyAlignment="1">
      <alignment horizontal="right"/>
    </xf>
    <xf numFmtId="0" fontId="25" fillId="0" borderId="41" xfId="7" applyFont="1" applyBorder="1"/>
    <xf numFmtId="0" fontId="25" fillId="0" borderId="14" xfId="7" applyFont="1" applyBorder="1"/>
    <xf numFmtId="171" fontId="16" fillId="0" borderId="42" xfId="9" applyNumberFormat="1" applyFont="1" applyBorder="1" applyAlignment="1">
      <alignment horizontal="right"/>
    </xf>
    <xf numFmtId="0" fontId="17" fillId="0" borderId="0" xfId="7" applyFont="1" applyAlignment="1">
      <alignment horizontal="center"/>
    </xf>
    <xf numFmtId="0" fontId="17" fillId="0" borderId="49" xfId="7" applyFont="1" applyBorder="1" applyAlignment="1">
      <alignment horizontal="center"/>
    </xf>
    <xf numFmtId="0" fontId="17" fillId="0" borderId="50" xfId="7" applyFont="1" applyBorder="1" applyAlignment="1">
      <alignment horizontal="center"/>
    </xf>
    <xf numFmtId="37" fontId="16" fillId="0" borderId="28" xfId="9" applyNumberFormat="1" applyFont="1" applyBorder="1" applyAlignment="1">
      <alignment horizontal="right"/>
    </xf>
    <xf numFmtId="0" fontId="17" fillId="0" borderId="34" xfId="7" applyFont="1" applyBorder="1" applyAlignment="1">
      <alignment horizontal="center"/>
    </xf>
    <xf numFmtId="0" fontId="17" fillId="0" borderId="0" xfId="8" applyFont="1"/>
    <xf numFmtId="0" fontId="2" fillId="0" borderId="0" xfId="2"/>
  </cellXfs>
  <cellStyles count="12">
    <cellStyle name="Comma" xfId="1" builtinId="3"/>
    <cellStyle name="Comma 2" xfId="3" xr:uid="{00000000-0005-0000-0000-000001000000}"/>
    <cellStyle name="Comma 2 2" xfId="4" xr:uid="{00000000-0005-0000-0000-000002000000}"/>
    <cellStyle name="Comma 4" xfId="5" xr:uid="{00000000-0005-0000-0000-000003000000}"/>
    <cellStyle name="Comma 4 2" xfId="11" xr:uid="{ED8C1089-DE65-4709-9E81-7C25570D29C6}"/>
    <cellStyle name="Comma 5" xfId="10" xr:uid="{00000000-0005-0000-0000-000004000000}"/>
    <cellStyle name="Comma_Sheet1" xfId="9" xr:uid="{00000000-0005-0000-0000-000005000000}"/>
    <cellStyle name="Normal" xfId="0" builtinId="0"/>
    <cellStyle name="Normal 2" xfId="2" xr:uid="{00000000-0005-0000-0000-000007000000}"/>
    <cellStyle name="Normal 3" xfId="8" xr:uid="{00000000-0005-0000-0000-000008000000}"/>
    <cellStyle name="Normal_Sheet1 2" xfId="7" xr:uid="{00000000-0005-0000-0000-000009000000}"/>
    <cellStyle name="Percent 2" xfId="6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H&#7890;%20S&#416;+L&#431;&#416;NG%20SD/L&#431;&#416;NG/L&#431;&#416;NG%20+%20C&#212;NG%202023/Th&#225;ng%205-2023/Danh%20s&#225;ch+%20Ch&#7845;m%20c&#244;ng%2005/Ch&#7845;m%20c&#244;ng%20T5%20.8-6.xls" TargetMode="External"/><Relationship Id="rId1" Type="http://schemas.openxmlformats.org/officeDocument/2006/relationships/externalLinkPath" Target="/H&#7890;%20S&#416;+L&#431;&#416;NG%20SD/L&#431;&#416;NG/L&#431;&#416;NG%20+%20C&#212;NG%202023/Th&#225;ng%205-2023/Danh%20s&#225;ch+%20Ch&#7845;m%20c&#244;ng%2005/Ch&#7845;m%20c&#244;ng%20T5%20.8-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esktop\T2-2022\T2-2022\DANH%20S&#193;CH%20CBCNV%202022%20-282%20%20(3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esktop\T2-2022\T2-2022\G&#7917;i%20Lan%20T2\Ch&#7845;m%20c&#244;ng%20T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esktop\T2-2022\T2-2022\G&#7917;i%20Lan%20T2\Th&#234;m%20gi&#7901;%20T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esktop\T2-2022\T2-2022\G&#7917;i%20Lan%20T2\ph&#7909;%20c&#7845;p%20con%20nh&#7887;%20n&#259;m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IEN-VP\N&#259;m%202020\Thang%209-2020\New%20folder\ph&#7909;%20c&#7845;p%20con%20nh&#7887;%20n&#259;m%202020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H&#7890;%20S&#416;+L&#431;&#416;NG%20SD/L&#431;&#416;NG/L&#431;&#416;NG%20+%20C&#212;NG%202026/Th&#225;ng%2003-2026/CK%20th&#225;ng%2003.2026.xlsx" TargetMode="External"/><Relationship Id="rId2" Type="http://schemas.openxmlformats.org/officeDocument/2006/relationships/externalLinkPath" Target="file:///D:\H&#7890;%20S&#416;+L&#431;&#416;NG%20SD\L&#431;&#416;NG\L&#431;&#416;NG%20+%20C&#212;NG%202026\Th&#225;ng%2003-2026\CK%20th&#225;ng%2003.2026.xlsx" TargetMode="External"/><Relationship Id="rId1" Type="http://schemas.openxmlformats.org/officeDocument/2006/relationships/externalLinkPath" Target="/H&#7890;%20S&#416;+L&#431;&#416;NG%20SD/L&#431;&#416;NG/L&#431;&#416;NG%20+%20C&#212;NG%202026/Th&#225;ng%2003-2026/CK%20th&#225;ng%2003.2026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H&#7890;%20S&#416;+L&#431;&#416;NG%20SD/L&#431;&#416;NG/L&#431;&#416;NG%20+%20C&#212;NG%202025/Th&#225;ng%2002-2025/CK%20th&#225;ng%2002-2025.xlsx" TargetMode="External"/><Relationship Id="rId2" Type="http://schemas.openxmlformats.org/officeDocument/2006/relationships/externalLinkPath" Target="file:///D:\H&#7890;%20S&#416;+L&#431;&#416;NG%20SD\L&#431;&#416;NG\L&#431;&#416;NG%20+%20C&#212;NG%202025\Th&#225;ng%2002-2025\CK%20th&#225;ng%2002-2025.xlsx" TargetMode="External"/><Relationship Id="rId1" Type="http://schemas.openxmlformats.org/officeDocument/2006/relationships/externalLinkPath" Target="/H&#7890;%20S&#416;+L&#431;&#416;NG%20SD/L&#431;&#416;NG/L&#431;&#416;NG%20+%20C&#212;NG%202025/Th&#225;ng%2002-2025/CK%20th&#225;ng%2002-2025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esktop\L&#431;&#416;NG%202022\Th&#225;ng%207\L&#432;&#417;ng%20th&#225;ng%207%20(PC%2017%25)\GT\B&#7889;c%20x&#7871;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&amp;D"/>
      <sheetName val="S&amp;D (2)"/>
      <sheetName val="Lop 1"/>
      <sheetName val="Lớp 2"/>
      <sheetName val="507"/>
      <sheetName val="Thêm giờ"/>
    </sheetNames>
    <sheetDataSet>
      <sheetData sheetId="0"/>
      <sheetData sheetId="1"/>
      <sheetData sheetId="2"/>
      <sheetData sheetId="3"/>
      <sheetData sheetId="4">
        <row r="5">
          <cell r="C5" t="str">
            <v>Ngày</v>
          </cell>
          <cell r="D5" t="str">
            <v>Ngày vào</v>
          </cell>
          <cell r="E5" t="str">
            <v>Ngày ký HĐ</v>
          </cell>
          <cell r="F5" t="str">
            <v>Tổ/bp</v>
          </cell>
          <cell r="H5">
            <v>45047</v>
          </cell>
          <cell r="I5">
            <v>45048</v>
          </cell>
          <cell r="J5">
            <v>45049</v>
          </cell>
          <cell r="K5">
            <v>45050</v>
          </cell>
          <cell r="L5">
            <v>45051</v>
          </cell>
          <cell r="M5">
            <v>45052</v>
          </cell>
          <cell r="N5">
            <v>45053</v>
          </cell>
          <cell r="O5">
            <v>45054</v>
          </cell>
          <cell r="P5">
            <v>45055</v>
          </cell>
          <cell r="Q5">
            <v>45056</v>
          </cell>
          <cell r="R5">
            <v>45057</v>
          </cell>
          <cell r="S5">
            <v>45058</v>
          </cell>
          <cell r="T5">
            <v>45059</v>
          </cell>
          <cell r="U5">
            <v>45060</v>
          </cell>
          <cell r="V5">
            <v>45061</v>
          </cell>
          <cell r="W5">
            <v>45062</v>
          </cell>
          <cell r="X5">
            <v>45063</v>
          </cell>
          <cell r="Y5">
            <v>45064</v>
          </cell>
          <cell r="Z5">
            <v>45065</v>
          </cell>
          <cell r="AA5">
            <v>45066</v>
          </cell>
          <cell r="AB5">
            <v>45067</v>
          </cell>
          <cell r="AC5">
            <v>45068</v>
          </cell>
          <cell r="AD5">
            <v>45069</v>
          </cell>
          <cell r="AE5">
            <v>45070</v>
          </cell>
          <cell r="AF5">
            <v>45071</v>
          </cell>
          <cell r="AG5">
            <v>45072</v>
          </cell>
          <cell r="AH5">
            <v>45073</v>
          </cell>
          <cell r="AI5">
            <v>45074</v>
          </cell>
          <cell r="AJ5">
            <v>45075</v>
          </cell>
          <cell r="AK5">
            <v>45076</v>
          </cell>
          <cell r="AL5">
            <v>45077</v>
          </cell>
          <cell r="AM5" t="str">
            <v>Công sản phẩm</v>
          </cell>
          <cell r="AN5" t="str">
            <v>Công chủ nhật</v>
          </cell>
        </row>
        <row r="6">
          <cell r="C6" t="str">
            <v>Thứ</v>
          </cell>
          <cell r="G6" t="str">
            <v>Ghi chú</v>
          </cell>
          <cell r="H6">
            <v>2</v>
          </cell>
          <cell r="I6">
            <v>3</v>
          </cell>
          <cell r="J6">
            <v>4</v>
          </cell>
          <cell r="K6">
            <v>5</v>
          </cell>
          <cell r="L6">
            <v>6</v>
          </cell>
          <cell r="M6">
            <v>7</v>
          </cell>
          <cell r="N6" t="str">
            <v>CN</v>
          </cell>
          <cell r="O6">
            <v>2</v>
          </cell>
          <cell r="P6">
            <v>3</v>
          </cell>
          <cell r="Q6">
            <v>4</v>
          </cell>
          <cell r="R6">
            <v>5</v>
          </cell>
          <cell r="S6">
            <v>6</v>
          </cell>
          <cell r="T6">
            <v>7</v>
          </cell>
          <cell r="U6" t="str">
            <v>CN</v>
          </cell>
          <cell r="V6">
            <v>2</v>
          </cell>
          <cell r="W6">
            <v>3</v>
          </cell>
          <cell r="X6">
            <v>4</v>
          </cell>
          <cell r="Y6">
            <v>5</v>
          </cell>
          <cell r="Z6">
            <v>6</v>
          </cell>
          <cell r="AA6">
            <v>7</v>
          </cell>
          <cell r="AB6" t="str">
            <v>CN</v>
          </cell>
          <cell r="AC6">
            <v>2</v>
          </cell>
          <cell r="AD6">
            <v>3</v>
          </cell>
          <cell r="AE6">
            <v>4</v>
          </cell>
          <cell r="AF6">
            <v>5</v>
          </cell>
          <cell r="AG6">
            <v>6</v>
          </cell>
          <cell r="AH6">
            <v>7</v>
          </cell>
          <cell r="AI6" t="str">
            <v>CN</v>
          </cell>
          <cell r="AJ6">
            <v>2</v>
          </cell>
          <cell r="AK6">
            <v>3</v>
          </cell>
          <cell r="AL6">
            <v>4</v>
          </cell>
        </row>
        <row r="7">
          <cell r="C7" t="str">
            <v>Mã số</v>
          </cell>
        </row>
        <row r="8">
          <cell r="C8" t="str">
            <v>Q.trị 1</v>
          </cell>
          <cell r="E8">
            <v>44409</v>
          </cell>
          <cell r="F8" t="str">
            <v>SDQB</v>
          </cell>
          <cell r="H8" t="str">
            <v>LT</v>
          </cell>
          <cell r="J8" t="str">
            <v>x</v>
          </cell>
          <cell r="K8" t="str">
            <v>x</v>
          </cell>
          <cell r="L8" t="str">
            <v>x</v>
          </cell>
          <cell r="M8" t="str">
            <v>x</v>
          </cell>
          <cell r="O8" t="str">
            <v>x</v>
          </cell>
          <cell r="P8" t="str">
            <v>x</v>
          </cell>
          <cell r="Q8" t="str">
            <v>x</v>
          </cell>
          <cell r="R8" t="str">
            <v>x</v>
          </cell>
          <cell r="S8" t="str">
            <v>x</v>
          </cell>
          <cell r="T8" t="str">
            <v>x</v>
          </cell>
          <cell r="V8" t="str">
            <v>x</v>
          </cell>
          <cell r="W8" t="str">
            <v>x</v>
          </cell>
          <cell r="X8" t="str">
            <v>x</v>
          </cell>
          <cell r="Y8" t="str">
            <v>x</v>
          </cell>
          <cell r="Z8" t="str">
            <v>x</v>
          </cell>
          <cell r="AA8" t="str">
            <v>x</v>
          </cell>
          <cell r="AC8" t="str">
            <v>x</v>
          </cell>
          <cell r="AD8" t="str">
            <v>x</v>
          </cell>
          <cell r="AE8" t="str">
            <v>x</v>
          </cell>
          <cell r="AF8" t="str">
            <v>x</v>
          </cell>
          <cell r="AG8" t="str">
            <v>x</v>
          </cell>
          <cell r="AH8" t="str">
            <v>x</v>
          </cell>
          <cell r="AJ8" t="str">
            <v>x</v>
          </cell>
          <cell r="AK8" t="str">
            <v>x</v>
          </cell>
          <cell r="AL8" t="str">
            <v>x</v>
          </cell>
          <cell r="AM8">
            <v>25</v>
          </cell>
          <cell r="AN8">
            <v>0</v>
          </cell>
        </row>
        <row r="9">
          <cell r="C9" t="str">
            <v>Q.trị 2</v>
          </cell>
          <cell r="D9">
            <v>44473</v>
          </cell>
          <cell r="E9">
            <v>44409</v>
          </cell>
          <cell r="F9" t="str">
            <v>SDQB</v>
          </cell>
          <cell r="H9" t="str">
            <v>LT</v>
          </cell>
          <cell r="J9" t="str">
            <v>x</v>
          </cell>
          <cell r="K9" t="str">
            <v>x</v>
          </cell>
          <cell r="L9" t="str">
            <v>x</v>
          </cell>
          <cell r="M9" t="str">
            <v>x</v>
          </cell>
          <cell r="O9" t="str">
            <v>x</v>
          </cell>
          <cell r="P9" t="str">
            <v>x</v>
          </cell>
          <cell r="Q9" t="str">
            <v>x</v>
          </cell>
          <cell r="R9" t="str">
            <v>x</v>
          </cell>
          <cell r="S9" t="str">
            <v>x</v>
          </cell>
          <cell r="T9" t="str">
            <v>x</v>
          </cell>
          <cell r="V9" t="str">
            <v>x</v>
          </cell>
          <cell r="W9" t="str">
            <v>x</v>
          </cell>
          <cell r="X9" t="str">
            <v>x</v>
          </cell>
          <cell r="Y9" t="str">
            <v>x</v>
          </cell>
          <cell r="Z9" t="str">
            <v>x</v>
          </cell>
          <cell r="AA9" t="str">
            <v>x</v>
          </cell>
          <cell r="AC9" t="str">
            <v>x</v>
          </cell>
          <cell r="AD9" t="str">
            <v>x</v>
          </cell>
          <cell r="AE9" t="str">
            <v>x</v>
          </cell>
          <cell r="AF9" t="str">
            <v>x</v>
          </cell>
          <cell r="AG9" t="str">
            <v>x</v>
          </cell>
          <cell r="AH9" t="str">
            <v>x</v>
          </cell>
          <cell r="AI9" t="str">
            <v>x</v>
          </cell>
          <cell r="AJ9" t="str">
            <v>x</v>
          </cell>
          <cell r="AK9" t="str">
            <v>x</v>
          </cell>
          <cell r="AL9" t="str">
            <v>x</v>
          </cell>
          <cell r="AM9">
            <v>25</v>
          </cell>
          <cell r="AN9">
            <v>1</v>
          </cell>
        </row>
        <row r="10">
          <cell r="C10" t="str">
            <v>Q.trị 3</v>
          </cell>
          <cell r="E10">
            <v>44409</v>
          </cell>
          <cell r="F10" t="str">
            <v>Q.trị</v>
          </cell>
          <cell r="G10" t="str">
            <v>QX</v>
          </cell>
          <cell r="H10" t="str">
            <v>LT</v>
          </cell>
          <cell r="J10" t="str">
            <v>x</v>
          </cell>
          <cell r="K10" t="str">
            <v>x</v>
          </cell>
          <cell r="L10" t="str">
            <v>x</v>
          </cell>
          <cell r="M10" t="str">
            <v>x</v>
          </cell>
          <cell r="O10" t="str">
            <v>x</v>
          </cell>
          <cell r="P10" t="str">
            <v>x</v>
          </cell>
          <cell r="Q10" t="str">
            <v>x</v>
          </cell>
          <cell r="R10" t="str">
            <v>x</v>
          </cell>
          <cell r="S10" t="str">
            <v>x</v>
          </cell>
          <cell r="T10" t="str">
            <v>x</v>
          </cell>
          <cell r="V10" t="str">
            <v>x</v>
          </cell>
          <cell r="W10" t="str">
            <v>x</v>
          </cell>
          <cell r="X10" t="str">
            <v>x</v>
          </cell>
          <cell r="Y10" t="str">
            <v>x</v>
          </cell>
          <cell r="Z10" t="str">
            <v>x</v>
          </cell>
          <cell r="AA10" t="str">
            <v>x</v>
          </cell>
          <cell r="AC10" t="str">
            <v>x</v>
          </cell>
          <cell r="AD10" t="str">
            <v>x</v>
          </cell>
          <cell r="AE10" t="str">
            <v>x</v>
          </cell>
          <cell r="AF10" t="str">
            <v>x</v>
          </cell>
          <cell r="AG10" t="str">
            <v>x</v>
          </cell>
          <cell r="AH10" t="str">
            <v>x</v>
          </cell>
          <cell r="AJ10" t="str">
            <v>x</v>
          </cell>
          <cell r="AK10" t="str">
            <v>x</v>
          </cell>
          <cell r="AL10" t="str">
            <v>Fđ</v>
          </cell>
          <cell r="AM10">
            <v>24</v>
          </cell>
          <cell r="AN10">
            <v>0</v>
          </cell>
        </row>
        <row r="11">
          <cell r="C11" t="str">
            <v>Q.trị 4</v>
          </cell>
          <cell r="E11">
            <v>44409</v>
          </cell>
          <cell r="F11" t="str">
            <v>Q.trị</v>
          </cell>
          <cell r="G11" t="str">
            <v>QX</v>
          </cell>
          <cell r="H11" t="str">
            <v>LT</v>
          </cell>
          <cell r="J11" t="str">
            <v>x</v>
          </cell>
          <cell r="K11" t="str">
            <v>x</v>
          </cell>
          <cell r="L11" t="str">
            <v>x</v>
          </cell>
          <cell r="M11" t="str">
            <v>x</v>
          </cell>
          <cell r="O11" t="str">
            <v>x</v>
          </cell>
          <cell r="P11" t="str">
            <v>x</v>
          </cell>
          <cell r="Q11" t="str">
            <v>x</v>
          </cell>
          <cell r="R11" t="str">
            <v>x</v>
          </cell>
          <cell r="S11" t="str">
            <v>x</v>
          </cell>
          <cell r="T11" t="str">
            <v>x</v>
          </cell>
          <cell r="V11" t="str">
            <v>x</v>
          </cell>
          <cell r="W11" t="str">
            <v>x</v>
          </cell>
          <cell r="X11" t="str">
            <v>x</v>
          </cell>
          <cell r="Y11" t="str">
            <v>x</v>
          </cell>
          <cell r="Z11" t="str">
            <v>x</v>
          </cell>
          <cell r="AA11" t="str">
            <v>x</v>
          </cell>
          <cell r="AC11" t="str">
            <v>x</v>
          </cell>
          <cell r="AD11" t="str">
            <v>x</v>
          </cell>
          <cell r="AE11" t="str">
            <v>x</v>
          </cell>
          <cell r="AF11" t="str">
            <v>x</v>
          </cell>
          <cell r="AG11" t="str">
            <v>x</v>
          </cell>
          <cell r="AH11" t="str">
            <v>x</v>
          </cell>
          <cell r="AJ11" t="str">
            <v>x</v>
          </cell>
          <cell r="AK11" t="str">
            <v>x</v>
          </cell>
          <cell r="AL11" t="str">
            <v>x</v>
          </cell>
          <cell r="AM11">
            <v>25</v>
          </cell>
          <cell r="AN11">
            <v>0</v>
          </cell>
        </row>
        <row r="12">
          <cell r="C12">
            <v>80089</v>
          </cell>
          <cell r="E12">
            <v>44409</v>
          </cell>
          <cell r="F12" t="str">
            <v>Cắt</v>
          </cell>
          <cell r="G12" t="str">
            <v>QX</v>
          </cell>
          <cell r="H12" t="str">
            <v>LT</v>
          </cell>
          <cell r="J12" t="str">
            <v>x</v>
          </cell>
          <cell r="K12" t="str">
            <v>x</v>
          </cell>
          <cell r="L12" t="str">
            <v>x</v>
          </cell>
          <cell r="M12" t="str">
            <v>x</v>
          </cell>
          <cell r="O12" t="str">
            <v>x</v>
          </cell>
          <cell r="P12" t="str">
            <v>x</v>
          </cell>
          <cell r="Q12" t="str">
            <v>x</v>
          </cell>
          <cell r="R12" t="str">
            <v>x</v>
          </cell>
          <cell r="S12" t="str">
            <v>x</v>
          </cell>
          <cell r="T12" t="str">
            <v>x</v>
          </cell>
          <cell r="U12" t="str">
            <v>x/2</v>
          </cell>
          <cell r="V12" t="str">
            <v>x</v>
          </cell>
          <cell r="W12" t="str">
            <v>x</v>
          </cell>
          <cell r="X12" t="str">
            <v>x</v>
          </cell>
          <cell r="Y12" t="str">
            <v>x</v>
          </cell>
          <cell r="Z12" t="str">
            <v>x</v>
          </cell>
          <cell r="AA12" t="str">
            <v>x</v>
          </cell>
          <cell r="AC12" t="str">
            <v>x</v>
          </cell>
          <cell r="AD12" t="str">
            <v>x</v>
          </cell>
          <cell r="AE12" t="str">
            <v>x</v>
          </cell>
          <cell r="AF12" t="str">
            <v>x</v>
          </cell>
          <cell r="AG12" t="str">
            <v>x</v>
          </cell>
          <cell r="AH12" t="str">
            <v>x</v>
          </cell>
          <cell r="AJ12" t="str">
            <v>x</v>
          </cell>
          <cell r="AK12" t="str">
            <v>x</v>
          </cell>
          <cell r="AL12" t="str">
            <v>x</v>
          </cell>
          <cell r="AM12">
            <v>25</v>
          </cell>
          <cell r="AN12">
            <v>0.5</v>
          </cell>
        </row>
        <row r="13">
          <cell r="C13">
            <v>80137</v>
          </cell>
          <cell r="E13">
            <v>44409</v>
          </cell>
          <cell r="F13" t="str">
            <v>Cắt</v>
          </cell>
          <cell r="G13" t="str">
            <v>QX</v>
          </cell>
          <cell r="H13" t="str">
            <v>LT</v>
          </cell>
          <cell r="J13" t="str">
            <v>x</v>
          </cell>
          <cell r="K13" t="str">
            <v>x</v>
          </cell>
          <cell r="L13" t="str">
            <v>x</v>
          </cell>
          <cell r="M13" t="str">
            <v>x</v>
          </cell>
          <cell r="O13" t="str">
            <v>x</v>
          </cell>
          <cell r="P13" t="str">
            <v>x</v>
          </cell>
          <cell r="Q13" t="str">
            <v>x</v>
          </cell>
          <cell r="R13" t="str">
            <v>x</v>
          </cell>
          <cell r="S13" t="str">
            <v>x</v>
          </cell>
          <cell r="T13" t="str">
            <v>x</v>
          </cell>
          <cell r="V13" t="str">
            <v>x</v>
          </cell>
          <cell r="W13" t="str">
            <v>x</v>
          </cell>
          <cell r="X13" t="str">
            <v>x</v>
          </cell>
          <cell r="Y13" t="str">
            <v>x</v>
          </cell>
          <cell r="Z13" t="str">
            <v>x</v>
          </cell>
          <cell r="AA13" t="str">
            <v>x</v>
          </cell>
          <cell r="AC13" t="str">
            <v>x</v>
          </cell>
          <cell r="AD13" t="str">
            <v>x</v>
          </cell>
          <cell r="AE13" t="str">
            <v>x</v>
          </cell>
          <cell r="AF13" t="str">
            <v>x</v>
          </cell>
          <cell r="AG13" t="str">
            <v>x</v>
          </cell>
          <cell r="AH13" t="str">
            <v>x</v>
          </cell>
          <cell r="AJ13" t="str">
            <v>x</v>
          </cell>
          <cell r="AK13" t="str">
            <v>x</v>
          </cell>
          <cell r="AL13" t="str">
            <v>x</v>
          </cell>
          <cell r="AM13">
            <v>25</v>
          </cell>
          <cell r="AN13">
            <v>0</v>
          </cell>
        </row>
        <row r="14">
          <cell r="C14">
            <v>80261</v>
          </cell>
          <cell r="E14">
            <v>44409</v>
          </cell>
          <cell r="F14" t="str">
            <v>Q.trị</v>
          </cell>
          <cell r="G14" t="str">
            <v>QX</v>
          </cell>
          <cell r="H14" t="str">
            <v>LT</v>
          </cell>
          <cell r="J14" t="str">
            <v>F</v>
          </cell>
          <cell r="K14" t="str">
            <v>x</v>
          </cell>
          <cell r="L14" t="str">
            <v>x</v>
          </cell>
          <cell r="M14" t="str">
            <v>x</v>
          </cell>
          <cell r="O14" t="str">
            <v>x</v>
          </cell>
          <cell r="P14" t="str">
            <v>x</v>
          </cell>
          <cell r="Q14" t="str">
            <v>x</v>
          </cell>
          <cell r="R14" t="str">
            <v>x</v>
          </cell>
          <cell r="S14" t="str">
            <v>x</v>
          </cell>
          <cell r="T14" t="str">
            <v>x</v>
          </cell>
          <cell r="U14" t="str">
            <v>x/2</v>
          </cell>
          <cell r="V14" t="str">
            <v>x</v>
          </cell>
          <cell r="W14" t="str">
            <v>x</v>
          </cell>
          <cell r="X14" t="str">
            <v>x</v>
          </cell>
          <cell r="Y14" t="str">
            <v>x</v>
          </cell>
          <cell r="Z14" t="str">
            <v>x</v>
          </cell>
          <cell r="AA14" t="str">
            <v>x</v>
          </cell>
          <cell r="AC14" t="str">
            <v>x</v>
          </cell>
          <cell r="AD14" t="str">
            <v>x</v>
          </cell>
          <cell r="AE14" t="str">
            <v>x</v>
          </cell>
          <cell r="AF14" t="str">
            <v>x</v>
          </cell>
          <cell r="AG14" t="str">
            <v>x</v>
          </cell>
          <cell r="AH14" t="str">
            <v>x</v>
          </cell>
          <cell r="AJ14" t="str">
            <v>x</v>
          </cell>
          <cell r="AK14" t="str">
            <v>x</v>
          </cell>
          <cell r="AL14" t="str">
            <v>x</v>
          </cell>
          <cell r="AM14">
            <v>24</v>
          </cell>
          <cell r="AN14">
            <v>0.5</v>
          </cell>
        </row>
        <row r="15">
          <cell r="C15">
            <v>80665</v>
          </cell>
          <cell r="E15">
            <v>44409</v>
          </cell>
          <cell r="F15" t="str">
            <v>Kiểm hoá</v>
          </cell>
          <cell r="G15" t="str">
            <v>QX</v>
          </cell>
          <cell r="H15" t="str">
            <v>LT</v>
          </cell>
          <cell r="J15" t="str">
            <v>x</v>
          </cell>
          <cell r="K15" t="str">
            <v>x</v>
          </cell>
          <cell r="L15" t="str">
            <v>x</v>
          </cell>
          <cell r="M15" t="str">
            <v>x</v>
          </cell>
          <cell r="O15" t="str">
            <v>x</v>
          </cell>
          <cell r="P15" t="str">
            <v>x</v>
          </cell>
          <cell r="Q15" t="str">
            <v>x</v>
          </cell>
          <cell r="R15" t="str">
            <v>x</v>
          </cell>
          <cell r="S15" t="str">
            <v>x</v>
          </cell>
          <cell r="T15" t="str">
            <v>x</v>
          </cell>
          <cell r="V15" t="str">
            <v>x</v>
          </cell>
          <cell r="W15" t="str">
            <v>x</v>
          </cell>
          <cell r="X15" t="str">
            <v>x</v>
          </cell>
          <cell r="Y15" t="str">
            <v>x</v>
          </cell>
          <cell r="Z15" t="str">
            <v>x</v>
          </cell>
          <cell r="AA15" t="str">
            <v>x</v>
          </cell>
          <cell r="AC15" t="str">
            <v>x</v>
          </cell>
          <cell r="AD15" t="str">
            <v>x</v>
          </cell>
          <cell r="AE15" t="str">
            <v>x</v>
          </cell>
          <cell r="AF15" t="str">
            <v>x</v>
          </cell>
          <cell r="AG15" t="str">
            <v>x</v>
          </cell>
          <cell r="AH15" t="str">
            <v>x</v>
          </cell>
          <cell r="AJ15" t="str">
            <v>x</v>
          </cell>
          <cell r="AK15" t="str">
            <v>x</v>
          </cell>
          <cell r="AL15" t="str">
            <v>x</v>
          </cell>
          <cell r="AM15">
            <v>25</v>
          </cell>
          <cell r="AN15">
            <v>0</v>
          </cell>
        </row>
        <row r="16">
          <cell r="C16">
            <v>80569</v>
          </cell>
          <cell r="D16" t="e">
            <v>#N/A</v>
          </cell>
          <cell r="F16" t="str">
            <v>Q.trị</v>
          </cell>
          <cell r="G16" t="str">
            <v>QX</v>
          </cell>
          <cell r="H16" t="str">
            <v>LT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  <cell r="O16" t="str">
            <v>x</v>
          </cell>
          <cell r="P16" t="str">
            <v>x</v>
          </cell>
          <cell r="Q16" t="str">
            <v>Ô</v>
          </cell>
          <cell r="R16" t="str">
            <v>Ô</v>
          </cell>
          <cell r="S16" t="str">
            <v>x</v>
          </cell>
          <cell r="T16" t="str">
            <v>x</v>
          </cell>
          <cell r="V16" t="str">
            <v>x</v>
          </cell>
          <cell r="AM16">
            <v>9</v>
          </cell>
          <cell r="AN16">
            <v>0</v>
          </cell>
        </row>
        <row r="17">
          <cell r="C17">
            <v>81804</v>
          </cell>
          <cell r="E17">
            <v>44409</v>
          </cell>
          <cell r="F17" t="str">
            <v>Tổ sơ mi 3</v>
          </cell>
          <cell r="G17" t="str">
            <v>QX</v>
          </cell>
          <cell r="H17" t="str">
            <v>LT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x</v>
          </cell>
          <cell r="O17" t="str">
            <v>x</v>
          </cell>
          <cell r="P17" t="str">
            <v>x</v>
          </cell>
          <cell r="Q17" t="str">
            <v>x</v>
          </cell>
          <cell r="R17" t="str">
            <v>x</v>
          </cell>
          <cell r="S17" t="str">
            <v>x</v>
          </cell>
          <cell r="T17" t="str">
            <v>x</v>
          </cell>
          <cell r="V17" t="str">
            <v>F</v>
          </cell>
          <cell r="W17" t="str">
            <v>x</v>
          </cell>
          <cell r="X17" t="str">
            <v>x</v>
          </cell>
          <cell r="Y17" t="str">
            <v>x</v>
          </cell>
          <cell r="Z17" t="str">
            <v>x</v>
          </cell>
          <cell r="AA17" t="str">
            <v>x</v>
          </cell>
          <cell r="AC17" t="str">
            <v>x</v>
          </cell>
          <cell r="AD17" t="str">
            <v>x</v>
          </cell>
          <cell r="AE17" t="str">
            <v>x</v>
          </cell>
          <cell r="AF17" t="str">
            <v>x</v>
          </cell>
          <cell r="AG17" t="str">
            <v>x</v>
          </cell>
          <cell r="AH17" t="str">
            <v>x</v>
          </cell>
          <cell r="AJ17" t="str">
            <v>x</v>
          </cell>
          <cell r="AK17" t="str">
            <v>x</v>
          </cell>
          <cell r="AL17" t="str">
            <v>x</v>
          </cell>
          <cell r="AM17">
            <v>24</v>
          </cell>
          <cell r="AN17">
            <v>0</v>
          </cell>
        </row>
        <row r="18">
          <cell r="C18">
            <v>82238</v>
          </cell>
          <cell r="E18">
            <v>44409</v>
          </cell>
          <cell r="F18" t="str">
            <v>In</v>
          </cell>
          <cell r="G18" t="str">
            <v>QX</v>
          </cell>
          <cell r="H18" t="str">
            <v>LT</v>
          </cell>
          <cell r="J18" t="str">
            <v>x</v>
          </cell>
          <cell r="K18" t="str">
            <v>x</v>
          </cell>
          <cell r="L18" t="str">
            <v>x</v>
          </cell>
          <cell r="M18" t="str">
            <v>x</v>
          </cell>
          <cell r="O18" t="str">
            <v>x</v>
          </cell>
          <cell r="P18" t="str">
            <v>x</v>
          </cell>
          <cell r="Q18" t="str">
            <v>x</v>
          </cell>
          <cell r="R18" t="str">
            <v>x</v>
          </cell>
          <cell r="S18" t="str">
            <v>x</v>
          </cell>
          <cell r="T18" t="str">
            <v>x</v>
          </cell>
          <cell r="V18" t="str">
            <v>x</v>
          </cell>
          <cell r="W18" t="str">
            <v>x</v>
          </cell>
          <cell r="X18" t="str">
            <v>x</v>
          </cell>
          <cell r="Y18" t="str">
            <v>x</v>
          </cell>
          <cell r="Z18" t="str">
            <v>x</v>
          </cell>
          <cell r="AA18" t="str">
            <v>x</v>
          </cell>
          <cell r="AC18" t="str">
            <v>x</v>
          </cell>
          <cell r="AD18" t="str">
            <v>x</v>
          </cell>
          <cell r="AE18" t="str">
            <v>x</v>
          </cell>
          <cell r="AF18" t="str">
            <v>x</v>
          </cell>
          <cell r="AG18" t="str">
            <v>x</v>
          </cell>
          <cell r="AH18" t="str">
            <v>x</v>
          </cell>
          <cell r="AJ18" t="str">
            <v>x</v>
          </cell>
          <cell r="AK18" t="str">
            <v>x</v>
          </cell>
          <cell r="AL18" t="str">
            <v>x</v>
          </cell>
          <cell r="AM18">
            <v>25</v>
          </cell>
          <cell r="AN18">
            <v>0</v>
          </cell>
        </row>
        <row r="19">
          <cell r="C19">
            <v>82450</v>
          </cell>
          <cell r="E19">
            <v>44409</v>
          </cell>
          <cell r="F19" t="str">
            <v>C.điện</v>
          </cell>
          <cell r="G19" t="str">
            <v>QX</v>
          </cell>
          <cell r="H19" t="str">
            <v>LT</v>
          </cell>
          <cell r="J19" t="str">
            <v>x</v>
          </cell>
          <cell r="K19" t="str">
            <v>x</v>
          </cell>
          <cell r="L19" t="str">
            <v>x</v>
          </cell>
          <cell r="M19" t="str">
            <v>x</v>
          </cell>
          <cell r="O19" t="str">
            <v>x</v>
          </cell>
          <cell r="P19" t="str">
            <v>x</v>
          </cell>
          <cell r="Q19" t="str">
            <v>x</v>
          </cell>
          <cell r="R19" t="str">
            <v>x</v>
          </cell>
          <cell r="S19" t="str">
            <v>x</v>
          </cell>
          <cell r="T19" t="str">
            <v>x</v>
          </cell>
          <cell r="V19" t="str">
            <v>x</v>
          </cell>
          <cell r="W19" t="str">
            <v>x</v>
          </cell>
          <cell r="X19" t="str">
            <v>x</v>
          </cell>
          <cell r="Y19" t="str">
            <v>x</v>
          </cell>
          <cell r="Z19" t="str">
            <v>x</v>
          </cell>
          <cell r="AA19" t="str">
            <v>x</v>
          </cell>
          <cell r="AB19" t="str">
            <v>x</v>
          </cell>
          <cell r="AC19" t="str">
            <v>x</v>
          </cell>
          <cell r="AD19" t="str">
            <v>x</v>
          </cell>
          <cell r="AE19" t="str">
            <v>x</v>
          </cell>
          <cell r="AF19" t="str">
            <v>x</v>
          </cell>
          <cell r="AG19" t="str">
            <v>x</v>
          </cell>
          <cell r="AH19" t="str">
            <v>x</v>
          </cell>
          <cell r="AJ19" t="str">
            <v>x</v>
          </cell>
          <cell r="AK19" t="str">
            <v>x</v>
          </cell>
          <cell r="AL19" t="str">
            <v>x</v>
          </cell>
          <cell r="AM19">
            <v>25</v>
          </cell>
          <cell r="AN19">
            <v>1</v>
          </cell>
        </row>
        <row r="20">
          <cell r="C20" t="str">
            <v>QL001</v>
          </cell>
          <cell r="E20">
            <v>44409</v>
          </cell>
          <cell r="F20" t="str">
            <v>Q.trị</v>
          </cell>
          <cell r="H20" t="str">
            <v>LT</v>
          </cell>
          <cell r="J20" t="str">
            <v>x</v>
          </cell>
          <cell r="K20" t="str">
            <v>x</v>
          </cell>
          <cell r="L20" t="str">
            <v>x</v>
          </cell>
          <cell r="M20" t="str">
            <v>x</v>
          </cell>
          <cell r="O20" t="str">
            <v>x</v>
          </cell>
          <cell r="P20" t="str">
            <v>x</v>
          </cell>
          <cell r="Q20" t="str">
            <v>x</v>
          </cell>
          <cell r="R20" t="str">
            <v>x</v>
          </cell>
          <cell r="S20" t="str">
            <v>x</v>
          </cell>
          <cell r="T20" t="str">
            <v>x</v>
          </cell>
          <cell r="V20" t="str">
            <v>x</v>
          </cell>
          <cell r="W20" t="str">
            <v>x</v>
          </cell>
          <cell r="X20" t="str">
            <v>x</v>
          </cell>
          <cell r="Y20" t="str">
            <v>x</v>
          </cell>
          <cell r="Z20" t="str">
            <v>x</v>
          </cell>
          <cell r="AA20" t="str">
            <v>x</v>
          </cell>
          <cell r="AC20" t="str">
            <v>x</v>
          </cell>
          <cell r="AD20" t="str">
            <v>x</v>
          </cell>
          <cell r="AE20" t="str">
            <v>x</v>
          </cell>
          <cell r="AF20" t="str">
            <v>x</v>
          </cell>
          <cell r="AG20" t="str">
            <v>x</v>
          </cell>
          <cell r="AH20" t="str">
            <v>x</v>
          </cell>
          <cell r="AJ20" t="str">
            <v>x</v>
          </cell>
          <cell r="AK20" t="str">
            <v>x</v>
          </cell>
          <cell r="AL20" t="str">
            <v>x</v>
          </cell>
          <cell r="AM20">
            <v>25</v>
          </cell>
          <cell r="AN20">
            <v>0</v>
          </cell>
        </row>
        <row r="21">
          <cell r="C21" t="str">
            <v>Q.trị 7</v>
          </cell>
          <cell r="E21">
            <v>44409</v>
          </cell>
          <cell r="F21" t="str">
            <v>SDQB</v>
          </cell>
          <cell r="H21" t="str">
            <v>LT</v>
          </cell>
          <cell r="J21" t="str">
            <v>x</v>
          </cell>
          <cell r="K21" t="str">
            <v>x</v>
          </cell>
          <cell r="L21" t="str">
            <v>x</v>
          </cell>
          <cell r="M21" t="str">
            <v>x</v>
          </cell>
          <cell r="O21" t="str">
            <v>x</v>
          </cell>
          <cell r="P21" t="str">
            <v>x</v>
          </cell>
          <cell r="Q21" t="str">
            <v>x</v>
          </cell>
          <cell r="R21" t="str">
            <v>x</v>
          </cell>
          <cell r="S21" t="str">
            <v>x</v>
          </cell>
          <cell r="T21" t="str">
            <v>x</v>
          </cell>
          <cell r="V21" t="str">
            <v>x</v>
          </cell>
          <cell r="W21" t="str">
            <v>x</v>
          </cell>
          <cell r="X21" t="str">
            <v>x</v>
          </cell>
          <cell r="Y21" t="str">
            <v>x</v>
          </cell>
          <cell r="Z21" t="str">
            <v>x</v>
          </cell>
          <cell r="AA21" t="str">
            <v>x</v>
          </cell>
          <cell r="AC21" t="str">
            <v>x</v>
          </cell>
          <cell r="AD21" t="str">
            <v>x</v>
          </cell>
          <cell r="AE21" t="str">
            <v>x</v>
          </cell>
          <cell r="AF21" t="str">
            <v>x</v>
          </cell>
          <cell r="AG21" t="str">
            <v>x</v>
          </cell>
          <cell r="AH21" t="str">
            <v>x</v>
          </cell>
          <cell r="AJ21" t="str">
            <v>x</v>
          </cell>
          <cell r="AK21" t="str">
            <v>x</v>
          </cell>
          <cell r="AL21" t="str">
            <v>x</v>
          </cell>
          <cell r="AM21">
            <v>25</v>
          </cell>
          <cell r="AN21">
            <v>0</v>
          </cell>
        </row>
        <row r="22">
          <cell r="C22" t="str">
            <v>Q.trị 8</v>
          </cell>
          <cell r="E22">
            <v>44409</v>
          </cell>
          <cell r="F22" t="str">
            <v>C.điện</v>
          </cell>
          <cell r="H22" t="str">
            <v>LT</v>
          </cell>
          <cell r="J22" t="str">
            <v>x</v>
          </cell>
          <cell r="K22" t="str">
            <v>x</v>
          </cell>
          <cell r="L22" t="str">
            <v>x</v>
          </cell>
          <cell r="M22" t="str">
            <v>F</v>
          </cell>
          <cell r="O22" t="str">
            <v>x</v>
          </cell>
          <cell r="P22" t="str">
            <v>x</v>
          </cell>
          <cell r="Q22" t="str">
            <v>x</v>
          </cell>
          <cell r="R22" t="str">
            <v>x</v>
          </cell>
          <cell r="S22" t="str">
            <v>x</v>
          </cell>
          <cell r="T22" t="str">
            <v>x</v>
          </cell>
          <cell r="V22" t="str">
            <v>x</v>
          </cell>
          <cell r="W22" t="str">
            <v>x</v>
          </cell>
          <cell r="X22" t="str">
            <v>x</v>
          </cell>
          <cell r="Y22" t="str">
            <v>x</v>
          </cell>
          <cell r="Z22" t="str">
            <v>x</v>
          </cell>
          <cell r="AA22" t="str">
            <v>x</v>
          </cell>
          <cell r="AC22" t="str">
            <v>x</v>
          </cell>
          <cell r="AD22" t="str">
            <v>x</v>
          </cell>
          <cell r="AE22" t="str">
            <v>x</v>
          </cell>
          <cell r="AF22" t="str">
            <v>x</v>
          </cell>
          <cell r="AG22" t="str">
            <v>x</v>
          </cell>
          <cell r="AH22" t="str">
            <v>x</v>
          </cell>
          <cell r="AJ22" t="str">
            <v>x</v>
          </cell>
          <cell r="AK22" t="str">
            <v>x</v>
          </cell>
          <cell r="AL22" t="str">
            <v>x</v>
          </cell>
          <cell r="AM22">
            <v>24</v>
          </cell>
          <cell r="AN22">
            <v>0</v>
          </cell>
        </row>
        <row r="23">
          <cell r="C23" t="str">
            <v>Q.trị 9</v>
          </cell>
          <cell r="E23">
            <v>44409</v>
          </cell>
          <cell r="F23" t="str">
            <v>SDQB</v>
          </cell>
          <cell r="H23" t="str">
            <v>LT</v>
          </cell>
          <cell r="J23" t="str">
            <v>x</v>
          </cell>
          <cell r="K23" t="str">
            <v>x</v>
          </cell>
          <cell r="L23" t="str">
            <v>x</v>
          </cell>
          <cell r="M23" t="str">
            <v>x</v>
          </cell>
          <cell r="O23" t="str">
            <v>x</v>
          </cell>
          <cell r="P23" t="str">
            <v>x</v>
          </cell>
          <cell r="Q23" t="str">
            <v>x</v>
          </cell>
          <cell r="R23" t="str">
            <v>x</v>
          </cell>
          <cell r="S23" t="str">
            <v>x</v>
          </cell>
          <cell r="T23" t="str">
            <v>x</v>
          </cell>
          <cell r="V23" t="str">
            <v>x</v>
          </cell>
          <cell r="W23" t="str">
            <v>x</v>
          </cell>
          <cell r="X23" t="str">
            <v>x</v>
          </cell>
          <cell r="Y23" t="str">
            <v>x</v>
          </cell>
          <cell r="Z23" t="str">
            <v>x</v>
          </cell>
          <cell r="AA23" t="str">
            <v>x</v>
          </cell>
          <cell r="AC23" t="str">
            <v>x</v>
          </cell>
          <cell r="AD23" t="str">
            <v>x</v>
          </cell>
          <cell r="AE23" t="str">
            <v>x</v>
          </cell>
          <cell r="AF23" t="str">
            <v>x</v>
          </cell>
          <cell r="AG23" t="str">
            <v>x</v>
          </cell>
          <cell r="AH23" t="str">
            <v>x</v>
          </cell>
          <cell r="AJ23" t="str">
            <v>x</v>
          </cell>
          <cell r="AK23" t="str">
            <v>x</v>
          </cell>
          <cell r="AL23" t="str">
            <v>x</v>
          </cell>
          <cell r="AM23">
            <v>25</v>
          </cell>
          <cell r="AN23">
            <v>0</v>
          </cell>
        </row>
        <row r="24">
          <cell r="C24">
            <v>50000</v>
          </cell>
          <cell r="D24">
            <v>43922</v>
          </cell>
          <cell r="E24">
            <v>44409</v>
          </cell>
          <cell r="F24" t="str">
            <v>Q.trị</v>
          </cell>
          <cell r="H24" t="str">
            <v>LT</v>
          </cell>
          <cell r="J24" t="str">
            <v>x</v>
          </cell>
          <cell r="K24" t="str">
            <v>x</v>
          </cell>
          <cell r="L24" t="str">
            <v>x</v>
          </cell>
          <cell r="M24" t="str">
            <v>x</v>
          </cell>
          <cell r="O24" t="str">
            <v>x</v>
          </cell>
          <cell r="P24" t="str">
            <v>x</v>
          </cell>
          <cell r="Q24" t="str">
            <v>x</v>
          </cell>
          <cell r="R24" t="str">
            <v>x</v>
          </cell>
          <cell r="S24" t="str">
            <v>x</v>
          </cell>
          <cell r="T24" t="str">
            <v>x</v>
          </cell>
          <cell r="V24" t="str">
            <v>x</v>
          </cell>
          <cell r="W24" t="str">
            <v>x</v>
          </cell>
          <cell r="X24" t="str">
            <v>x</v>
          </cell>
          <cell r="Y24" t="str">
            <v>x</v>
          </cell>
          <cell r="Z24" t="str">
            <v>x</v>
          </cell>
          <cell r="AA24" t="str">
            <v>x</v>
          </cell>
          <cell r="AC24" t="str">
            <v>x</v>
          </cell>
          <cell r="AD24" t="str">
            <v>x</v>
          </cell>
          <cell r="AE24" t="str">
            <v>x</v>
          </cell>
          <cell r="AF24" t="str">
            <v>x</v>
          </cell>
          <cell r="AG24" t="str">
            <v>x</v>
          </cell>
          <cell r="AH24" t="str">
            <v>x</v>
          </cell>
          <cell r="AJ24" t="str">
            <v>x</v>
          </cell>
          <cell r="AK24" t="str">
            <v>x</v>
          </cell>
          <cell r="AL24" t="str">
            <v>x</v>
          </cell>
          <cell r="AM24">
            <v>25</v>
          </cell>
          <cell r="AN24">
            <v>0</v>
          </cell>
        </row>
        <row r="25">
          <cell r="C25">
            <v>50005</v>
          </cell>
          <cell r="D25">
            <v>44198</v>
          </cell>
          <cell r="E25">
            <v>43983</v>
          </cell>
          <cell r="F25" t="str">
            <v>SDQB</v>
          </cell>
          <cell r="H25" t="str">
            <v>LT</v>
          </cell>
          <cell r="J25" t="str">
            <v>x</v>
          </cell>
          <cell r="K25" t="str">
            <v>x</v>
          </cell>
          <cell r="L25" t="str">
            <v>x</v>
          </cell>
          <cell r="M25" t="str">
            <v>x</v>
          </cell>
          <cell r="O25" t="str">
            <v>x</v>
          </cell>
          <cell r="P25" t="str">
            <v>x</v>
          </cell>
          <cell r="Q25" t="str">
            <v>x</v>
          </cell>
          <cell r="R25" t="str">
            <v>x</v>
          </cell>
          <cell r="S25" t="str">
            <v>x</v>
          </cell>
          <cell r="T25" t="str">
            <v>x</v>
          </cell>
          <cell r="V25" t="str">
            <v>x</v>
          </cell>
          <cell r="W25" t="str">
            <v>x</v>
          </cell>
          <cell r="X25" t="str">
            <v>x</v>
          </cell>
          <cell r="Y25" t="str">
            <v>x</v>
          </cell>
          <cell r="Z25" t="str">
            <v>x</v>
          </cell>
          <cell r="AA25" t="str">
            <v>x</v>
          </cell>
          <cell r="AC25" t="str">
            <v>x</v>
          </cell>
          <cell r="AD25" t="str">
            <v>x</v>
          </cell>
          <cell r="AE25" t="str">
            <v>x</v>
          </cell>
          <cell r="AF25" t="str">
            <v>x</v>
          </cell>
          <cell r="AG25" t="str">
            <v>x</v>
          </cell>
          <cell r="AH25" t="str">
            <v>x</v>
          </cell>
          <cell r="AJ25" t="str">
            <v>x</v>
          </cell>
          <cell r="AK25" t="str">
            <v>x</v>
          </cell>
          <cell r="AL25" t="str">
            <v>x</v>
          </cell>
          <cell r="AM25">
            <v>25</v>
          </cell>
          <cell r="AN25">
            <v>0</v>
          </cell>
        </row>
        <row r="26">
          <cell r="C26">
            <v>50001</v>
          </cell>
          <cell r="D26">
            <v>43900</v>
          </cell>
          <cell r="E26">
            <v>43983</v>
          </cell>
          <cell r="F26" t="str">
            <v>VP</v>
          </cell>
          <cell r="G26" t="str">
            <v>CBQX</v>
          </cell>
          <cell r="H26" t="str">
            <v>LT</v>
          </cell>
          <cell r="J26" t="str">
            <v>x</v>
          </cell>
          <cell r="K26" t="str">
            <v>x</v>
          </cell>
          <cell r="L26" t="str">
            <v>x</v>
          </cell>
          <cell r="M26" t="str">
            <v>x</v>
          </cell>
          <cell r="O26" t="str">
            <v>x</v>
          </cell>
          <cell r="P26" t="str">
            <v>x</v>
          </cell>
          <cell r="Q26" t="str">
            <v>x</v>
          </cell>
          <cell r="R26" t="str">
            <v>x</v>
          </cell>
          <cell r="S26" t="str">
            <v>x</v>
          </cell>
          <cell r="T26" t="str">
            <v>x</v>
          </cell>
          <cell r="V26" t="str">
            <v>x</v>
          </cell>
          <cell r="W26" t="str">
            <v>x</v>
          </cell>
          <cell r="X26" t="str">
            <v>x</v>
          </cell>
          <cell r="Y26" t="str">
            <v>x</v>
          </cell>
          <cell r="Z26" t="str">
            <v>x</v>
          </cell>
          <cell r="AA26" t="str">
            <v>x</v>
          </cell>
          <cell r="AC26" t="str">
            <v>x</v>
          </cell>
          <cell r="AD26" t="str">
            <v>x</v>
          </cell>
          <cell r="AE26" t="str">
            <v>x</v>
          </cell>
          <cell r="AF26" t="str">
            <v>x</v>
          </cell>
          <cell r="AG26" t="str">
            <v>x</v>
          </cell>
          <cell r="AH26" t="str">
            <v>x</v>
          </cell>
          <cell r="AJ26" t="str">
            <v>x</v>
          </cell>
          <cell r="AK26" t="str">
            <v>x</v>
          </cell>
          <cell r="AL26" t="str">
            <v>x</v>
          </cell>
          <cell r="AM26">
            <v>25</v>
          </cell>
          <cell r="AN26">
            <v>0</v>
          </cell>
        </row>
        <row r="27">
          <cell r="C27">
            <v>50003</v>
          </cell>
          <cell r="D27">
            <v>43983</v>
          </cell>
          <cell r="E27">
            <v>43983</v>
          </cell>
          <cell r="F27" t="str">
            <v>Nghỉ thai sản</v>
          </cell>
          <cell r="H27" t="str">
            <v>TS</v>
          </cell>
          <cell r="J27" t="str">
            <v>TS</v>
          </cell>
          <cell r="K27" t="str">
            <v>TS</v>
          </cell>
          <cell r="L27" t="str">
            <v>TS</v>
          </cell>
          <cell r="M27" t="str">
            <v>TS</v>
          </cell>
          <cell r="O27" t="str">
            <v>TS</v>
          </cell>
          <cell r="P27" t="str">
            <v>TS</v>
          </cell>
          <cell r="Q27" t="str">
            <v>TS</v>
          </cell>
          <cell r="R27" t="str">
            <v>TS</v>
          </cell>
          <cell r="S27" t="str">
            <v>TS</v>
          </cell>
          <cell r="T27" t="str">
            <v>TS</v>
          </cell>
          <cell r="V27" t="str">
            <v>TS</v>
          </cell>
          <cell r="W27" t="str">
            <v>TS</v>
          </cell>
          <cell r="X27" t="str">
            <v>TS</v>
          </cell>
          <cell r="Y27" t="str">
            <v>TS</v>
          </cell>
          <cell r="Z27" t="str">
            <v>TS</v>
          </cell>
          <cell r="AA27" t="str">
            <v>TS</v>
          </cell>
          <cell r="AC27" t="str">
            <v>TS</v>
          </cell>
          <cell r="AD27" t="str">
            <v>TS</v>
          </cell>
          <cell r="AE27" t="str">
            <v>TS</v>
          </cell>
          <cell r="AF27" t="str">
            <v>TS</v>
          </cell>
          <cell r="AG27" t="str">
            <v>TS</v>
          </cell>
          <cell r="AH27" t="str">
            <v>TS</v>
          </cell>
          <cell r="AJ27" t="str">
            <v>TS</v>
          </cell>
          <cell r="AK27" t="str">
            <v>TS</v>
          </cell>
          <cell r="AL27" t="str">
            <v>TS</v>
          </cell>
          <cell r="AM27">
            <v>0</v>
          </cell>
          <cell r="AN27">
            <v>0</v>
          </cell>
        </row>
        <row r="28">
          <cell r="C28">
            <v>50004</v>
          </cell>
          <cell r="D28">
            <v>43983</v>
          </cell>
          <cell r="E28">
            <v>43983</v>
          </cell>
          <cell r="F28" t="str">
            <v xml:space="preserve">Tổ 7 </v>
          </cell>
          <cell r="G28" t="str">
            <v>CBQX</v>
          </cell>
          <cell r="H28" t="str">
            <v>LT</v>
          </cell>
          <cell r="J28" t="str">
            <v>x</v>
          </cell>
          <cell r="K28" t="str">
            <v>x</v>
          </cell>
          <cell r="L28" t="str">
            <v>x</v>
          </cell>
          <cell r="M28" t="str">
            <v>x</v>
          </cell>
          <cell r="O28" t="str">
            <v>x</v>
          </cell>
          <cell r="P28" t="str">
            <v>x</v>
          </cell>
          <cell r="Q28" t="str">
            <v>x</v>
          </cell>
          <cell r="R28" t="str">
            <v>x</v>
          </cell>
          <cell r="S28" t="str">
            <v>x</v>
          </cell>
          <cell r="T28" t="str">
            <v>x</v>
          </cell>
          <cell r="U28" t="str">
            <v>x/2</v>
          </cell>
          <cell r="V28" t="str">
            <v>x</v>
          </cell>
          <cell r="W28" t="str">
            <v>x</v>
          </cell>
          <cell r="X28" t="str">
            <v>x</v>
          </cell>
          <cell r="Y28" t="str">
            <v>x</v>
          </cell>
          <cell r="Z28" t="str">
            <v>x</v>
          </cell>
          <cell r="AA28" t="str">
            <v>x</v>
          </cell>
          <cell r="AC28" t="str">
            <v>x</v>
          </cell>
          <cell r="AD28" t="str">
            <v>x</v>
          </cell>
          <cell r="AE28" t="str">
            <v>x</v>
          </cell>
          <cell r="AF28" t="str">
            <v>x</v>
          </cell>
          <cell r="AG28" t="str">
            <v>x</v>
          </cell>
          <cell r="AH28" t="str">
            <v>x</v>
          </cell>
          <cell r="AJ28" t="str">
            <v>x</v>
          </cell>
          <cell r="AK28" t="str">
            <v>x</v>
          </cell>
          <cell r="AL28" t="str">
            <v>x</v>
          </cell>
          <cell r="AM28">
            <v>25</v>
          </cell>
          <cell r="AN28">
            <v>0.5</v>
          </cell>
        </row>
        <row r="29">
          <cell r="C29">
            <v>50008</v>
          </cell>
          <cell r="D29">
            <v>43983</v>
          </cell>
          <cell r="E29">
            <v>44044</v>
          </cell>
          <cell r="F29" t="str">
            <v>Cắt</v>
          </cell>
          <cell r="H29" t="str">
            <v>LT</v>
          </cell>
          <cell r="J29" t="str">
            <v>x</v>
          </cell>
          <cell r="K29" t="str">
            <v>x</v>
          </cell>
          <cell r="L29" t="str">
            <v>x</v>
          </cell>
          <cell r="M29" t="str">
            <v>x</v>
          </cell>
          <cell r="O29" t="str">
            <v>x</v>
          </cell>
          <cell r="P29" t="str">
            <v>x</v>
          </cell>
          <cell r="Q29" t="str">
            <v>x</v>
          </cell>
          <cell r="R29" t="str">
            <v>F</v>
          </cell>
          <cell r="S29" t="str">
            <v>x</v>
          </cell>
          <cell r="T29" t="str">
            <v>x</v>
          </cell>
          <cell r="V29" t="str">
            <v>x</v>
          </cell>
          <cell r="W29" t="str">
            <v>x</v>
          </cell>
          <cell r="X29" t="str">
            <v>x</v>
          </cell>
          <cell r="Y29" t="str">
            <v>x</v>
          </cell>
          <cell r="Z29" t="str">
            <v>x</v>
          </cell>
          <cell r="AA29" t="str">
            <v>x</v>
          </cell>
          <cell r="AC29" t="str">
            <v>x</v>
          </cell>
          <cell r="AD29" t="str">
            <v>x</v>
          </cell>
          <cell r="AE29" t="str">
            <v>x</v>
          </cell>
          <cell r="AF29" t="str">
            <v>x</v>
          </cell>
          <cell r="AG29" t="str">
            <v>x</v>
          </cell>
          <cell r="AH29" t="str">
            <v>x</v>
          </cell>
          <cell r="AJ29" t="str">
            <v>x</v>
          </cell>
          <cell r="AK29" t="str">
            <v>x</v>
          </cell>
          <cell r="AL29" t="str">
            <v>x</v>
          </cell>
          <cell r="AM29">
            <v>24</v>
          </cell>
          <cell r="AN29">
            <v>0</v>
          </cell>
        </row>
        <row r="30">
          <cell r="C30">
            <v>50010</v>
          </cell>
          <cell r="D30">
            <v>43983</v>
          </cell>
          <cell r="E30">
            <v>44317</v>
          </cell>
          <cell r="F30" t="str">
            <v>Kiểm hoá</v>
          </cell>
          <cell r="H30" t="str">
            <v>LT</v>
          </cell>
          <cell r="J30" t="str">
            <v>x</v>
          </cell>
          <cell r="K30" t="str">
            <v>x</v>
          </cell>
          <cell r="L30" t="str">
            <v>x</v>
          </cell>
          <cell r="M30" t="str">
            <v>x</v>
          </cell>
          <cell r="O30" t="str">
            <v>x</v>
          </cell>
          <cell r="P30" t="str">
            <v>x</v>
          </cell>
          <cell r="Q30" t="str">
            <v>x</v>
          </cell>
          <cell r="R30" t="str">
            <v>x</v>
          </cell>
          <cell r="S30" t="str">
            <v>x</v>
          </cell>
          <cell r="T30" t="str">
            <v>x</v>
          </cell>
          <cell r="V30" t="str">
            <v>x</v>
          </cell>
          <cell r="W30" t="str">
            <v>x</v>
          </cell>
          <cell r="X30" t="str">
            <v>x</v>
          </cell>
          <cell r="Y30" t="str">
            <v>x</v>
          </cell>
          <cell r="Z30" t="str">
            <v>x</v>
          </cell>
          <cell r="AA30" t="str">
            <v>x</v>
          </cell>
          <cell r="AC30" t="str">
            <v>x</v>
          </cell>
          <cell r="AD30" t="str">
            <v>x</v>
          </cell>
          <cell r="AE30" t="str">
            <v>x</v>
          </cell>
          <cell r="AF30" t="str">
            <v>F</v>
          </cell>
          <cell r="AG30" t="str">
            <v>x/2</v>
          </cell>
          <cell r="AH30" t="str">
            <v>x</v>
          </cell>
          <cell r="AJ30" t="str">
            <v>x</v>
          </cell>
          <cell r="AK30" t="str">
            <v>x</v>
          </cell>
          <cell r="AL30" t="str">
            <v>x</v>
          </cell>
          <cell r="AM30">
            <v>23.5</v>
          </cell>
          <cell r="AN30">
            <v>0</v>
          </cell>
        </row>
        <row r="31">
          <cell r="C31">
            <v>50011</v>
          </cell>
          <cell r="D31">
            <v>43983</v>
          </cell>
          <cell r="E31">
            <v>44044</v>
          </cell>
          <cell r="F31" t="str">
            <v>Nghỉ thai sản</v>
          </cell>
          <cell r="H31" t="str">
            <v>TS</v>
          </cell>
          <cell r="J31" t="str">
            <v>TS</v>
          </cell>
          <cell r="K31" t="str">
            <v>TS</v>
          </cell>
          <cell r="L31" t="str">
            <v>TS</v>
          </cell>
          <cell r="M31" t="str">
            <v>TS</v>
          </cell>
          <cell r="O31" t="str">
            <v>TS</v>
          </cell>
          <cell r="P31" t="str">
            <v>TS</v>
          </cell>
          <cell r="Q31" t="str">
            <v>TS</v>
          </cell>
          <cell r="R31" t="str">
            <v>TS</v>
          </cell>
          <cell r="S31" t="str">
            <v>TS</v>
          </cell>
          <cell r="T31" t="str">
            <v>TS</v>
          </cell>
          <cell r="V31" t="str">
            <v>TS</v>
          </cell>
          <cell r="W31" t="str">
            <v>TS</v>
          </cell>
          <cell r="X31" t="str">
            <v>TS</v>
          </cell>
          <cell r="Y31" t="str">
            <v>TS</v>
          </cell>
          <cell r="Z31" t="str">
            <v>TS</v>
          </cell>
          <cell r="AA31" t="str">
            <v>TS</v>
          </cell>
          <cell r="AC31" t="str">
            <v>TS</v>
          </cell>
          <cell r="AD31" t="str">
            <v>TS</v>
          </cell>
          <cell r="AE31" t="str">
            <v>TS</v>
          </cell>
          <cell r="AF31" t="str">
            <v>TS</v>
          </cell>
          <cell r="AG31" t="str">
            <v>TS</v>
          </cell>
          <cell r="AH31" t="str">
            <v>TS</v>
          </cell>
          <cell r="AJ31" t="str">
            <v>TS</v>
          </cell>
          <cell r="AK31" t="str">
            <v>TS</v>
          </cell>
          <cell r="AL31" t="str">
            <v>TS</v>
          </cell>
          <cell r="AM31">
            <v>0</v>
          </cell>
          <cell r="AN31">
            <v>0</v>
          </cell>
        </row>
        <row r="32">
          <cell r="C32">
            <v>50014</v>
          </cell>
          <cell r="D32">
            <v>43983</v>
          </cell>
          <cell r="E32">
            <v>44044</v>
          </cell>
          <cell r="F32" t="str">
            <v>Nghỉ thai sản</v>
          </cell>
          <cell r="H32" t="str">
            <v>TS</v>
          </cell>
          <cell r="J32" t="str">
            <v>TS</v>
          </cell>
          <cell r="K32" t="str">
            <v>TS</v>
          </cell>
          <cell r="L32" t="str">
            <v>TS</v>
          </cell>
          <cell r="M32" t="str">
            <v>TS</v>
          </cell>
          <cell r="O32" t="str">
            <v>TS</v>
          </cell>
          <cell r="P32" t="str">
            <v>TS</v>
          </cell>
          <cell r="Q32" t="str">
            <v>TS</v>
          </cell>
          <cell r="R32" t="str">
            <v>TS</v>
          </cell>
          <cell r="S32" t="str">
            <v>TS</v>
          </cell>
          <cell r="T32" t="str">
            <v>TS</v>
          </cell>
          <cell r="V32" t="str">
            <v>TS</v>
          </cell>
          <cell r="W32" t="str">
            <v>TS</v>
          </cell>
          <cell r="X32" t="str">
            <v>TS</v>
          </cell>
          <cell r="Y32" t="str">
            <v>TS</v>
          </cell>
          <cell r="Z32" t="str">
            <v>TS</v>
          </cell>
          <cell r="AA32" t="str">
            <v>TS</v>
          </cell>
          <cell r="AC32" t="str">
            <v>TS</v>
          </cell>
          <cell r="AD32" t="str">
            <v>TS</v>
          </cell>
          <cell r="AE32" t="str">
            <v>TS</v>
          </cell>
          <cell r="AF32" t="str">
            <v>TS</v>
          </cell>
          <cell r="AG32" t="str">
            <v>TS</v>
          </cell>
          <cell r="AH32" t="str">
            <v>TS</v>
          </cell>
          <cell r="AJ32" t="str">
            <v>TS</v>
          </cell>
          <cell r="AK32" t="str">
            <v>TS</v>
          </cell>
          <cell r="AL32" t="str">
            <v>TS</v>
          </cell>
          <cell r="AM32">
            <v>0</v>
          </cell>
          <cell r="AN32">
            <v>0</v>
          </cell>
        </row>
        <row r="33">
          <cell r="C33">
            <v>50018</v>
          </cell>
          <cell r="D33">
            <v>43983</v>
          </cell>
          <cell r="E33">
            <v>44044</v>
          </cell>
          <cell r="F33" t="str">
            <v>C.điện</v>
          </cell>
          <cell r="H33" t="str">
            <v>LT</v>
          </cell>
          <cell r="J33" t="str">
            <v>x</v>
          </cell>
          <cell r="K33" t="str">
            <v>x</v>
          </cell>
          <cell r="L33" t="str">
            <v>x</v>
          </cell>
          <cell r="M33" t="str">
            <v>x</v>
          </cell>
          <cell r="O33" t="str">
            <v>x</v>
          </cell>
          <cell r="P33" t="str">
            <v>x</v>
          </cell>
          <cell r="Q33" t="str">
            <v>x</v>
          </cell>
          <cell r="R33" t="str">
            <v>x</v>
          </cell>
          <cell r="S33" t="str">
            <v>x</v>
          </cell>
          <cell r="T33" t="str">
            <v>x</v>
          </cell>
          <cell r="V33" t="str">
            <v>x</v>
          </cell>
          <cell r="W33" t="str">
            <v>x</v>
          </cell>
          <cell r="X33" t="str">
            <v>x</v>
          </cell>
          <cell r="Y33" t="str">
            <v>x</v>
          </cell>
          <cell r="Z33" t="str">
            <v>x</v>
          </cell>
          <cell r="AA33" t="str">
            <v>x</v>
          </cell>
          <cell r="AB33" t="str">
            <v>x</v>
          </cell>
          <cell r="AC33" t="str">
            <v>x</v>
          </cell>
          <cell r="AD33" t="str">
            <v>x</v>
          </cell>
          <cell r="AE33" t="str">
            <v>x</v>
          </cell>
          <cell r="AF33" t="str">
            <v>x</v>
          </cell>
          <cell r="AG33" t="str">
            <v>x</v>
          </cell>
          <cell r="AH33" t="str">
            <v>x</v>
          </cell>
          <cell r="AJ33" t="str">
            <v>x</v>
          </cell>
          <cell r="AK33" t="str">
            <v>x</v>
          </cell>
          <cell r="AL33" t="str">
            <v>x</v>
          </cell>
          <cell r="AM33">
            <v>25</v>
          </cell>
          <cell r="AN33">
            <v>1</v>
          </cell>
        </row>
        <row r="34">
          <cell r="C34">
            <v>50019</v>
          </cell>
          <cell r="D34">
            <v>43983</v>
          </cell>
          <cell r="E34">
            <v>44044</v>
          </cell>
          <cell r="F34" t="str">
            <v xml:space="preserve">Tổ 6 </v>
          </cell>
          <cell r="H34" t="str">
            <v>LT</v>
          </cell>
          <cell r="J34" t="str">
            <v>x</v>
          </cell>
          <cell r="K34" t="str">
            <v>x</v>
          </cell>
          <cell r="L34" t="str">
            <v>x</v>
          </cell>
          <cell r="M34" t="str">
            <v>x</v>
          </cell>
          <cell r="O34" t="str">
            <v>x</v>
          </cell>
          <cell r="P34" t="str">
            <v>x</v>
          </cell>
          <cell r="Q34" t="str">
            <v>x</v>
          </cell>
          <cell r="R34" t="str">
            <v>x</v>
          </cell>
          <cell r="S34" t="str">
            <v>x</v>
          </cell>
          <cell r="T34" t="str">
            <v>x</v>
          </cell>
          <cell r="U34" t="str">
            <v>x/2</v>
          </cell>
          <cell r="V34" t="str">
            <v>x</v>
          </cell>
          <cell r="W34" t="str">
            <v>x</v>
          </cell>
          <cell r="X34" t="str">
            <v>x</v>
          </cell>
          <cell r="Y34" t="str">
            <v>x</v>
          </cell>
          <cell r="Z34" t="str">
            <v>x</v>
          </cell>
          <cell r="AA34" t="str">
            <v>x</v>
          </cell>
          <cell r="AC34" t="str">
            <v>x</v>
          </cell>
          <cell r="AD34" t="str">
            <v>x</v>
          </cell>
          <cell r="AE34" t="str">
            <v>x</v>
          </cell>
          <cell r="AF34" t="str">
            <v>x</v>
          </cell>
          <cell r="AG34" t="str">
            <v>x</v>
          </cell>
          <cell r="AH34" t="str">
            <v>x</v>
          </cell>
          <cell r="AI34" t="str">
            <v>x</v>
          </cell>
          <cell r="AJ34" t="str">
            <v>x</v>
          </cell>
          <cell r="AK34" t="str">
            <v>x</v>
          </cell>
          <cell r="AL34" t="str">
            <v>x</v>
          </cell>
          <cell r="AM34">
            <v>25</v>
          </cell>
          <cell r="AN34">
            <v>1.5</v>
          </cell>
        </row>
        <row r="35">
          <cell r="C35">
            <v>50022</v>
          </cell>
          <cell r="D35">
            <v>43983</v>
          </cell>
          <cell r="E35">
            <v>44044</v>
          </cell>
          <cell r="F35" t="str">
            <v>Cắt</v>
          </cell>
          <cell r="H35" t="str">
            <v>LT</v>
          </cell>
          <cell r="J35" t="str">
            <v>x</v>
          </cell>
          <cell r="K35" t="str">
            <v>x</v>
          </cell>
          <cell r="L35" t="str">
            <v>x</v>
          </cell>
          <cell r="M35" t="str">
            <v>x</v>
          </cell>
          <cell r="O35" t="str">
            <v>x</v>
          </cell>
          <cell r="P35" t="str">
            <v>x</v>
          </cell>
          <cell r="Q35" t="str">
            <v>x</v>
          </cell>
          <cell r="R35" t="str">
            <v>x</v>
          </cell>
          <cell r="S35" t="str">
            <v>x</v>
          </cell>
          <cell r="T35" t="str">
            <v>x</v>
          </cell>
          <cell r="U35" t="str">
            <v>x/2</v>
          </cell>
          <cell r="V35" t="str">
            <v>x</v>
          </cell>
          <cell r="W35" t="str">
            <v>x</v>
          </cell>
          <cell r="X35" t="str">
            <v>x</v>
          </cell>
          <cell r="Y35" t="str">
            <v>x</v>
          </cell>
          <cell r="Z35" t="str">
            <v>x</v>
          </cell>
          <cell r="AA35" t="str">
            <v>x</v>
          </cell>
          <cell r="AC35" t="str">
            <v>x</v>
          </cell>
          <cell r="AD35" t="str">
            <v>x</v>
          </cell>
          <cell r="AE35" t="str">
            <v>x</v>
          </cell>
          <cell r="AF35" t="str">
            <v>x</v>
          </cell>
          <cell r="AG35" t="str">
            <v>x</v>
          </cell>
          <cell r="AH35" t="str">
            <v>x</v>
          </cell>
          <cell r="AJ35" t="str">
            <v>x</v>
          </cell>
          <cell r="AK35" t="str">
            <v>x</v>
          </cell>
          <cell r="AL35" t="str">
            <v>x</v>
          </cell>
          <cell r="AM35">
            <v>25</v>
          </cell>
          <cell r="AN35">
            <v>0.5</v>
          </cell>
        </row>
        <row r="36">
          <cell r="C36">
            <v>50023</v>
          </cell>
          <cell r="D36">
            <v>43983</v>
          </cell>
          <cell r="E36">
            <v>44044</v>
          </cell>
          <cell r="F36" t="str">
            <v>Tổ sơ mi 3</v>
          </cell>
          <cell r="H36" t="str">
            <v>LT</v>
          </cell>
          <cell r="J36" t="str">
            <v>x</v>
          </cell>
          <cell r="K36" t="str">
            <v>x</v>
          </cell>
          <cell r="L36" t="str">
            <v>x</v>
          </cell>
          <cell r="M36" t="str">
            <v>x</v>
          </cell>
          <cell r="O36" t="str">
            <v>x</v>
          </cell>
          <cell r="P36" t="str">
            <v>x</v>
          </cell>
          <cell r="Q36" t="str">
            <v>x</v>
          </cell>
          <cell r="R36" t="str">
            <v>x</v>
          </cell>
          <cell r="S36" t="str">
            <v>x</v>
          </cell>
          <cell r="T36" t="str">
            <v>x</v>
          </cell>
          <cell r="V36" t="str">
            <v>x</v>
          </cell>
          <cell r="W36" t="str">
            <v>x</v>
          </cell>
          <cell r="X36" t="str">
            <v>x</v>
          </cell>
          <cell r="Y36" t="str">
            <v>x</v>
          </cell>
          <cell r="Z36" t="str">
            <v>x</v>
          </cell>
          <cell r="AA36" t="str">
            <v>x</v>
          </cell>
          <cell r="AC36" t="str">
            <v>x</v>
          </cell>
          <cell r="AD36" t="str">
            <v>x</v>
          </cell>
          <cell r="AE36" t="str">
            <v>x</v>
          </cell>
          <cell r="AF36" t="str">
            <v>x</v>
          </cell>
          <cell r="AG36" t="str">
            <v>x</v>
          </cell>
          <cell r="AH36" t="str">
            <v>x</v>
          </cell>
          <cell r="AJ36" t="str">
            <v>x</v>
          </cell>
          <cell r="AK36" t="str">
            <v>x</v>
          </cell>
          <cell r="AL36" t="str">
            <v>x</v>
          </cell>
          <cell r="AM36">
            <v>25</v>
          </cell>
          <cell r="AN36">
            <v>0</v>
          </cell>
        </row>
        <row r="37">
          <cell r="C37">
            <v>50024</v>
          </cell>
          <cell r="D37">
            <v>43983</v>
          </cell>
          <cell r="E37">
            <v>44013</v>
          </cell>
          <cell r="F37" t="str">
            <v>Tổ sơ mi 1</v>
          </cell>
          <cell r="H37" t="str">
            <v>LT</v>
          </cell>
          <cell r="J37" t="str">
            <v>x</v>
          </cell>
          <cell r="K37" t="str">
            <v>x</v>
          </cell>
          <cell r="L37" t="str">
            <v>x</v>
          </cell>
          <cell r="M37" t="str">
            <v>x</v>
          </cell>
          <cell r="O37" t="str">
            <v>x</v>
          </cell>
          <cell r="P37" t="str">
            <v>x</v>
          </cell>
          <cell r="Q37" t="str">
            <v>x</v>
          </cell>
          <cell r="R37" t="str">
            <v>x</v>
          </cell>
          <cell r="S37" t="str">
            <v>x</v>
          </cell>
          <cell r="T37" t="str">
            <v>x</v>
          </cell>
          <cell r="V37" t="str">
            <v>x</v>
          </cell>
          <cell r="W37" t="str">
            <v>x</v>
          </cell>
          <cell r="X37" t="str">
            <v>x</v>
          </cell>
          <cell r="Y37" t="str">
            <v>x</v>
          </cell>
          <cell r="Z37" t="str">
            <v>x</v>
          </cell>
          <cell r="AA37" t="str">
            <v>x</v>
          </cell>
          <cell r="AC37" t="str">
            <v>x</v>
          </cell>
          <cell r="AD37" t="str">
            <v>x</v>
          </cell>
          <cell r="AE37" t="str">
            <v>x</v>
          </cell>
          <cell r="AF37" t="str">
            <v>x</v>
          </cell>
          <cell r="AG37" t="str">
            <v>x</v>
          </cell>
          <cell r="AH37" t="str">
            <v>x</v>
          </cell>
          <cell r="AJ37" t="str">
            <v>x</v>
          </cell>
          <cell r="AK37" t="str">
            <v>x</v>
          </cell>
          <cell r="AL37" t="str">
            <v>x</v>
          </cell>
          <cell r="AM37">
            <v>25</v>
          </cell>
          <cell r="AN37">
            <v>0</v>
          </cell>
        </row>
        <row r="38">
          <cell r="C38">
            <v>50027</v>
          </cell>
          <cell r="D38">
            <v>43983</v>
          </cell>
          <cell r="E38">
            <v>44013</v>
          </cell>
          <cell r="F38" t="str">
            <v>Tổ sơ mi 3</v>
          </cell>
          <cell r="H38" t="str">
            <v>LT</v>
          </cell>
          <cell r="J38" t="str">
            <v>x</v>
          </cell>
          <cell r="K38" t="str">
            <v>x</v>
          </cell>
          <cell r="L38" t="str">
            <v>x</v>
          </cell>
          <cell r="M38" t="str">
            <v>x</v>
          </cell>
          <cell r="O38" t="str">
            <v>x</v>
          </cell>
          <cell r="P38" t="str">
            <v>x</v>
          </cell>
          <cell r="Q38" t="str">
            <v>x</v>
          </cell>
          <cell r="R38" t="str">
            <v>x</v>
          </cell>
          <cell r="S38" t="str">
            <v>x</v>
          </cell>
          <cell r="T38" t="str">
            <v>x</v>
          </cell>
          <cell r="V38" t="str">
            <v>x</v>
          </cell>
          <cell r="W38" t="str">
            <v>x</v>
          </cell>
          <cell r="X38" t="str">
            <v>x</v>
          </cell>
          <cell r="Y38" t="str">
            <v>x/2</v>
          </cell>
          <cell r="Z38" t="str">
            <v>x</v>
          </cell>
          <cell r="AA38" t="str">
            <v>x</v>
          </cell>
          <cell r="AC38" t="str">
            <v>x</v>
          </cell>
          <cell r="AD38" t="str">
            <v>x</v>
          </cell>
          <cell r="AE38" t="str">
            <v>x</v>
          </cell>
          <cell r="AF38" t="str">
            <v>x</v>
          </cell>
          <cell r="AG38" t="str">
            <v>x/2</v>
          </cell>
          <cell r="AH38" t="str">
            <v>x</v>
          </cell>
          <cell r="AJ38" t="str">
            <v>x</v>
          </cell>
          <cell r="AK38" t="str">
            <v>x</v>
          </cell>
          <cell r="AL38" t="str">
            <v>x</v>
          </cell>
          <cell r="AM38">
            <v>24</v>
          </cell>
          <cell r="AN38">
            <v>0</v>
          </cell>
        </row>
        <row r="39">
          <cell r="C39">
            <v>50028</v>
          </cell>
          <cell r="D39">
            <v>43983</v>
          </cell>
          <cell r="E39">
            <v>44044</v>
          </cell>
          <cell r="F39" t="str">
            <v>Tổ Sơ mi 1</v>
          </cell>
          <cell r="H39" t="str">
            <v>LT</v>
          </cell>
          <cell r="J39" t="str">
            <v>x</v>
          </cell>
          <cell r="K39" t="str">
            <v>x</v>
          </cell>
          <cell r="L39" t="str">
            <v>x</v>
          </cell>
          <cell r="M39" t="str">
            <v>x</v>
          </cell>
          <cell r="O39" t="str">
            <v>x</v>
          </cell>
          <cell r="P39" t="str">
            <v>x</v>
          </cell>
          <cell r="Q39" t="str">
            <v>x</v>
          </cell>
          <cell r="R39" t="str">
            <v>x</v>
          </cell>
          <cell r="S39" t="str">
            <v>x</v>
          </cell>
          <cell r="T39" t="str">
            <v>x</v>
          </cell>
          <cell r="V39" t="str">
            <v>x</v>
          </cell>
          <cell r="W39" t="str">
            <v>x</v>
          </cell>
          <cell r="X39" t="str">
            <v>x</v>
          </cell>
          <cell r="Y39" t="str">
            <v>x</v>
          </cell>
          <cell r="Z39" t="str">
            <v>x</v>
          </cell>
          <cell r="AA39" t="str">
            <v>x</v>
          </cell>
          <cell r="AC39" t="str">
            <v>x</v>
          </cell>
          <cell r="AD39" t="str">
            <v>x</v>
          </cell>
          <cell r="AE39" t="str">
            <v>x</v>
          </cell>
          <cell r="AF39" t="str">
            <v>x</v>
          </cell>
          <cell r="AG39" t="str">
            <v>x</v>
          </cell>
          <cell r="AH39" t="str">
            <v>Ô</v>
          </cell>
          <cell r="AJ39" t="str">
            <v>Ô</v>
          </cell>
          <cell r="AK39" t="str">
            <v>Ô</v>
          </cell>
          <cell r="AL39" t="str">
            <v>Ô</v>
          </cell>
          <cell r="AM39">
            <v>21</v>
          </cell>
          <cell r="AN39">
            <v>0</v>
          </cell>
        </row>
        <row r="40">
          <cell r="C40">
            <v>50029</v>
          </cell>
          <cell r="D40">
            <v>43983</v>
          </cell>
          <cell r="E40">
            <v>44197</v>
          </cell>
          <cell r="F40" t="str">
            <v>Tổ sơ mi 1</v>
          </cell>
          <cell r="H40" t="str">
            <v>LT</v>
          </cell>
          <cell r="J40" t="str">
            <v>x</v>
          </cell>
          <cell r="K40" t="str">
            <v>x</v>
          </cell>
          <cell r="L40" t="str">
            <v>x</v>
          </cell>
          <cell r="M40" t="str">
            <v>x</v>
          </cell>
          <cell r="O40" t="str">
            <v>x</v>
          </cell>
          <cell r="P40" t="str">
            <v>x</v>
          </cell>
          <cell r="Q40" t="str">
            <v>x</v>
          </cell>
          <cell r="R40" t="str">
            <v>x</v>
          </cell>
          <cell r="S40" t="str">
            <v>x</v>
          </cell>
          <cell r="T40" t="str">
            <v>x</v>
          </cell>
          <cell r="V40" t="str">
            <v>x</v>
          </cell>
          <cell r="W40" t="str">
            <v>x</v>
          </cell>
          <cell r="X40" t="str">
            <v>x</v>
          </cell>
          <cell r="Y40" t="str">
            <v>x</v>
          </cell>
          <cell r="Z40" t="str">
            <v>x</v>
          </cell>
          <cell r="AA40" t="str">
            <v>x</v>
          </cell>
          <cell r="AC40" t="str">
            <v>x</v>
          </cell>
          <cell r="AD40" t="str">
            <v>x</v>
          </cell>
          <cell r="AE40" t="str">
            <v>x</v>
          </cell>
          <cell r="AF40" t="str">
            <v>x</v>
          </cell>
          <cell r="AG40" t="str">
            <v>x</v>
          </cell>
          <cell r="AH40" t="str">
            <v>x/2</v>
          </cell>
          <cell r="AJ40" t="str">
            <v>x</v>
          </cell>
          <cell r="AK40" t="str">
            <v>x</v>
          </cell>
          <cell r="AL40" t="str">
            <v>x</v>
          </cell>
          <cell r="AM40">
            <v>24.5</v>
          </cell>
          <cell r="AN40">
            <v>0</v>
          </cell>
        </row>
        <row r="41">
          <cell r="C41">
            <v>50033</v>
          </cell>
          <cell r="D41">
            <v>43983</v>
          </cell>
          <cell r="E41">
            <v>44013</v>
          </cell>
          <cell r="F41" t="str">
            <v>Cắt</v>
          </cell>
          <cell r="H41" t="str">
            <v>LT</v>
          </cell>
          <cell r="J41" t="str">
            <v>x</v>
          </cell>
          <cell r="K41" t="str">
            <v>x</v>
          </cell>
          <cell r="L41" t="str">
            <v>x</v>
          </cell>
          <cell r="M41" t="str">
            <v>x</v>
          </cell>
          <cell r="O41" t="str">
            <v>x</v>
          </cell>
          <cell r="P41" t="str">
            <v>x</v>
          </cell>
          <cell r="Q41" t="str">
            <v>x</v>
          </cell>
          <cell r="R41" t="str">
            <v>x</v>
          </cell>
          <cell r="S41" t="str">
            <v>x</v>
          </cell>
          <cell r="T41" t="str">
            <v>x</v>
          </cell>
          <cell r="U41" t="str">
            <v>x/2</v>
          </cell>
          <cell r="V41" t="str">
            <v>x</v>
          </cell>
          <cell r="W41" t="str">
            <v>x</v>
          </cell>
          <cell r="X41" t="str">
            <v>x</v>
          </cell>
          <cell r="Y41" t="str">
            <v>x</v>
          </cell>
          <cell r="Z41" t="str">
            <v>x</v>
          </cell>
          <cell r="AA41" t="str">
            <v>x</v>
          </cell>
          <cell r="AC41" t="str">
            <v>x</v>
          </cell>
          <cell r="AD41" t="str">
            <v>x</v>
          </cell>
          <cell r="AE41" t="str">
            <v>x</v>
          </cell>
          <cell r="AF41" t="str">
            <v>x</v>
          </cell>
          <cell r="AG41" t="str">
            <v>x</v>
          </cell>
          <cell r="AH41" t="str">
            <v>x</v>
          </cell>
          <cell r="AJ41" t="str">
            <v>x</v>
          </cell>
          <cell r="AK41" t="str">
            <v>x</v>
          </cell>
          <cell r="AL41" t="str">
            <v>x</v>
          </cell>
          <cell r="AM41">
            <v>25</v>
          </cell>
          <cell r="AN41">
            <v>0.5</v>
          </cell>
        </row>
        <row r="42">
          <cell r="C42">
            <v>50034</v>
          </cell>
          <cell r="D42">
            <v>43983</v>
          </cell>
          <cell r="E42">
            <v>44044</v>
          </cell>
          <cell r="F42" t="str">
            <v>Tổ sơ mi 3</v>
          </cell>
          <cell r="H42" t="str">
            <v>LT</v>
          </cell>
          <cell r="J42" t="str">
            <v>x</v>
          </cell>
          <cell r="K42" t="str">
            <v>x</v>
          </cell>
          <cell r="L42" t="str">
            <v>x</v>
          </cell>
          <cell r="M42" t="str">
            <v>x</v>
          </cell>
          <cell r="O42" t="str">
            <v>x</v>
          </cell>
          <cell r="P42" t="str">
            <v>x</v>
          </cell>
          <cell r="Q42" t="str">
            <v>x</v>
          </cell>
          <cell r="R42" t="str">
            <v>x</v>
          </cell>
          <cell r="S42" t="str">
            <v>x</v>
          </cell>
          <cell r="T42" t="str">
            <v>x</v>
          </cell>
          <cell r="V42" t="str">
            <v>x</v>
          </cell>
          <cell r="W42" t="str">
            <v>x</v>
          </cell>
          <cell r="X42" t="str">
            <v>x</v>
          </cell>
          <cell r="Y42" t="str">
            <v>x</v>
          </cell>
          <cell r="Z42" t="str">
            <v>x</v>
          </cell>
          <cell r="AA42" t="str">
            <v>x</v>
          </cell>
          <cell r="AC42" t="str">
            <v>x</v>
          </cell>
          <cell r="AD42" t="str">
            <v>x</v>
          </cell>
          <cell r="AE42" t="str">
            <v>x</v>
          </cell>
          <cell r="AF42" t="str">
            <v>x</v>
          </cell>
          <cell r="AG42" t="str">
            <v>x/2</v>
          </cell>
          <cell r="AH42" t="str">
            <v>x</v>
          </cell>
          <cell r="AJ42" t="str">
            <v>x</v>
          </cell>
          <cell r="AK42" t="str">
            <v>x</v>
          </cell>
          <cell r="AL42" t="str">
            <v>x</v>
          </cell>
          <cell r="AM42">
            <v>24.5</v>
          </cell>
          <cell r="AN42">
            <v>0</v>
          </cell>
        </row>
        <row r="43">
          <cell r="C43">
            <v>50035</v>
          </cell>
          <cell r="D43">
            <v>43983</v>
          </cell>
          <cell r="E43">
            <v>44044</v>
          </cell>
          <cell r="F43" t="str">
            <v>Tổ Sơ mi 1</v>
          </cell>
          <cell r="H43" t="str">
            <v>LT</v>
          </cell>
          <cell r="J43" t="str">
            <v>x</v>
          </cell>
          <cell r="K43" t="str">
            <v>x</v>
          </cell>
          <cell r="L43" t="str">
            <v>x</v>
          </cell>
          <cell r="M43" t="str">
            <v>x</v>
          </cell>
          <cell r="O43" t="str">
            <v>x</v>
          </cell>
          <cell r="P43" t="str">
            <v>x</v>
          </cell>
          <cell r="Q43" t="str">
            <v>x</v>
          </cell>
          <cell r="R43" t="str">
            <v>x</v>
          </cell>
          <cell r="S43" t="str">
            <v>x</v>
          </cell>
          <cell r="T43" t="str">
            <v>x</v>
          </cell>
          <cell r="V43" t="str">
            <v>x</v>
          </cell>
          <cell r="W43" t="str">
            <v>x</v>
          </cell>
          <cell r="X43" t="str">
            <v>x</v>
          </cell>
          <cell r="Y43" t="str">
            <v>x</v>
          </cell>
          <cell r="Z43" t="str">
            <v>x</v>
          </cell>
          <cell r="AA43" t="str">
            <v>x</v>
          </cell>
          <cell r="AC43" t="str">
            <v>x</v>
          </cell>
          <cell r="AD43" t="str">
            <v>x</v>
          </cell>
          <cell r="AE43" t="str">
            <v>x</v>
          </cell>
          <cell r="AF43" t="str">
            <v>x</v>
          </cell>
          <cell r="AG43" t="str">
            <v>x</v>
          </cell>
          <cell r="AH43" t="str">
            <v>x</v>
          </cell>
          <cell r="AJ43" t="str">
            <v>x</v>
          </cell>
          <cell r="AK43" t="str">
            <v>x</v>
          </cell>
          <cell r="AL43" t="str">
            <v>x</v>
          </cell>
          <cell r="AM43">
            <v>25</v>
          </cell>
          <cell r="AN43">
            <v>0</v>
          </cell>
        </row>
        <row r="44">
          <cell r="C44">
            <v>50038</v>
          </cell>
          <cell r="D44">
            <v>43983</v>
          </cell>
          <cell r="E44">
            <v>44044</v>
          </cell>
          <cell r="F44" t="str">
            <v>C.điện</v>
          </cell>
          <cell r="H44" t="str">
            <v>LT</v>
          </cell>
          <cell r="J44" t="str">
            <v>x</v>
          </cell>
          <cell r="K44" t="str">
            <v>x</v>
          </cell>
          <cell r="L44" t="str">
            <v>x</v>
          </cell>
          <cell r="M44" t="str">
            <v>x</v>
          </cell>
          <cell r="O44" t="str">
            <v>x</v>
          </cell>
          <cell r="P44" t="str">
            <v>x</v>
          </cell>
          <cell r="Q44" t="str">
            <v>x</v>
          </cell>
          <cell r="R44" t="str">
            <v>x</v>
          </cell>
          <cell r="S44" t="str">
            <v>x</v>
          </cell>
          <cell r="T44" t="str">
            <v>x</v>
          </cell>
          <cell r="V44" t="str">
            <v>x</v>
          </cell>
          <cell r="W44" t="str">
            <v>x</v>
          </cell>
          <cell r="X44" t="str">
            <v>x</v>
          </cell>
          <cell r="Y44" t="str">
            <v>x</v>
          </cell>
          <cell r="Z44" t="str">
            <v>x</v>
          </cell>
          <cell r="AA44" t="str">
            <v>x</v>
          </cell>
          <cell r="AB44" t="str">
            <v>x</v>
          </cell>
          <cell r="AC44" t="str">
            <v>x</v>
          </cell>
          <cell r="AD44" t="str">
            <v>x</v>
          </cell>
          <cell r="AE44" t="str">
            <v>x</v>
          </cell>
          <cell r="AF44" t="str">
            <v>x</v>
          </cell>
          <cell r="AG44" t="str">
            <v>x</v>
          </cell>
          <cell r="AH44" t="str">
            <v>x</v>
          </cell>
          <cell r="AI44" t="str">
            <v>x</v>
          </cell>
          <cell r="AJ44" t="str">
            <v>x</v>
          </cell>
          <cell r="AK44" t="str">
            <v>x</v>
          </cell>
          <cell r="AL44" t="str">
            <v>x</v>
          </cell>
          <cell r="AM44">
            <v>25</v>
          </cell>
          <cell r="AN44">
            <v>2</v>
          </cell>
        </row>
        <row r="45">
          <cell r="C45">
            <v>50039</v>
          </cell>
          <cell r="D45">
            <v>43983</v>
          </cell>
          <cell r="E45">
            <v>44044</v>
          </cell>
          <cell r="F45" t="str">
            <v>Cắt</v>
          </cell>
          <cell r="H45" t="str">
            <v>LT</v>
          </cell>
          <cell r="J45" t="str">
            <v>x</v>
          </cell>
          <cell r="K45" t="str">
            <v>x</v>
          </cell>
          <cell r="L45" t="str">
            <v>x</v>
          </cell>
          <cell r="M45" t="str">
            <v>x</v>
          </cell>
          <cell r="O45" t="str">
            <v>x</v>
          </cell>
          <cell r="P45" t="str">
            <v>x</v>
          </cell>
          <cell r="Q45" t="str">
            <v>x</v>
          </cell>
          <cell r="R45" t="str">
            <v>x</v>
          </cell>
          <cell r="S45" t="str">
            <v>x</v>
          </cell>
          <cell r="T45" t="str">
            <v>x</v>
          </cell>
          <cell r="V45" t="str">
            <v>x</v>
          </cell>
          <cell r="W45" t="str">
            <v>x</v>
          </cell>
          <cell r="X45" t="str">
            <v>x</v>
          </cell>
          <cell r="Y45" t="str">
            <v>x</v>
          </cell>
          <cell r="Z45" t="str">
            <v>x</v>
          </cell>
          <cell r="AA45" t="str">
            <v>x</v>
          </cell>
          <cell r="AC45" t="str">
            <v>x</v>
          </cell>
          <cell r="AD45" t="str">
            <v>x</v>
          </cell>
          <cell r="AE45" t="str">
            <v>x</v>
          </cell>
          <cell r="AF45" t="str">
            <v>x</v>
          </cell>
          <cell r="AG45" t="str">
            <v>x</v>
          </cell>
          <cell r="AH45" t="str">
            <v>x</v>
          </cell>
          <cell r="AJ45" t="str">
            <v>x</v>
          </cell>
          <cell r="AK45" t="str">
            <v>x</v>
          </cell>
          <cell r="AL45" t="str">
            <v>x</v>
          </cell>
          <cell r="AM45">
            <v>25</v>
          </cell>
          <cell r="AN45">
            <v>0</v>
          </cell>
        </row>
        <row r="46">
          <cell r="C46">
            <v>50041</v>
          </cell>
          <cell r="D46">
            <v>43983</v>
          </cell>
          <cell r="E46">
            <v>44044</v>
          </cell>
          <cell r="F46" t="str">
            <v>C.điện</v>
          </cell>
          <cell r="H46" t="str">
            <v>LT</v>
          </cell>
          <cell r="J46" t="str">
            <v>x</v>
          </cell>
          <cell r="K46" t="str">
            <v>x</v>
          </cell>
          <cell r="L46" t="str">
            <v>x</v>
          </cell>
          <cell r="M46" t="str">
            <v>x</v>
          </cell>
          <cell r="O46" t="str">
            <v>x</v>
          </cell>
          <cell r="P46" t="str">
            <v>x</v>
          </cell>
          <cell r="Q46" t="str">
            <v>x</v>
          </cell>
          <cell r="R46" t="str">
            <v>x</v>
          </cell>
          <cell r="S46" t="str">
            <v>x</v>
          </cell>
          <cell r="T46" t="str">
            <v>x</v>
          </cell>
          <cell r="V46" t="str">
            <v>x</v>
          </cell>
          <cell r="W46" t="str">
            <v>x/2</v>
          </cell>
          <cell r="X46" t="str">
            <v>x</v>
          </cell>
          <cell r="Y46" t="str">
            <v>x</v>
          </cell>
          <cell r="Z46" t="str">
            <v>x</v>
          </cell>
          <cell r="AA46" t="str">
            <v>x</v>
          </cell>
          <cell r="AB46" t="str">
            <v>x</v>
          </cell>
          <cell r="AC46" t="str">
            <v>x</v>
          </cell>
          <cell r="AD46" t="str">
            <v>x</v>
          </cell>
          <cell r="AE46" t="str">
            <v>x</v>
          </cell>
          <cell r="AF46" t="str">
            <v>x</v>
          </cell>
          <cell r="AG46" t="str">
            <v>x</v>
          </cell>
          <cell r="AH46" t="str">
            <v>x</v>
          </cell>
          <cell r="AJ46" t="str">
            <v>x</v>
          </cell>
          <cell r="AK46" t="str">
            <v>x</v>
          </cell>
          <cell r="AL46" t="str">
            <v>x</v>
          </cell>
          <cell r="AM46">
            <v>24.5</v>
          </cell>
          <cell r="AN46">
            <v>1</v>
          </cell>
        </row>
        <row r="47">
          <cell r="C47">
            <v>50043</v>
          </cell>
          <cell r="D47">
            <v>43983</v>
          </cell>
          <cell r="E47">
            <v>44044</v>
          </cell>
          <cell r="F47" t="str">
            <v>Cắt</v>
          </cell>
          <cell r="H47" t="str">
            <v>LT</v>
          </cell>
          <cell r="J47" t="str">
            <v>x</v>
          </cell>
          <cell r="K47" t="str">
            <v>x</v>
          </cell>
          <cell r="L47" t="str">
            <v>x/2</v>
          </cell>
          <cell r="M47" t="str">
            <v>x</v>
          </cell>
          <cell r="O47" t="str">
            <v>x</v>
          </cell>
          <cell r="P47" t="str">
            <v>x</v>
          </cell>
          <cell r="Q47" t="str">
            <v>x</v>
          </cell>
          <cell r="R47" t="str">
            <v>x</v>
          </cell>
          <cell r="S47" t="str">
            <v>x</v>
          </cell>
          <cell r="T47" t="str">
            <v>x</v>
          </cell>
          <cell r="V47" t="str">
            <v>x</v>
          </cell>
          <cell r="W47" t="str">
            <v>x</v>
          </cell>
          <cell r="X47" t="str">
            <v>x</v>
          </cell>
          <cell r="Y47" t="str">
            <v>x</v>
          </cell>
          <cell r="Z47" t="str">
            <v>x</v>
          </cell>
          <cell r="AA47" t="str">
            <v>x</v>
          </cell>
          <cell r="AC47" t="str">
            <v>x</v>
          </cell>
          <cell r="AD47" t="str">
            <v>x</v>
          </cell>
          <cell r="AE47" t="str">
            <v>x</v>
          </cell>
          <cell r="AF47" t="str">
            <v>x/2</v>
          </cell>
          <cell r="AG47" t="str">
            <v>x</v>
          </cell>
          <cell r="AH47" t="str">
            <v>x</v>
          </cell>
          <cell r="AJ47" t="str">
            <v>x</v>
          </cell>
          <cell r="AK47" t="str">
            <v>x</v>
          </cell>
          <cell r="AL47" t="str">
            <v>x</v>
          </cell>
          <cell r="AM47">
            <v>24</v>
          </cell>
          <cell r="AN47">
            <v>0</v>
          </cell>
        </row>
        <row r="48">
          <cell r="C48">
            <v>50044</v>
          </cell>
          <cell r="D48">
            <v>43983</v>
          </cell>
          <cell r="E48">
            <v>44044</v>
          </cell>
          <cell r="F48" t="str">
            <v>Kiểm hoá</v>
          </cell>
          <cell r="H48" t="str">
            <v>LT</v>
          </cell>
          <cell r="J48" t="str">
            <v>x</v>
          </cell>
          <cell r="K48" t="str">
            <v>x</v>
          </cell>
          <cell r="L48" t="str">
            <v>x</v>
          </cell>
          <cell r="M48" t="str">
            <v>x</v>
          </cell>
          <cell r="O48" t="str">
            <v>x</v>
          </cell>
          <cell r="P48" t="str">
            <v>x</v>
          </cell>
          <cell r="Q48" t="str">
            <v>x</v>
          </cell>
          <cell r="R48" t="str">
            <v>x</v>
          </cell>
          <cell r="S48" t="str">
            <v>x</v>
          </cell>
          <cell r="T48" t="str">
            <v>x</v>
          </cell>
          <cell r="V48" t="str">
            <v>x</v>
          </cell>
          <cell r="W48" t="str">
            <v>x</v>
          </cell>
          <cell r="X48" t="str">
            <v>x</v>
          </cell>
          <cell r="Y48" t="str">
            <v>x</v>
          </cell>
          <cell r="Z48" t="str">
            <v>x</v>
          </cell>
          <cell r="AA48" t="str">
            <v>x</v>
          </cell>
          <cell r="AC48" t="str">
            <v>x</v>
          </cell>
          <cell r="AD48" t="str">
            <v>x</v>
          </cell>
          <cell r="AE48" t="str">
            <v>x</v>
          </cell>
          <cell r="AF48" t="str">
            <v>x</v>
          </cell>
          <cell r="AG48" t="str">
            <v>x</v>
          </cell>
          <cell r="AH48" t="str">
            <v>x</v>
          </cell>
          <cell r="AJ48" t="str">
            <v>x/2</v>
          </cell>
          <cell r="AK48" t="str">
            <v>x</v>
          </cell>
          <cell r="AL48" t="str">
            <v>x</v>
          </cell>
          <cell r="AM48">
            <v>24.5</v>
          </cell>
          <cell r="AN48">
            <v>0</v>
          </cell>
        </row>
        <row r="49">
          <cell r="C49">
            <v>50046</v>
          </cell>
          <cell r="D49">
            <v>43983</v>
          </cell>
          <cell r="E49">
            <v>44044</v>
          </cell>
          <cell r="F49" t="str">
            <v>Tổ Sơ mi 2</v>
          </cell>
          <cell r="H49" t="str">
            <v>LT</v>
          </cell>
          <cell r="J49" t="str">
            <v>x</v>
          </cell>
          <cell r="K49" t="str">
            <v>x</v>
          </cell>
          <cell r="L49" t="str">
            <v>x</v>
          </cell>
          <cell r="M49" t="str">
            <v>x</v>
          </cell>
          <cell r="O49" t="str">
            <v>x</v>
          </cell>
          <cell r="P49" t="str">
            <v>x</v>
          </cell>
          <cell r="Q49" t="str">
            <v>x</v>
          </cell>
          <cell r="R49" t="str">
            <v>x</v>
          </cell>
          <cell r="S49" t="str">
            <v>x</v>
          </cell>
          <cell r="T49" t="str">
            <v>x</v>
          </cell>
          <cell r="V49" t="str">
            <v>x</v>
          </cell>
          <cell r="W49" t="str">
            <v>x</v>
          </cell>
          <cell r="X49" t="str">
            <v>x</v>
          </cell>
          <cell r="Y49" t="str">
            <v>x</v>
          </cell>
          <cell r="Z49" t="str">
            <v>x</v>
          </cell>
          <cell r="AA49" t="str">
            <v>x</v>
          </cell>
          <cell r="AC49" t="str">
            <v>x</v>
          </cell>
          <cell r="AD49" t="str">
            <v>x</v>
          </cell>
          <cell r="AE49" t="str">
            <v>x</v>
          </cell>
          <cell r="AF49" t="str">
            <v>x</v>
          </cell>
          <cell r="AG49" t="str">
            <v>x</v>
          </cell>
          <cell r="AH49" t="str">
            <v>x</v>
          </cell>
          <cell r="AJ49" t="str">
            <v>x</v>
          </cell>
          <cell r="AK49" t="str">
            <v>x</v>
          </cell>
          <cell r="AL49" t="str">
            <v>x</v>
          </cell>
          <cell r="AM49">
            <v>25</v>
          </cell>
          <cell r="AN49">
            <v>0</v>
          </cell>
        </row>
        <row r="50">
          <cell r="C50">
            <v>50047</v>
          </cell>
          <cell r="D50">
            <v>43983</v>
          </cell>
          <cell r="E50">
            <v>44317</v>
          </cell>
          <cell r="F50" t="str">
            <v>Kiểm hoá</v>
          </cell>
          <cell r="H50" t="str">
            <v>Ô</v>
          </cell>
          <cell r="J50" t="str">
            <v>Ô</v>
          </cell>
          <cell r="K50" t="str">
            <v>Ô</v>
          </cell>
          <cell r="L50" t="str">
            <v>Ô</v>
          </cell>
          <cell r="M50" t="str">
            <v>Ô</v>
          </cell>
          <cell r="O50" t="str">
            <v>Ô</v>
          </cell>
          <cell r="P50" t="str">
            <v>Ô</v>
          </cell>
          <cell r="Q50" t="str">
            <v>Ô</v>
          </cell>
          <cell r="R50" t="str">
            <v>Ô</v>
          </cell>
          <cell r="S50" t="str">
            <v>Ô</v>
          </cell>
          <cell r="T50" t="str">
            <v>Ô</v>
          </cell>
          <cell r="V50" t="str">
            <v>x</v>
          </cell>
          <cell r="W50" t="str">
            <v>x</v>
          </cell>
          <cell r="X50" t="str">
            <v>x</v>
          </cell>
          <cell r="Y50" t="str">
            <v>x</v>
          </cell>
          <cell r="Z50" t="str">
            <v>x</v>
          </cell>
          <cell r="AA50" t="str">
            <v>x</v>
          </cell>
          <cell r="AC50" t="str">
            <v>x</v>
          </cell>
          <cell r="AD50" t="str">
            <v>x</v>
          </cell>
          <cell r="AE50" t="str">
            <v>x</v>
          </cell>
          <cell r="AF50" t="str">
            <v>x</v>
          </cell>
          <cell r="AG50" t="str">
            <v>x</v>
          </cell>
          <cell r="AH50" t="str">
            <v>x</v>
          </cell>
          <cell r="AJ50" t="str">
            <v>x</v>
          </cell>
          <cell r="AK50" t="str">
            <v>x</v>
          </cell>
          <cell r="AL50" t="str">
            <v>x</v>
          </cell>
          <cell r="AM50">
            <v>15</v>
          </cell>
          <cell r="AN50">
            <v>0</v>
          </cell>
        </row>
        <row r="51">
          <cell r="C51">
            <v>50056</v>
          </cell>
          <cell r="D51">
            <v>43983</v>
          </cell>
          <cell r="E51">
            <v>44013</v>
          </cell>
          <cell r="F51" t="str">
            <v xml:space="preserve">Tổ 7 </v>
          </cell>
          <cell r="H51" t="str">
            <v>LT</v>
          </cell>
          <cell r="J51" t="str">
            <v>x</v>
          </cell>
          <cell r="K51" t="str">
            <v>x</v>
          </cell>
          <cell r="L51" t="str">
            <v>x</v>
          </cell>
          <cell r="M51" t="str">
            <v>x</v>
          </cell>
          <cell r="O51" t="str">
            <v>x</v>
          </cell>
          <cell r="P51" t="str">
            <v>x</v>
          </cell>
          <cell r="Q51" t="str">
            <v>x</v>
          </cell>
          <cell r="R51" t="str">
            <v>x</v>
          </cell>
          <cell r="S51" t="str">
            <v>x</v>
          </cell>
          <cell r="T51" t="str">
            <v>x</v>
          </cell>
          <cell r="V51" t="str">
            <v>x</v>
          </cell>
          <cell r="W51" t="str">
            <v>x</v>
          </cell>
          <cell r="X51" t="str">
            <v>x</v>
          </cell>
          <cell r="Y51" t="str">
            <v>x</v>
          </cell>
          <cell r="Z51" t="str">
            <v>x</v>
          </cell>
          <cell r="AA51" t="str">
            <v>x</v>
          </cell>
          <cell r="AC51" t="str">
            <v>x</v>
          </cell>
          <cell r="AD51" t="str">
            <v>x</v>
          </cell>
          <cell r="AE51" t="str">
            <v>x</v>
          </cell>
          <cell r="AF51" t="str">
            <v>x</v>
          </cell>
          <cell r="AG51" t="str">
            <v>x</v>
          </cell>
          <cell r="AH51" t="str">
            <v>x</v>
          </cell>
          <cell r="AJ51" t="str">
            <v>x</v>
          </cell>
          <cell r="AK51" t="str">
            <v>x</v>
          </cell>
          <cell r="AL51" t="str">
            <v>x</v>
          </cell>
          <cell r="AM51">
            <v>25</v>
          </cell>
          <cell r="AN51">
            <v>0</v>
          </cell>
        </row>
        <row r="52">
          <cell r="C52">
            <v>50060</v>
          </cell>
          <cell r="D52">
            <v>43984</v>
          </cell>
          <cell r="E52">
            <v>44044</v>
          </cell>
          <cell r="F52" t="str">
            <v>K.hoạch</v>
          </cell>
          <cell r="H52" t="str">
            <v>LT</v>
          </cell>
          <cell r="J52" t="str">
            <v>x</v>
          </cell>
          <cell r="K52" t="str">
            <v>x</v>
          </cell>
          <cell r="L52" t="str">
            <v>x</v>
          </cell>
          <cell r="M52" t="str">
            <v>x</v>
          </cell>
          <cell r="O52" t="str">
            <v>x</v>
          </cell>
          <cell r="P52" t="str">
            <v>x</v>
          </cell>
          <cell r="Q52" t="str">
            <v>x</v>
          </cell>
          <cell r="R52" t="str">
            <v>x</v>
          </cell>
          <cell r="S52" t="str">
            <v>x</v>
          </cell>
          <cell r="T52" t="str">
            <v>x</v>
          </cell>
          <cell r="U52" t="str">
            <v>x/2</v>
          </cell>
          <cell r="V52" t="str">
            <v>x</v>
          </cell>
          <cell r="W52" t="str">
            <v>x</v>
          </cell>
          <cell r="X52" t="str">
            <v>x</v>
          </cell>
          <cell r="Y52" t="str">
            <v>x</v>
          </cell>
          <cell r="Z52" t="str">
            <v>x</v>
          </cell>
          <cell r="AA52" t="str">
            <v>x</v>
          </cell>
          <cell r="AC52" t="str">
            <v>x</v>
          </cell>
          <cell r="AD52" t="str">
            <v>x</v>
          </cell>
          <cell r="AE52" t="str">
            <v>x</v>
          </cell>
          <cell r="AF52" t="str">
            <v>x</v>
          </cell>
          <cell r="AG52" t="str">
            <v>x</v>
          </cell>
          <cell r="AH52" t="str">
            <v>x</v>
          </cell>
          <cell r="AJ52" t="str">
            <v>x</v>
          </cell>
          <cell r="AK52" t="str">
            <v>x</v>
          </cell>
          <cell r="AL52" t="str">
            <v>x</v>
          </cell>
          <cell r="AM52">
            <v>25</v>
          </cell>
          <cell r="AN52">
            <v>0.5</v>
          </cell>
        </row>
        <row r="53">
          <cell r="C53">
            <v>50062</v>
          </cell>
          <cell r="D53">
            <v>43990</v>
          </cell>
          <cell r="E53">
            <v>44044</v>
          </cell>
          <cell r="F53" t="str">
            <v>Tổ chi tiết</v>
          </cell>
          <cell r="H53" t="str">
            <v>LT</v>
          </cell>
          <cell r="J53" t="str">
            <v>x</v>
          </cell>
          <cell r="K53" t="str">
            <v>x</v>
          </cell>
          <cell r="L53" t="str">
            <v>x</v>
          </cell>
          <cell r="M53" t="str">
            <v>x</v>
          </cell>
          <cell r="O53" t="str">
            <v>x</v>
          </cell>
          <cell r="P53" t="str">
            <v>x</v>
          </cell>
          <cell r="Q53" t="str">
            <v>x</v>
          </cell>
          <cell r="R53" t="str">
            <v>x</v>
          </cell>
          <cell r="S53" t="str">
            <v>x</v>
          </cell>
          <cell r="T53" t="str">
            <v>x</v>
          </cell>
          <cell r="V53" t="str">
            <v>x</v>
          </cell>
          <cell r="W53" t="str">
            <v>x</v>
          </cell>
          <cell r="X53" t="str">
            <v>x</v>
          </cell>
          <cell r="Y53" t="str">
            <v>x</v>
          </cell>
          <cell r="Z53" t="str">
            <v>x</v>
          </cell>
          <cell r="AA53" t="str">
            <v>x</v>
          </cell>
          <cell r="AC53" t="str">
            <v>x</v>
          </cell>
          <cell r="AD53" t="str">
            <v>x</v>
          </cell>
          <cell r="AE53" t="str">
            <v>x</v>
          </cell>
          <cell r="AF53" t="str">
            <v>x</v>
          </cell>
          <cell r="AG53" t="str">
            <v>x</v>
          </cell>
          <cell r="AH53" t="str">
            <v>x</v>
          </cell>
          <cell r="AJ53" t="str">
            <v>x</v>
          </cell>
          <cell r="AK53" t="str">
            <v>x</v>
          </cell>
          <cell r="AL53" t="str">
            <v>x</v>
          </cell>
          <cell r="AM53">
            <v>25</v>
          </cell>
          <cell r="AN53">
            <v>0</v>
          </cell>
        </row>
        <row r="54">
          <cell r="C54">
            <v>50063</v>
          </cell>
          <cell r="D54">
            <v>43990</v>
          </cell>
          <cell r="E54">
            <v>44044</v>
          </cell>
          <cell r="F54" t="str">
            <v xml:space="preserve">Tổ 7 </v>
          </cell>
          <cell r="H54" t="str">
            <v>LT</v>
          </cell>
          <cell r="J54" t="str">
            <v>x</v>
          </cell>
          <cell r="K54" t="str">
            <v>x</v>
          </cell>
          <cell r="L54" t="str">
            <v>x</v>
          </cell>
          <cell r="M54" t="str">
            <v>x</v>
          </cell>
          <cell r="O54" t="str">
            <v>x</v>
          </cell>
          <cell r="P54" t="str">
            <v>x</v>
          </cell>
          <cell r="Q54" t="str">
            <v>x</v>
          </cell>
          <cell r="R54" t="str">
            <v>x</v>
          </cell>
          <cell r="S54" t="str">
            <v>x</v>
          </cell>
          <cell r="T54" t="str">
            <v>x</v>
          </cell>
          <cell r="V54" t="str">
            <v>x</v>
          </cell>
          <cell r="W54" t="str">
            <v>x</v>
          </cell>
          <cell r="X54" t="str">
            <v>x</v>
          </cell>
          <cell r="Y54" t="str">
            <v>x</v>
          </cell>
          <cell r="Z54" t="str">
            <v>x</v>
          </cell>
          <cell r="AA54" t="str">
            <v>x</v>
          </cell>
          <cell r="AC54" t="str">
            <v>x</v>
          </cell>
          <cell r="AD54" t="str">
            <v>x</v>
          </cell>
          <cell r="AE54" t="str">
            <v>x</v>
          </cell>
          <cell r="AF54" t="str">
            <v>x</v>
          </cell>
          <cell r="AG54" t="str">
            <v>x</v>
          </cell>
          <cell r="AH54" t="str">
            <v>x</v>
          </cell>
          <cell r="AJ54" t="str">
            <v>x</v>
          </cell>
          <cell r="AK54" t="str">
            <v>x</v>
          </cell>
          <cell r="AL54" t="str">
            <v>x</v>
          </cell>
          <cell r="AM54">
            <v>25</v>
          </cell>
          <cell r="AN54">
            <v>0</v>
          </cell>
        </row>
        <row r="55">
          <cell r="C55">
            <v>50071</v>
          </cell>
          <cell r="D55">
            <v>43994</v>
          </cell>
          <cell r="E55">
            <v>44075</v>
          </cell>
          <cell r="F55" t="str">
            <v>LÀ TP</v>
          </cell>
          <cell r="H55" t="str">
            <v>LT</v>
          </cell>
          <cell r="J55" t="str">
            <v>x</v>
          </cell>
          <cell r="K55" t="str">
            <v>x</v>
          </cell>
          <cell r="L55" t="str">
            <v>x</v>
          </cell>
          <cell r="M55" t="str">
            <v>x</v>
          </cell>
          <cell r="O55" t="str">
            <v>x</v>
          </cell>
          <cell r="P55" t="str">
            <v>x</v>
          </cell>
          <cell r="Q55" t="str">
            <v>x</v>
          </cell>
          <cell r="R55" t="str">
            <v>x</v>
          </cell>
          <cell r="S55" t="str">
            <v>x</v>
          </cell>
          <cell r="T55" t="str">
            <v>x</v>
          </cell>
          <cell r="V55" t="str">
            <v>x</v>
          </cell>
          <cell r="W55" t="str">
            <v>x</v>
          </cell>
          <cell r="X55" t="str">
            <v>x</v>
          </cell>
          <cell r="Y55" t="str">
            <v>x</v>
          </cell>
          <cell r="Z55" t="str">
            <v>x</v>
          </cell>
          <cell r="AA55" t="str">
            <v>x</v>
          </cell>
          <cell r="AC55" t="str">
            <v>x</v>
          </cell>
          <cell r="AD55" t="str">
            <v>x</v>
          </cell>
          <cell r="AE55" t="str">
            <v>x</v>
          </cell>
          <cell r="AF55" t="str">
            <v>x</v>
          </cell>
          <cell r="AG55" t="str">
            <v>x</v>
          </cell>
          <cell r="AH55" t="str">
            <v>x</v>
          </cell>
          <cell r="AJ55" t="str">
            <v>x</v>
          </cell>
          <cell r="AK55" t="str">
            <v>x</v>
          </cell>
          <cell r="AL55" t="str">
            <v>F</v>
          </cell>
          <cell r="AM55">
            <v>24</v>
          </cell>
          <cell r="AN55">
            <v>0</v>
          </cell>
        </row>
        <row r="56">
          <cell r="C56">
            <v>50073</v>
          </cell>
          <cell r="D56">
            <v>43997</v>
          </cell>
          <cell r="E56">
            <v>44044</v>
          </cell>
          <cell r="F56" t="str">
            <v xml:space="preserve">Tổ 7 </v>
          </cell>
          <cell r="H56" t="str">
            <v>LT</v>
          </cell>
          <cell r="J56" t="str">
            <v>x</v>
          </cell>
          <cell r="K56" t="str">
            <v>x</v>
          </cell>
          <cell r="L56" t="str">
            <v>x</v>
          </cell>
          <cell r="M56" t="str">
            <v>x</v>
          </cell>
          <cell r="O56" t="str">
            <v>x</v>
          </cell>
          <cell r="P56" t="str">
            <v>x</v>
          </cell>
          <cell r="Q56" t="str">
            <v>x</v>
          </cell>
          <cell r="R56" t="str">
            <v>x</v>
          </cell>
          <cell r="S56" t="str">
            <v>x</v>
          </cell>
          <cell r="T56" t="str">
            <v>x</v>
          </cell>
          <cell r="V56" t="str">
            <v>x</v>
          </cell>
          <cell r="W56" t="str">
            <v>x</v>
          </cell>
          <cell r="X56" t="str">
            <v>x</v>
          </cell>
          <cell r="Y56" t="str">
            <v>x</v>
          </cell>
          <cell r="Z56" t="str">
            <v>x</v>
          </cell>
          <cell r="AA56" t="str">
            <v>x</v>
          </cell>
          <cell r="AC56" t="str">
            <v>x</v>
          </cell>
          <cell r="AD56" t="str">
            <v>x</v>
          </cell>
          <cell r="AE56" t="str">
            <v>x</v>
          </cell>
          <cell r="AF56" t="str">
            <v>x</v>
          </cell>
          <cell r="AG56" t="str">
            <v>x</v>
          </cell>
          <cell r="AH56" t="str">
            <v>x</v>
          </cell>
          <cell r="AJ56" t="str">
            <v>x</v>
          </cell>
          <cell r="AK56" t="str">
            <v>x</v>
          </cell>
          <cell r="AL56" t="str">
            <v>x</v>
          </cell>
          <cell r="AM56">
            <v>25</v>
          </cell>
          <cell r="AN56">
            <v>0</v>
          </cell>
        </row>
        <row r="57">
          <cell r="C57">
            <v>50078</v>
          </cell>
          <cell r="D57">
            <v>44007</v>
          </cell>
          <cell r="E57">
            <v>44075</v>
          </cell>
          <cell r="F57" t="str">
            <v>Tổ sơ mi 3</v>
          </cell>
          <cell r="H57" t="str">
            <v>LT</v>
          </cell>
          <cell r="J57" t="str">
            <v>x</v>
          </cell>
          <cell r="K57" t="str">
            <v>x</v>
          </cell>
          <cell r="L57" t="str">
            <v>x</v>
          </cell>
          <cell r="M57" t="str">
            <v>x</v>
          </cell>
          <cell r="O57" t="str">
            <v>x</v>
          </cell>
          <cell r="P57" t="str">
            <v>x</v>
          </cell>
          <cell r="Q57" t="str">
            <v>x</v>
          </cell>
          <cell r="R57" t="str">
            <v>x</v>
          </cell>
          <cell r="S57" t="str">
            <v>x</v>
          </cell>
          <cell r="T57" t="str">
            <v>x</v>
          </cell>
          <cell r="V57" t="str">
            <v>x</v>
          </cell>
          <cell r="W57" t="str">
            <v>x</v>
          </cell>
          <cell r="X57" t="str">
            <v>x</v>
          </cell>
          <cell r="Y57" t="str">
            <v>x</v>
          </cell>
          <cell r="Z57" t="str">
            <v>x</v>
          </cell>
          <cell r="AA57" t="str">
            <v>x</v>
          </cell>
          <cell r="AC57" t="str">
            <v>x</v>
          </cell>
          <cell r="AD57" t="str">
            <v>x</v>
          </cell>
          <cell r="AE57" t="str">
            <v>x</v>
          </cell>
          <cell r="AF57" t="str">
            <v>x</v>
          </cell>
          <cell r="AG57" t="str">
            <v>x</v>
          </cell>
          <cell r="AH57" t="str">
            <v>x</v>
          </cell>
          <cell r="AJ57" t="str">
            <v>x</v>
          </cell>
          <cell r="AK57" t="str">
            <v>x</v>
          </cell>
          <cell r="AL57" t="str">
            <v>x</v>
          </cell>
          <cell r="AM57">
            <v>25</v>
          </cell>
          <cell r="AN57">
            <v>0</v>
          </cell>
        </row>
        <row r="58">
          <cell r="C58">
            <v>50079</v>
          </cell>
          <cell r="D58">
            <v>44014</v>
          </cell>
          <cell r="E58">
            <v>44075</v>
          </cell>
          <cell r="F58" t="str">
            <v>K.hoạch</v>
          </cell>
          <cell r="H58" t="str">
            <v>LT</v>
          </cell>
          <cell r="J58" t="str">
            <v>x</v>
          </cell>
          <cell r="K58" t="str">
            <v>x</v>
          </cell>
          <cell r="L58" t="str">
            <v>x</v>
          </cell>
          <cell r="M58" t="str">
            <v>x</v>
          </cell>
          <cell r="O58" t="str">
            <v>x</v>
          </cell>
          <cell r="P58" t="str">
            <v>x</v>
          </cell>
          <cell r="Q58" t="str">
            <v>x</v>
          </cell>
          <cell r="R58" t="str">
            <v>x</v>
          </cell>
          <cell r="S58" t="str">
            <v>x</v>
          </cell>
          <cell r="T58" t="str">
            <v>x</v>
          </cell>
          <cell r="V58" t="str">
            <v>x</v>
          </cell>
          <cell r="W58" t="str">
            <v>x</v>
          </cell>
          <cell r="X58" t="str">
            <v>x</v>
          </cell>
          <cell r="Y58" t="str">
            <v>x</v>
          </cell>
          <cell r="Z58" t="str">
            <v>x</v>
          </cell>
          <cell r="AA58" t="str">
            <v>x</v>
          </cell>
          <cell r="AC58" t="str">
            <v>x</v>
          </cell>
          <cell r="AD58" t="str">
            <v>x</v>
          </cell>
          <cell r="AE58" t="str">
            <v>x</v>
          </cell>
          <cell r="AF58" t="str">
            <v>x</v>
          </cell>
          <cell r="AG58" t="str">
            <v>x</v>
          </cell>
          <cell r="AH58" t="str">
            <v>x</v>
          </cell>
          <cell r="AJ58" t="str">
            <v>x</v>
          </cell>
          <cell r="AK58" t="str">
            <v>x</v>
          </cell>
          <cell r="AL58" t="str">
            <v>x</v>
          </cell>
          <cell r="AM58">
            <v>25</v>
          </cell>
          <cell r="AN58">
            <v>0</v>
          </cell>
        </row>
        <row r="59">
          <cell r="C59">
            <v>50089</v>
          </cell>
          <cell r="D59">
            <v>44043</v>
          </cell>
          <cell r="E59">
            <v>44105</v>
          </cell>
          <cell r="F59" t="str">
            <v xml:space="preserve">Tổ 6 </v>
          </cell>
          <cell r="H59" t="str">
            <v>LT</v>
          </cell>
          <cell r="J59" t="str">
            <v>x</v>
          </cell>
          <cell r="K59" t="str">
            <v>x</v>
          </cell>
          <cell r="L59" t="str">
            <v>x</v>
          </cell>
          <cell r="M59" t="str">
            <v>x</v>
          </cell>
          <cell r="O59" t="str">
            <v>x</v>
          </cell>
          <cell r="P59" t="str">
            <v>x</v>
          </cell>
          <cell r="Q59" t="str">
            <v>x</v>
          </cell>
          <cell r="R59" t="str">
            <v>x</v>
          </cell>
          <cell r="S59" t="str">
            <v>x</v>
          </cell>
          <cell r="T59" t="str">
            <v>x</v>
          </cell>
          <cell r="V59" t="str">
            <v>x</v>
          </cell>
          <cell r="W59" t="str">
            <v>x</v>
          </cell>
          <cell r="X59" t="str">
            <v>x</v>
          </cell>
          <cell r="Y59" t="str">
            <v>x</v>
          </cell>
          <cell r="Z59" t="str">
            <v>x</v>
          </cell>
          <cell r="AA59" t="str">
            <v>x</v>
          </cell>
          <cell r="AC59" t="str">
            <v>x</v>
          </cell>
          <cell r="AD59" t="str">
            <v>x</v>
          </cell>
          <cell r="AE59" t="str">
            <v>x</v>
          </cell>
          <cell r="AF59" t="str">
            <v>x</v>
          </cell>
          <cell r="AG59" t="str">
            <v>x</v>
          </cell>
          <cell r="AH59" t="str">
            <v>x</v>
          </cell>
          <cell r="AI59" t="str">
            <v>x</v>
          </cell>
          <cell r="AJ59" t="str">
            <v>x</v>
          </cell>
          <cell r="AK59" t="str">
            <v>x</v>
          </cell>
          <cell r="AL59" t="str">
            <v>x</v>
          </cell>
          <cell r="AM59">
            <v>25</v>
          </cell>
          <cell r="AN59">
            <v>1</v>
          </cell>
        </row>
        <row r="60">
          <cell r="C60">
            <v>50091</v>
          </cell>
          <cell r="D60">
            <v>44046</v>
          </cell>
          <cell r="E60">
            <v>44105</v>
          </cell>
          <cell r="F60" t="str">
            <v>K.thuật</v>
          </cell>
          <cell r="H60" t="str">
            <v>LT</v>
          </cell>
          <cell r="J60" t="str">
            <v>x</v>
          </cell>
          <cell r="K60" t="str">
            <v>x</v>
          </cell>
          <cell r="L60" t="str">
            <v>x</v>
          </cell>
          <cell r="M60" t="str">
            <v>x</v>
          </cell>
          <cell r="O60" t="str">
            <v>x</v>
          </cell>
          <cell r="P60" t="str">
            <v>F</v>
          </cell>
          <cell r="Q60" t="str">
            <v>x</v>
          </cell>
          <cell r="R60" t="str">
            <v>x</v>
          </cell>
          <cell r="S60" t="str">
            <v>x</v>
          </cell>
          <cell r="T60" t="str">
            <v>x</v>
          </cell>
          <cell r="U60" t="str">
            <v>x/2</v>
          </cell>
          <cell r="V60" t="str">
            <v>x</v>
          </cell>
          <cell r="W60" t="str">
            <v>x</v>
          </cell>
          <cell r="X60" t="str">
            <v>x</v>
          </cell>
          <cell r="Y60" t="str">
            <v>x</v>
          </cell>
          <cell r="Z60" t="str">
            <v>x</v>
          </cell>
          <cell r="AA60" t="str">
            <v>x</v>
          </cell>
          <cell r="AC60" t="str">
            <v>x</v>
          </cell>
          <cell r="AD60" t="str">
            <v>x</v>
          </cell>
          <cell r="AE60" t="str">
            <v>x</v>
          </cell>
          <cell r="AF60" t="str">
            <v>x</v>
          </cell>
          <cell r="AG60" t="str">
            <v>x</v>
          </cell>
          <cell r="AH60" t="str">
            <v>x</v>
          </cell>
          <cell r="AJ60" t="str">
            <v>x</v>
          </cell>
          <cell r="AK60" t="str">
            <v>x</v>
          </cell>
          <cell r="AL60" t="str">
            <v>x</v>
          </cell>
          <cell r="AM60">
            <v>24</v>
          </cell>
          <cell r="AN60">
            <v>0.5</v>
          </cell>
        </row>
        <row r="61">
          <cell r="C61">
            <v>50096</v>
          </cell>
          <cell r="D61">
            <v>44049</v>
          </cell>
          <cell r="E61">
            <v>44105</v>
          </cell>
          <cell r="F61" t="str">
            <v>Tổ sơ mi 4</v>
          </cell>
          <cell r="H61" t="str">
            <v>LT</v>
          </cell>
          <cell r="J61" t="str">
            <v>x</v>
          </cell>
          <cell r="K61" t="str">
            <v>x</v>
          </cell>
          <cell r="L61" t="str">
            <v>x</v>
          </cell>
          <cell r="M61" t="str">
            <v>x</v>
          </cell>
          <cell r="O61" t="str">
            <v>x</v>
          </cell>
          <cell r="P61" t="str">
            <v>x</v>
          </cell>
          <cell r="Q61" t="str">
            <v>x</v>
          </cell>
          <cell r="R61" t="str">
            <v>x</v>
          </cell>
          <cell r="S61" t="str">
            <v>x</v>
          </cell>
          <cell r="T61" t="str">
            <v>x</v>
          </cell>
          <cell r="V61" t="str">
            <v>x</v>
          </cell>
          <cell r="W61" t="str">
            <v>x</v>
          </cell>
          <cell r="X61" t="str">
            <v>x</v>
          </cell>
          <cell r="Y61" t="str">
            <v>x</v>
          </cell>
          <cell r="Z61" t="str">
            <v>x</v>
          </cell>
          <cell r="AA61" t="str">
            <v>x</v>
          </cell>
          <cell r="AC61" t="str">
            <v>x</v>
          </cell>
          <cell r="AD61" t="str">
            <v>x</v>
          </cell>
          <cell r="AE61" t="str">
            <v>x</v>
          </cell>
          <cell r="AF61" t="str">
            <v>x</v>
          </cell>
          <cell r="AG61" t="str">
            <v>x</v>
          </cell>
          <cell r="AH61" t="str">
            <v>x</v>
          </cell>
          <cell r="AJ61" t="str">
            <v>x</v>
          </cell>
          <cell r="AK61" t="str">
            <v>x</v>
          </cell>
          <cell r="AL61" t="str">
            <v>x</v>
          </cell>
          <cell r="AM61">
            <v>25</v>
          </cell>
          <cell r="AN61">
            <v>0</v>
          </cell>
        </row>
        <row r="62">
          <cell r="C62">
            <v>50097</v>
          </cell>
          <cell r="D62">
            <v>44053</v>
          </cell>
          <cell r="E62">
            <v>44105</v>
          </cell>
          <cell r="F62" t="str">
            <v>Nghỉ thai sản</v>
          </cell>
          <cell r="H62" t="str">
            <v>TS</v>
          </cell>
          <cell r="J62" t="str">
            <v>TS</v>
          </cell>
          <cell r="K62" t="str">
            <v>TS</v>
          </cell>
          <cell r="L62" t="str">
            <v>TS</v>
          </cell>
          <cell r="M62" t="str">
            <v>TS</v>
          </cell>
          <cell r="O62" t="str">
            <v>TS</v>
          </cell>
          <cell r="P62" t="str">
            <v>TS</v>
          </cell>
          <cell r="Q62" t="str">
            <v>TS</v>
          </cell>
          <cell r="R62" t="str">
            <v>TS</v>
          </cell>
          <cell r="S62" t="str">
            <v>TS</v>
          </cell>
          <cell r="T62" t="str">
            <v>TS</v>
          </cell>
          <cell r="V62" t="str">
            <v>TS</v>
          </cell>
          <cell r="W62" t="str">
            <v>TS</v>
          </cell>
          <cell r="X62" t="str">
            <v>TS</v>
          </cell>
          <cell r="Y62" t="str">
            <v>TS</v>
          </cell>
          <cell r="Z62" t="str">
            <v>TS</v>
          </cell>
          <cell r="AA62" t="str">
            <v>TS</v>
          </cell>
          <cell r="AC62" t="str">
            <v>TS</v>
          </cell>
          <cell r="AD62" t="str">
            <v>TS</v>
          </cell>
          <cell r="AE62" t="str">
            <v>TS</v>
          </cell>
          <cell r="AF62" t="str">
            <v>TS</v>
          </cell>
          <cell r="AG62" t="str">
            <v>TS</v>
          </cell>
          <cell r="AH62" t="str">
            <v>TS</v>
          </cell>
          <cell r="AJ62" t="str">
            <v>TS</v>
          </cell>
          <cell r="AK62" t="str">
            <v>TS</v>
          </cell>
          <cell r="AL62" t="str">
            <v>TS</v>
          </cell>
          <cell r="AM62">
            <v>0</v>
          </cell>
          <cell r="AN62">
            <v>0</v>
          </cell>
        </row>
        <row r="63">
          <cell r="C63">
            <v>50098</v>
          </cell>
          <cell r="D63">
            <v>44053</v>
          </cell>
          <cell r="E63">
            <v>44105</v>
          </cell>
          <cell r="F63" t="str">
            <v>Kiểm hoá</v>
          </cell>
          <cell r="H63" t="str">
            <v>LT</v>
          </cell>
          <cell r="J63" t="str">
            <v>x</v>
          </cell>
          <cell r="K63" t="str">
            <v>x</v>
          </cell>
          <cell r="L63" t="str">
            <v>x</v>
          </cell>
          <cell r="M63" t="str">
            <v>x</v>
          </cell>
          <cell r="O63" t="str">
            <v>x</v>
          </cell>
          <cell r="P63" t="str">
            <v>x</v>
          </cell>
          <cell r="Q63" t="str">
            <v>x</v>
          </cell>
          <cell r="R63" t="str">
            <v>x</v>
          </cell>
          <cell r="S63" t="str">
            <v>x</v>
          </cell>
          <cell r="T63" t="str">
            <v>x</v>
          </cell>
          <cell r="V63" t="str">
            <v>x</v>
          </cell>
          <cell r="W63" t="str">
            <v>F</v>
          </cell>
          <cell r="X63" t="str">
            <v>x</v>
          </cell>
          <cell r="Y63" t="str">
            <v>x</v>
          </cell>
          <cell r="Z63" t="str">
            <v>x</v>
          </cell>
          <cell r="AA63" t="str">
            <v>x</v>
          </cell>
          <cell r="AC63" t="str">
            <v>x</v>
          </cell>
          <cell r="AD63" t="str">
            <v>x</v>
          </cell>
          <cell r="AE63" t="str">
            <v>x</v>
          </cell>
          <cell r="AF63" t="str">
            <v>x</v>
          </cell>
          <cell r="AG63" t="str">
            <v>x</v>
          </cell>
          <cell r="AH63" t="str">
            <v>x</v>
          </cell>
          <cell r="AJ63" t="str">
            <v>x</v>
          </cell>
          <cell r="AK63" t="str">
            <v>x</v>
          </cell>
          <cell r="AL63" t="str">
            <v>x</v>
          </cell>
          <cell r="AM63">
            <v>24</v>
          </cell>
          <cell r="AN63">
            <v>0</v>
          </cell>
        </row>
        <row r="64">
          <cell r="C64">
            <v>50101</v>
          </cell>
          <cell r="D64">
            <v>44067</v>
          </cell>
          <cell r="E64">
            <v>44105</v>
          </cell>
          <cell r="F64" t="str">
            <v>Tổ 14</v>
          </cell>
          <cell r="H64" t="str">
            <v>LT</v>
          </cell>
          <cell r="J64" t="str">
            <v>x</v>
          </cell>
          <cell r="K64" t="str">
            <v>x</v>
          </cell>
          <cell r="L64" t="str">
            <v>x</v>
          </cell>
          <cell r="M64" t="str">
            <v>x</v>
          </cell>
          <cell r="O64" t="str">
            <v>x</v>
          </cell>
          <cell r="P64" t="str">
            <v>x</v>
          </cell>
          <cell r="Q64" t="str">
            <v>x</v>
          </cell>
          <cell r="R64" t="str">
            <v>x</v>
          </cell>
          <cell r="S64" t="str">
            <v>x</v>
          </cell>
          <cell r="T64" t="str">
            <v>x</v>
          </cell>
          <cell r="V64" t="str">
            <v>x</v>
          </cell>
          <cell r="W64" t="str">
            <v>x</v>
          </cell>
          <cell r="X64" t="str">
            <v>x</v>
          </cell>
          <cell r="Y64" t="str">
            <v>x</v>
          </cell>
          <cell r="Z64" t="str">
            <v>x</v>
          </cell>
          <cell r="AA64" t="str">
            <v>x</v>
          </cell>
          <cell r="AC64" t="str">
            <v>x</v>
          </cell>
          <cell r="AD64" t="str">
            <v>x</v>
          </cell>
          <cell r="AE64" t="str">
            <v>x</v>
          </cell>
          <cell r="AF64" t="str">
            <v>x</v>
          </cell>
          <cell r="AG64" t="str">
            <v>x</v>
          </cell>
          <cell r="AH64" t="str">
            <v>x</v>
          </cell>
          <cell r="AJ64" t="str">
            <v>x</v>
          </cell>
          <cell r="AK64" t="str">
            <v>x</v>
          </cell>
          <cell r="AL64" t="str">
            <v>x</v>
          </cell>
          <cell r="AM64">
            <v>25</v>
          </cell>
          <cell r="AN64">
            <v>0</v>
          </cell>
        </row>
        <row r="65">
          <cell r="C65">
            <v>50105</v>
          </cell>
          <cell r="D65">
            <v>44068</v>
          </cell>
          <cell r="E65">
            <v>44105</v>
          </cell>
          <cell r="F65" t="str">
            <v>K.thuật</v>
          </cell>
          <cell r="G65" t="str">
            <v>Con nhỏ</v>
          </cell>
          <cell r="H65" t="str">
            <v>LT</v>
          </cell>
          <cell r="J65" t="str">
            <v>x</v>
          </cell>
          <cell r="K65" t="str">
            <v>x</v>
          </cell>
          <cell r="L65" t="str">
            <v>x</v>
          </cell>
          <cell r="M65" t="str">
            <v>x</v>
          </cell>
          <cell r="O65" t="str">
            <v>F</v>
          </cell>
          <cell r="P65" t="str">
            <v>x</v>
          </cell>
          <cell r="Q65" t="str">
            <v>x</v>
          </cell>
          <cell r="R65" t="str">
            <v>x</v>
          </cell>
          <cell r="S65" t="str">
            <v>x</v>
          </cell>
          <cell r="T65" t="str">
            <v>x</v>
          </cell>
          <cell r="U65" t="str">
            <v>x/2</v>
          </cell>
          <cell r="V65" t="str">
            <v>x</v>
          </cell>
          <cell r="W65" t="str">
            <v>x</v>
          </cell>
          <cell r="X65" t="str">
            <v>x</v>
          </cell>
          <cell r="Y65" t="str">
            <v>x</v>
          </cell>
          <cell r="Z65" t="str">
            <v>x</v>
          </cell>
          <cell r="AA65" t="str">
            <v>x</v>
          </cell>
          <cell r="AC65" t="str">
            <v>x</v>
          </cell>
          <cell r="AD65" t="str">
            <v>x</v>
          </cell>
          <cell r="AE65" t="str">
            <v>x</v>
          </cell>
          <cell r="AF65" t="str">
            <v>x</v>
          </cell>
          <cell r="AG65" t="str">
            <v>x</v>
          </cell>
          <cell r="AH65" t="str">
            <v>x</v>
          </cell>
          <cell r="AJ65" t="str">
            <v>x</v>
          </cell>
          <cell r="AK65" t="str">
            <v>x</v>
          </cell>
          <cell r="AL65" t="str">
            <v>x</v>
          </cell>
          <cell r="AM65">
            <v>24</v>
          </cell>
          <cell r="AN65">
            <v>0.5</v>
          </cell>
        </row>
        <row r="66">
          <cell r="C66">
            <v>50107</v>
          </cell>
          <cell r="D66">
            <v>44071</v>
          </cell>
          <cell r="E66">
            <v>44105</v>
          </cell>
          <cell r="F66" t="str">
            <v>H.thiện</v>
          </cell>
          <cell r="H66" t="str">
            <v>LT</v>
          </cell>
          <cell r="J66" t="str">
            <v>x</v>
          </cell>
          <cell r="K66" t="str">
            <v>x</v>
          </cell>
          <cell r="L66" t="str">
            <v>x</v>
          </cell>
          <cell r="M66" t="str">
            <v>x</v>
          </cell>
          <cell r="O66" t="str">
            <v>x</v>
          </cell>
          <cell r="P66" t="str">
            <v>x</v>
          </cell>
          <cell r="Q66" t="str">
            <v>x</v>
          </cell>
          <cell r="R66" t="str">
            <v>x</v>
          </cell>
          <cell r="S66" t="str">
            <v>x</v>
          </cell>
          <cell r="T66" t="str">
            <v>x</v>
          </cell>
          <cell r="U66" t="str">
            <v>x/2</v>
          </cell>
          <cell r="V66" t="str">
            <v>x</v>
          </cell>
          <cell r="W66" t="str">
            <v>x</v>
          </cell>
          <cell r="X66" t="str">
            <v>x</v>
          </cell>
          <cell r="Y66" t="str">
            <v>x</v>
          </cell>
          <cell r="Z66" t="str">
            <v>x</v>
          </cell>
          <cell r="AA66" t="str">
            <v>x</v>
          </cell>
          <cell r="AC66" t="str">
            <v>x</v>
          </cell>
          <cell r="AD66" t="str">
            <v>x</v>
          </cell>
          <cell r="AE66" t="str">
            <v>x</v>
          </cell>
          <cell r="AF66" t="str">
            <v>x</v>
          </cell>
          <cell r="AG66" t="str">
            <v>x</v>
          </cell>
          <cell r="AH66" t="str">
            <v>x</v>
          </cell>
          <cell r="AJ66" t="str">
            <v>x</v>
          </cell>
          <cell r="AK66" t="str">
            <v>x</v>
          </cell>
          <cell r="AL66" t="str">
            <v>x</v>
          </cell>
          <cell r="AM66">
            <v>25</v>
          </cell>
          <cell r="AN66">
            <v>0.5</v>
          </cell>
        </row>
        <row r="67">
          <cell r="C67">
            <v>50124</v>
          </cell>
          <cell r="D67">
            <v>44106</v>
          </cell>
          <cell r="E67">
            <v>44166</v>
          </cell>
          <cell r="F67" t="str">
            <v>K.hoạch</v>
          </cell>
          <cell r="G67" t="str">
            <v>Con nhỏ</v>
          </cell>
          <cell r="H67" t="str">
            <v>TS</v>
          </cell>
          <cell r="I67" t="str">
            <v>TS</v>
          </cell>
          <cell r="J67" t="str">
            <v>TS</v>
          </cell>
          <cell r="K67" t="str">
            <v>TS</v>
          </cell>
          <cell r="L67" t="str">
            <v>TS</v>
          </cell>
          <cell r="M67" t="str">
            <v>TS</v>
          </cell>
          <cell r="N67" t="str">
            <v>TS</v>
          </cell>
          <cell r="O67" t="str">
            <v>TS</v>
          </cell>
          <cell r="P67" t="str">
            <v>TS</v>
          </cell>
          <cell r="Q67" t="str">
            <v>TS</v>
          </cell>
          <cell r="R67" t="str">
            <v>TS</v>
          </cell>
          <cell r="S67" t="str">
            <v>TS</v>
          </cell>
          <cell r="T67" t="str">
            <v>TS</v>
          </cell>
          <cell r="V67" t="str">
            <v>TS</v>
          </cell>
          <cell r="W67" t="str">
            <v>x</v>
          </cell>
          <cell r="X67" t="str">
            <v>x</v>
          </cell>
          <cell r="Y67" t="str">
            <v>x/2</v>
          </cell>
          <cell r="Z67" t="str">
            <v>x</v>
          </cell>
          <cell r="AA67" t="str">
            <v>x</v>
          </cell>
          <cell r="AC67" t="str">
            <v>x</v>
          </cell>
          <cell r="AD67" t="str">
            <v>x</v>
          </cell>
          <cell r="AE67" t="str">
            <v>x</v>
          </cell>
          <cell r="AF67" t="str">
            <v>x</v>
          </cell>
          <cell r="AG67" t="str">
            <v>x</v>
          </cell>
          <cell r="AH67" t="str">
            <v>F</v>
          </cell>
          <cell r="AJ67" t="str">
            <v>F</v>
          </cell>
          <cell r="AK67" t="str">
            <v>x</v>
          </cell>
          <cell r="AL67" t="str">
            <v>x</v>
          </cell>
          <cell r="AM67">
            <v>11.5</v>
          </cell>
          <cell r="AN67">
            <v>0</v>
          </cell>
        </row>
        <row r="68">
          <cell r="C68">
            <v>50130</v>
          </cell>
          <cell r="D68">
            <v>44116</v>
          </cell>
          <cell r="E68">
            <v>44166</v>
          </cell>
          <cell r="F68" t="str">
            <v>Cắt</v>
          </cell>
          <cell r="H68" t="str">
            <v>LT</v>
          </cell>
          <cell r="J68" t="str">
            <v>x</v>
          </cell>
          <cell r="K68" t="str">
            <v>x</v>
          </cell>
          <cell r="L68" t="str">
            <v>x</v>
          </cell>
          <cell r="M68" t="str">
            <v>x</v>
          </cell>
          <cell r="O68" t="str">
            <v>x</v>
          </cell>
          <cell r="P68" t="str">
            <v>x</v>
          </cell>
          <cell r="Q68" t="str">
            <v>x</v>
          </cell>
          <cell r="R68" t="str">
            <v>x</v>
          </cell>
          <cell r="S68" t="str">
            <v>x</v>
          </cell>
          <cell r="T68" t="str">
            <v>x</v>
          </cell>
          <cell r="U68" t="str">
            <v>x/2</v>
          </cell>
          <cell r="V68" t="str">
            <v>x</v>
          </cell>
          <cell r="W68" t="str">
            <v>x</v>
          </cell>
          <cell r="X68" t="str">
            <v>x</v>
          </cell>
          <cell r="Y68" t="str">
            <v>x</v>
          </cell>
          <cell r="Z68" t="str">
            <v>x</v>
          </cell>
          <cell r="AA68" t="str">
            <v>x</v>
          </cell>
          <cell r="AC68" t="str">
            <v>x</v>
          </cell>
          <cell r="AD68" t="str">
            <v>x</v>
          </cell>
          <cell r="AE68" t="str">
            <v>F</v>
          </cell>
          <cell r="AF68" t="str">
            <v>x</v>
          </cell>
          <cell r="AG68" t="str">
            <v>x</v>
          </cell>
          <cell r="AH68" t="str">
            <v>x</v>
          </cell>
          <cell r="AJ68" t="str">
            <v>x</v>
          </cell>
          <cell r="AK68" t="str">
            <v>x</v>
          </cell>
          <cell r="AL68" t="str">
            <v>x</v>
          </cell>
          <cell r="AM68">
            <v>24</v>
          </cell>
          <cell r="AN68">
            <v>0.5</v>
          </cell>
        </row>
        <row r="69">
          <cell r="C69">
            <v>50136</v>
          </cell>
          <cell r="D69">
            <v>44117</v>
          </cell>
          <cell r="E69">
            <v>44166</v>
          </cell>
          <cell r="F69" t="str">
            <v>Tổ chi tiết</v>
          </cell>
          <cell r="H69" t="str">
            <v>LT</v>
          </cell>
          <cell r="J69" t="str">
            <v>x</v>
          </cell>
          <cell r="K69" t="str">
            <v>x</v>
          </cell>
          <cell r="L69" t="str">
            <v>x</v>
          </cell>
          <cell r="M69" t="str">
            <v>x</v>
          </cell>
          <cell r="O69" t="str">
            <v>x</v>
          </cell>
          <cell r="P69" t="str">
            <v>x</v>
          </cell>
          <cell r="Q69" t="str">
            <v>x</v>
          </cell>
          <cell r="R69" t="str">
            <v>x</v>
          </cell>
          <cell r="S69" t="str">
            <v>x</v>
          </cell>
          <cell r="T69" t="str">
            <v>x</v>
          </cell>
          <cell r="V69" t="str">
            <v>x</v>
          </cell>
          <cell r="W69" t="str">
            <v>x</v>
          </cell>
          <cell r="X69" t="str">
            <v>x</v>
          </cell>
          <cell r="Y69" t="str">
            <v>x</v>
          </cell>
          <cell r="Z69" t="str">
            <v>x</v>
          </cell>
          <cell r="AA69" t="str">
            <v>x</v>
          </cell>
          <cell r="AC69" t="str">
            <v>x</v>
          </cell>
          <cell r="AD69" t="str">
            <v>x</v>
          </cell>
          <cell r="AE69" t="str">
            <v>x</v>
          </cell>
          <cell r="AF69" t="str">
            <v>x</v>
          </cell>
          <cell r="AG69" t="str">
            <v>x</v>
          </cell>
          <cell r="AH69" t="str">
            <v>x</v>
          </cell>
          <cell r="AJ69" t="str">
            <v>x</v>
          </cell>
          <cell r="AK69" t="str">
            <v>x</v>
          </cell>
          <cell r="AL69" t="str">
            <v>x</v>
          </cell>
          <cell r="AM69">
            <v>25</v>
          </cell>
          <cell r="AN69">
            <v>0</v>
          </cell>
        </row>
        <row r="70">
          <cell r="C70">
            <v>50137</v>
          </cell>
          <cell r="D70">
            <v>44137</v>
          </cell>
          <cell r="E70">
            <v>44197</v>
          </cell>
          <cell r="F70" t="str">
            <v>Tổ 15</v>
          </cell>
          <cell r="H70" t="str">
            <v>LT</v>
          </cell>
          <cell r="J70" t="str">
            <v>x</v>
          </cell>
          <cell r="K70" t="str">
            <v>x</v>
          </cell>
          <cell r="L70" t="str">
            <v>x</v>
          </cell>
          <cell r="M70" t="str">
            <v>x</v>
          </cell>
          <cell r="O70" t="str">
            <v>x</v>
          </cell>
          <cell r="P70" t="str">
            <v>x</v>
          </cell>
          <cell r="Q70" t="str">
            <v>x</v>
          </cell>
          <cell r="R70" t="str">
            <v>x</v>
          </cell>
          <cell r="S70" t="str">
            <v>x</v>
          </cell>
          <cell r="T70" t="str">
            <v>x</v>
          </cell>
          <cell r="V70" t="str">
            <v>x</v>
          </cell>
          <cell r="W70" t="str">
            <v>x</v>
          </cell>
          <cell r="X70" t="str">
            <v>x</v>
          </cell>
          <cell r="Y70" t="str">
            <v>x</v>
          </cell>
          <cell r="Z70" t="str">
            <v>x</v>
          </cell>
          <cell r="AA70" t="str">
            <v>x</v>
          </cell>
          <cell r="AC70" t="str">
            <v>x</v>
          </cell>
          <cell r="AD70" t="str">
            <v>x</v>
          </cell>
          <cell r="AE70" t="str">
            <v>x</v>
          </cell>
          <cell r="AF70" t="str">
            <v>x</v>
          </cell>
          <cell r="AG70" t="str">
            <v>x</v>
          </cell>
          <cell r="AH70" t="str">
            <v>x</v>
          </cell>
          <cell r="AJ70" t="str">
            <v>x</v>
          </cell>
          <cell r="AK70" t="str">
            <v>x</v>
          </cell>
          <cell r="AL70" t="str">
            <v>x</v>
          </cell>
          <cell r="AM70">
            <v>25</v>
          </cell>
          <cell r="AN70">
            <v>0</v>
          </cell>
        </row>
        <row r="71">
          <cell r="C71">
            <v>50138</v>
          </cell>
          <cell r="D71">
            <v>44137</v>
          </cell>
          <cell r="E71">
            <v>44197</v>
          </cell>
          <cell r="F71" t="str">
            <v>Tổ sơ mi 2</v>
          </cell>
          <cell r="H71" t="str">
            <v>LT</v>
          </cell>
          <cell r="J71" t="str">
            <v>x</v>
          </cell>
          <cell r="K71" t="str">
            <v>x</v>
          </cell>
          <cell r="L71" t="str">
            <v>x</v>
          </cell>
          <cell r="M71" t="str">
            <v>x</v>
          </cell>
          <cell r="O71" t="str">
            <v>x</v>
          </cell>
          <cell r="P71" t="str">
            <v>x</v>
          </cell>
          <cell r="Q71" t="str">
            <v>x</v>
          </cell>
          <cell r="R71" t="str">
            <v>x</v>
          </cell>
          <cell r="S71" t="str">
            <v>x</v>
          </cell>
          <cell r="T71" t="str">
            <v>x</v>
          </cell>
          <cell r="V71" t="str">
            <v>x</v>
          </cell>
          <cell r="W71" t="str">
            <v>x</v>
          </cell>
          <cell r="X71" t="str">
            <v>x</v>
          </cell>
          <cell r="Y71" t="str">
            <v>x</v>
          </cell>
          <cell r="Z71" t="str">
            <v>x</v>
          </cell>
          <cell r="AA71" t="str">
            <v>x</v>
          </cell>
          <cell r="AC71" t="str">
            <v>x</v>
          </cell>
          <cell r="AD71" t="str">
            <v>x</v>
          </cell>
          <cell r="AE71" t="str">
            <v>x</v>
          </cell>
          <cell r="AF71" t="str">
            <v>x</v>
          </cell>
          <cell r="AG71" t="str">
            <v>x</v>
          </cell>
          <cell r="AH71" t="str">
            <v>x</v>
          </cell>
          <cell r="AJ71" t="str">
            <v>x</v>
          </cell>
          <cell r="AK71" t="str">
            <v>x</v>
          </cell>
          <cell r="AL71" t="str">
            <v>x</v>
          </cell>
          <cell r="AM71">
            <v>25</v>
          </cell>
          <cell r="AN71">
            <v>0</v>
          </cell>
        </row>
        <row r="72">
          <cell r="C72">
            <v>50139</v>
          </cell>
          <cell r="D72">
            <v>44137</v>
          </cell>
          <cell r="E72">
            <v>44197</v>
          </cell>
          <cell r="F72" t="str">
            <v>Tổ 9+10</v>
          </cell>
          <cell r="H72" t="str">
            <v>LT</v>
          </cell>
          <cell r="J72" t="str">
            <v>x</v>
          </cell>
          <cell r="K72" t="str">
            <v>x</v>
          </cell>
          <cell r="L72" t="str">
            <v>x</v>
          </cell>
          <cell r="M72" t="str">
            <v>x</v>
          </cell>
          <cell r="O72" t="str">
            <v>x</v>
          </cell>
          <cell r="P72" t="str">
            <v>x</v>
          </cell>
          <cell r="Q72" t="str">
            <v>x</v>
          </cell>
          <cell r="R72" t="str">
            <v>x</v>
          </cell>
          <cell r="S72" t="str">
            <v>x</v>
          </cell>
          <cell r="T72" t="str">
            <v>x</v>
          </cell>
          <cell r="V72" t="str">
            <v>x</v>
          </cell>
          <cell r="W72" t="str">
            <v>x</v>
          </cell>
          <cell r="X72" t="str">
            <v>x</v>
          </cell>
          <cell r="Y72" t="str">
            <v>x</v>
          </cell>
          <cell r="Z72" t="str">
            <v>x</v>
          </cell>
          <cell r="AA72" t="str">
            <v>x</v>
          </cell>
          <cell r="AC72" t="str">
            <v>x</v>
          </cell>
          <cell r="AD72" t="str">
            <v>x</v>
          </cell>
          <cell r="AE72" t="str">
            <v>x</v>
          </cell>
          <cell r="AF72" t="str">
            <v>x</v>
          </cell>
          <cell r="AG72" t="str">
            <v>x</v>
          </cell>
          <cell r="AH72" t="str">
            <v>x</v>
          </cell>
          <cell r="AI72" t="str">
            <v>x/2</v>
          </cell>
          <cell r="AJ72" t="str">
            <v>x</v>
          </cell>
          <cell r="AK72" t="str">
            <v>x</v>
          </cell>
          <cell r="AL72" t="str">
            <v>x</v>
          </cell>
          <cell r="AM72">
            <v>25</v>
          </cell>
          <cell r="AN72">
            <v>0.5</v>
          </cell>
        </row>
        <row r="73">
          <cell r="C73">
            <v>50145</v>
          </cell>
          <cell r="D73">
            <v>44144</v>
          </cell>
          <cell r="E73">
            <v>44197</v>
          </cell>
          <cell r="F73" t="str">
            <v>K.thuật</v>
          </cell>
          <cell r="H73" t="str">
            <v>LT</v>
          </cell>
          <cell r="J73" t="str">
            <v>x</v>
          </cell>
          <cell r="K73" t="str">
            <v>x</v>
          </cell>
          <cell r="L73" t="str">
            <v>x</v>
          </cell>
          <cell r="M73" t="str">
            <v>x</v>
          </cell>
          <cell r="O73" t="str">
            <v>x</v>
          </cell>
          <cell r="P73" t="str">
            <v>x</v>
          </cell>
          <cell r="Q73" t="str">
            <v>x</v>
          </cell>
          <cell r="R73" t="str">
            <v>x</v>
          </cell>
          <cell r="S73" t="str">
            <v>x</v>
          </cell>
          <cell r="T73" t="str">
            <v>x</v>
          </cell>
          <cell r="U73" t="str">
            <v>x/2</v>
          </cell>
          <cell r="V73" t="str">
            <v>x</v>
          </cell>
          <cell r="W73" t="str">
            <v>x</v>
          </cell>
          <cell r="X73" t="str">
            <v>x</v>
          </cell>
          <cell r="Y73" t="str">
            <v>x</v>
          </cell>
          <cell r="Z73" t="str">
            <v>x</v>
          </cell>
          <cell r="AA73" t="str">
            <v>x</v>
          </cell>
          <cell r="AC73" t="str">
            <v>x</v>
          </cell>
          <cell r="AD73" t="str">
            <v>x</v>
          </cell>
          <cell r="AE73" t="str">
            <v>x</v>
          </cell>
          <cell r="AF73" t="str">
            <v>x</v>
          </cell>
          <cell r="AG73" t="str">
            <v>x</v>
          </cell>
          <cell r="AH73" t="str">
            <v>x</v>
          </cell>
          <cell r="AJ73" t="str">
            <v>x</v>
          </cell>
          <cell r="AK73" t="str">
            <v>x</v>
          </cell>
          <cell r="AL73" t="str">
            <v>x</v>
          </cell>
          <cell r="AM73">
            <v>25</v>
          </cell>
          <cell r="AN73">
            <v>0.5</v>
          </cell>
        </row>
        <row r="74">
          <cell r="C74">
            <v>50147</v>
          </cell>
          <cell r="D74">
            <v>44152</v>
          </cell>
          <cell r="E74">
            <v>44197</v>
          </cell>
          <cell r="F74" t="str">
            <v>H.thiện</v>
          </cell>
          <cell r="H74" t="str">
            <v>LT</v>
          </cell>
          <cell r="J74" t="str">
            <v>x</v>
          </cell>
          <cell r="K74" t="str">
            <v>x</v>
          </cell>
          <cell r="L74" t="str">
            <v>x</v>
          </cell>
          <cell r="M74" t="str">
            <v>x</v>
          </cell>
          <cell r="O74" t="str">
            <v>x</v>
          </cell>
          <cell r="P74" t="str">
            <v>x</v>
          </cell>
          <cell r="Q74" t="str">
            <v>x</v>
          </cell>
          <cell r="R74" t="str">
            <v>x</v>
          </cell>
          <cell r="S74" t="str">
            <v>x</v>
          </cell>
          <cell r="T74" t="str">
            <v>x</v>
          </cell>
          <cell r="U74" t="str">
            <v>x/2</v>
          </cell>
          <cell r="V74" t="str">
            <v>x</v>
          </cell>
          <cell r="W74" t="str">
            <v>x</v>
          </cell>
          <cell r="X74" t="str">
            <v>x</v>
          </cell>
          <cell r="Y74" t="str">
            <v>x</v>
          </cell>
          <cell r="Z74" t="str">
            <v>x</v>
          </cell>
          <cell r="AA74" t="str">
            <v>x</v>
          </cell>
          <cell r="AC74" t="str">
            <v>x</v>
          </cell>
          <cell r="AD74" t="str">
            <v>x</v>
          </cell>
          <cell r="AE74" t="str">
            <v>x</v>
          </cell>
          <cell r="AF74" t="str">
            <v>x</v>
          </cell>
          <cell r="AG74" t="str">
            <v>x</v>
          </cell>
          <cell r="AH74" t="str">
            <v>x</v>
          </cell>
          <cell r="AJ74" t="str">
            <v>x</v>
          </cell>
          <cell r="AK74" t="str">
            <v>x</v>
          </cell>
          <cell r="AL74" t="str">
            <v>x</v>
          </cell>
          <cell r="AM74">
            <v>25</v>
          </cell>
          <cell r="AN74">
            <v>0.5</v>
          </cell>
        </row>
        <row r="75">
          <cell r="C75">
            <v>50148</v>
          </cell>
          <cell r="D75">
            <v>44152</v>
          </cell>
          <cell r="E75">
            <v>44197</v>
          </cell>
          <cell r="F75" t="str">
            <v xml:space="preserve">Tổ 7 </v>
          </cell>
          <cell r="H75" t="str">
            <v>LT</v>
          </cell>
          <cell r="J75" t="str">
            <v>x</v>
          </cell>
          <cell r="K75" t="str">
            <v>x</v>
          </cell>
          <cell r="L75" t="str">
            <v>x</v>
          </cell>
          <cell r="M75" t="str">
            <v>x</v>
          </cell>
          <cell r="O75" t="str">
            <v>x</v>
          </cell>
          <cell r="P75" t="str">
            <v>x</v>
          </cell>
          <cell r="Q75" t="str">
            <v>x</v>
          </cell>
          <cell r="R75" t="str">
            <v>x</v>
          </cell>
          <cell r="S75" t="str">
            <v>x</v>
          </cell>
          <cell r="T75" t="str">
            <v>x</v>
          </cell>
          <cell r="U75" t="str">
            <v>x/2</v>
          </cell>
          <cell r="V75" t="str">
            <v>x</v>
          </cell>
          <cell r="W75" t="str">
            <v>x</v>
          </cell>
          <cell r="X75" t="str">
            <v>x</v>
          </cell>
          <cell r="Y75" t="str">
            <v>x</v>
          </cell>
          <cell r="Z75" t="str">
            <v>x</v>
          </cell>
          <cell r="AA75" t="str">
            <v>x</v>
          </cell>
          <cell r="AC75" t="str">
            <v>x</v>
          </cell>
          <cell r="AD75" t="str">
            <v>x</v>
          </cell>
          <cell r="AE75" t="str">
            <v>x</v>
          </cell>
          <cell r="AF75" t="str">
            <v>x</v>
          </cell>
          <cell r="AG75" t="str">
            <v>x</v>
          </cell>
          <cell r="AH75" t="str">
            <v>x</v>
          </cell>
          <cell r="AJ75" t="str">
            <v>x</v>
          </cell>
          <cell r="AK75" t="str">
            <v>x</v>
          </cell>
          <cell r="AL75" t="str">
            <v>x</v>
          </cell>
          <cell r="AM75">
            <v>25</v>
          </cell>
          <cell r="AN75">
            <v>0.5</v>
          </cell>
        </row>
        <row r="76">
          <cell r="C76">
            <v>50168</v>
          </cell>
          <cell r="D76">
            <v>44252</v>
          </cell>
          <cell r="E76">
            <v>44317</v>
          </cell>
          <cell r="F76" t="str">
            <v>LÀ TP</v>
          </cell>
          <cell r="H76" t="str">
            <v>LT</v>
          </cell>
          <cell r="J76" t="str">
            <v>x</v>
          </cell>
          <cell r="K76" t="str">
            <v>x</v>
          </cell>
          <cell r="L76" t="str">
            <v>x</v>
          </cell>
          <cell r="M76" t="str">
            <v>x</v>
          </cell>
          <cell r="O76" t="str">
            <v>x</v>
          </cell>
          <cell r="P76" t="str">
            <v>x</v>
          </cell>
          <cell r="Q76" t="str">
            <v>x</v>
          </cell>
          <cell r="R76" t="str">
            <v>x</v>
          </cell>
          <cell r="S76" t="str">
            <v>x</v>
          </cell>
          <cell r="T76" t="str">
            <v>x</v>
          </cell>
          <cell r="V76" t="str">
            <v>x</v>
          </cell>
          <cell r="W76" t="str">
            <v>x</v>
          </cell>
          <cell r="X76" t="str">
            <v>x</v>
          </cell>
          <cell r="Y76" t="str">
            <v>x</v>
          </cell>
          <cell r="Z76" t="str">
            <v>x</v>
          </cell>
          <cell r="AA76" t="str">
            <v>x</v>
          </cell>
          <cell r="AC76" t="str">
            <v>x</v>
          </cell>
          <cell r="AD76" t="str">
            <v>x</v>
          </cell>
          <cell r="AE76" t="str">
            <v>x</v>
          </cell>
          <cell r="AF76" t="str">
            <v>x</v>
          </cell>
          <cell r="AG76" t="str">
            <v>x</v>
          </cell>
          <cell r="AH76" t="str">
            <v>x</v>
          </cell>
          <cell r="AJ76" t="str">
            <v>x</v>
          </cell>
          <cell r="AK76" t="str">
            <v>x</v>
          </cell>
          <cell r="AL76" t="str">
            <v>x</v>
          </cell>
          <cell r="AM76">
            <v>25</v>
          </cell>
          <cell r="AN76">
            <v>0</v>
          </cell>
        </row>
        <row r="77">
          <cell r="C77">
            <v>50169</v>
          </cell>
          <cell r="D77">
            <v>44252</v>
          </cell>
          <cell r="E77">
            <v>44317</v>
          </cell>
          <cell r="F77" t="str">
            <v>Công vụ</v>
          </cell>
          <cell r="H77" t="str">
            <v>LT</v>
          </cell>
          <cell r="J77" t="str">
            <v>x</v>
          </cell>
          <cell r="K77" t="str">
            <v>x</v>
          </cell>
          <cell r="L77" t="str">
            <v>x</v>
          </cell>
          <cell r="M77" t="str">
            <v>x</v>
          </cell>
          <cell r="O77" t="str">
            <v>x</v>
          </cell>
          <cell r="P77" t="str">
            <v>x</v>
          </cell>
          <cell r="Q77" t="str">
            <v>x</v>
          </cell>
          <cell r="R77" t="str">
            <v>x</v>
          </cell>
          <cell r="S77" t="str">
            <v>x</v>
          </cell>
          <cell r="T77" t="str">
            <v>x</v>
          </cell>
          <cell r="U77" t="str">
            <v>x/2</v>
          </cell>
          <cell r="V77" t="str">
            <v>x</v>
          </cell>
          <cell r="W77" t="str">
            <v>x</v>
          </cell>
          <cell r="X77" t="str">
            <v>x</v>
          </cell>
          <cell r="Y77" t="str">
            <v>x</v>
          </cell>
          <cell r="Z77" t="str">
            <v>x</v>
          </cell>
          <cell r="AA77" t="str">
            <v>x</v>
          </cell>
          <cell r="AC77" t="str">
            <v>x</v>
          </cell>
          <cell r="AD77" t="str">
            <v>x</v>
          </cell>
          <cell r="AE77" t="str">
            <v>x</v>
          </cell>
          <cell r="AF77" t="str">
            <v>x</v>
          </cell>
          <cell r="AG77" t="str">
            <v>x</v>
          </cell>
          <cell r="AH77" t="str">
            <v>x</v>
          </cell>
          <cell r="AJ77" t="str">
            <v>x</v>
          </cell>
          <cell r="AK77" t="str">
            <v>x</v>
          </cell>
          <cell r="AL77" t="str">
            <v>x</v>
          </cell>
          <cell r="AM77">
            <v>25</v>
          </cell>
          <cell r="AN77">
            <v>0.5</v>
          </cell>
        </row>
        <row r="78">
          <cell r="C78">
            <v>50185</v>
          </cell>
          <cell r="D78">
            <v>44266</v>
          </cell>
          <cell r="E78">
            <v>44317</v>
          </cell>
          <cell r="F78" t="str">
            <v>Cắt</v>
          </cell>
          <cell r="H78" t="str">
            <v>LT</v>
          </cell>
          <cell r="J78" t="str">
            <v>x</v>
          </cell>
          <cell r="K78" t="str">
            <v>x</v>
          </cell>
          <cell r="L78" t="str">
            <v>x</v>
          </cell>
          <cell r="M78" t="str">
            <v>x</v>
          </cell>
          <cell r="O78" t="str">
            <v>x</v>
          </cell>
          <cell r="P78" t="str">
            <v>x</v>
          </cell>
          <cell r="Q78" t="str">
            <v>x</v>
          </cell>
          <cell r="R78" t="str">
            <v>x</v>
          </cell>
          <cell r="S78" t="str">
            <v>x</v>
          </cell>
          <cell r="T78" t="str">
            <v>x</v>
          </cell>
          <cell r="U78" t="str">
            <v>x/2</v>
          </cell>
          <cell r="V78" t="str">
            <v>x</v>
          </cell>
          <cell r="W78" t="str">
            <v>x</v>
          </cell>
          <cell r="X78" t="str">
            <v>x</v>
          </cell>
          <cell r="Y78" t="str">
            <v>x</v>
          </cell>
          <cell r="Z78" t="str">
            <v>x</v>
          </cell>
          <cell r="AA78" t="str">
            <v>x</v>
          </cell>
          <cell r="AC78" t="str">
            <v>x/2</v>
          </cell>
          <cell r="AD78" t="str">
            <v>F</v>
          </cell>
          <cell r="AE78" t="str">
            <v>x</v>
          </cell>
          <cell r="AF78" t="str">
            <v>x</v>
          </cell>
          <cell r="AG78" t="str">
            <v>x</v>
          </cell>
          <cell r="AH78" t="str">
            <v>x</v>
          </cell>
          <cell r="AJ78" t="str">
            <v>x</v>
          </cell>
          <cell r="AK78" t="str">
            <v>x</v>
          </cell>
          <cell r="AL78" t="str">
            <v>x</v>
          </cell>
          <cell r="AM78">
            <v>23.5</v>
          </cell>
          <cell r="AN78">
            <v>0.5</v>
          </cell>
        </row>
        <row r="79">
          <cell r="C79">
            <v>50191</v>
          </cell>
          <cell r="D79">
            <v>44268</v>
          </cell>
          <cell r="E79">
            <v>44317</v>
          </cell>
          <cell r="F79" t="str">
            <v>Cắt</v>
          </cell>
          <cell r="H79" t="str">
            <v>LT</v>
          </cell>
          <cell r="J79" t="str">
            <v>x</v>
          </cell>
          <cell r="K79" t="str">
            <v>x</v>
          </cell>
          <cell r="L79" t="str">
            <v>x</v>
          </cell>
          <cell r="M79" t="str">
            <v>x</v>
          </cell>
          <cell r="O79" t="str">
            <v>x</v>
          </cell>
          <cell r="P79" t="str">
            <v>x</v>
          </cell>
          <cell r="Q79" t="str">
            <v>x</v>
          </cell>
          <cell r="R79" t="str">
            <v>x</v>
          </cell>
          <cell r="S79" t="str">
            <v>x</v>
          </cell>
          <cell r="T79" t="str">
            <v>x</v>
          </cell>
          <cell r="V79" t="str">
            <v>x</v>
          </cell>
          <cell r="W79" t="str">
            <v>x</v>
          </cell>
          <cell r="X79" t="str">
            <v>x</v>
          </cell>
          <cell r="Y79" t="str">
            <v>x</v>
          </cell>
          <cell r="Z79" t="str">
            <v>x</v>
          </cell>
          <cell r="AA79" t="str">
            <v>x</v>
          </cell>
          <cell r="AC79" t="str">
            <v>x</v>
          </cell>
          <cell r="AD79" t="str">
            <v>x</v>
          </cell>
          <cell r="AE79" t="str">
            <v>x</v>
          </cell>
          <cell r="AF79" t="str">
            <v>x</v>
          </cell>
          <cell r="AG79" t="str">
            <v>x</v>
          </cell>
          <cell r="AH79" t="str">
            <v>x</v>
          </cell>
          <cell r="AJ79" t="str">
            <v>x</v>
          </cell>
          <cell r="AK79" t="str">
            <v>x</v>
          </cell>
          <cell r="AL79" t="str">
            <v>x</v>
          </cell>
          <cell r="AM79">
            <v>25</v>
          </cell>
          <cell r="AN79">
            <v>0</v>
          </cell>
        </row>
        <row r="80">
          <cell r="C80">
            <v>50198</v>
          </cell>
          <cell r="D80">
            <v>44273</v>
          </cell>
          <cell r="E80">
            <v>44317</v>
          </cell>
          <cell r="F80" t="str">
            <v>Tổ sơ mi 4</v>
          </cell>
          <cell r="H80" t="str">
            <v>LT</v>
          </cell>
          <cell r="J80" t="str">
            <v>x</v>
          </cell>
          <cell r="K80" t="str">
            <v>x</v>
          </cell>
          <cell r="L80" t="str">
            <v>x</v>
          </cell>
          <cell r="M80" t="str">
            <v>x</v>
          </cell>
          <cell r="O80" t="str">
            <v>x</v>
          </cell>
          <cell r="P80" t="str">
            <v>x</v>
          </cell>
          <cell r="Q80" t="str">
            <v>x</v>
          </cell>
          <cell r="R80" t="str">
            <v>x</v>
          </cell>
          <cell r="S80" t="str">
            <v>x</v>
          </cell>
          <cell r="T80" t="str">
            <v>x</v>
          </cell>
          <cell r="V80" t="str">
            <v>x</v>
          </cell>
          <cell r="W80" t="str">
            <v>x</v>
          </cell>
          <cell r="X80" t="str">
            <v>x</v>
          </cell>
          <cell r="Y80" t="str">
            <v>x</v>
          </cell>
          <cell r="Z80" t="str">
            <v>x</v>
          </cell>
          <cell r="AA80" t="str">
            <v>x</v>
          </cell>
          <cell r="AC80" t="str">
            <v>x</v>
          </cell>
          <cell r="AD80" t="str">
            <v>x</v>
          </cell>
          <cell r="AE80" t="str">
            <v>x</v>
          </cell>
          <cell r="AF80" t="str">
            <v>x</v>
          </cell>
          <cell r="AG80" t="str">
            <v>x</v>
          </cell>
          <cell r="AH80" t="str">
            <v>x</v>
          </cell>
          <cell r="AJ80" t="str">
            <v>x</v>
          </cell>
          <cell r="AK80" t="str">
            <v>x</v>
          </cell>
          <cell r="AL80" t="str">
            <v>x</v>
          </cell>
          <cell r="AM80">
            <v>25</v>
          </cell>
          <cell r="AN80">
            <v>0</v>
          </cell>
        </row>
        <row r="81">
          <cell r="C81">
            <v>50212</v>
          </cell>
          <cell r="D81">
            <v>44280</v>
          </cell>
          <cell r="E81">
            <v>44317</v>
          </cell>
          <cell r="F81" t="str">
            <v>VP</v>
          </cell>
          <cell r="H81" t="str">
            <v>LT</v>
          </cell>
          <cell r="J81" t="str">
            <v>x</v>
          </cell>
          <cell r="K81" t="str">
            <v>x</v>
          </cell>
          <cell r="L81" t="str">
            <v>x</v>
          </cell>
          <cell r="M81" t="str">
            <v>x</v>
          </cell>
          <cell r="O81" t="str">
            <v>x</v>
          </cell>
          <cell r="P81" t="str">
            <v>x</v>
          </cell>
          <cell r="Q81" t="str">
            <v>x</v>
          </cell>
          <cell r="R81" t="str">
            <v>x</v>
          </cell>
          <cell r="S81" t="str">
            <v>x</v>
          </cell>
          <cell r="T81" t="str">
            <v>x</v>
          </cell>
          <cell r="U81" t="str">
            <v>x/2</v>
          </cell>
          <cell r="V81" t="str">
            <v>x</v>
          </cell>
          <cell r="W81" t="str">
            <v>x</v>
          </cell>
          <cell r="X81" t="str">
            <v>x</v>
          </cell>
          <cell r="Y81" t="str">
            <v>F</v>
          </cell>
          <cell r="Z81" t="str">
            <v>x</v>
          </cell>
          <cell r="AA81" t="str">
            <v>x</v>
          </cell>
          <cell r="AC81" t="str">
            <v>x</v>
          </cell>
          <cell r="AD81" t="str">
            <v>x</v>
          </cell>
          <cell r="AE81" t="str">
            <v>x</v>
          </cell>
          <cell r="AF81" t="str">
            <v>x</v>
          </cell>
          <cell r="AG81" t="str">
            <v>x</v>
          </cell>
          <cell r="AH81" t="str">
            <v>x</v>
          </cell>
          <cell r="AJ81" t="str">
            <v>x/2</v>
          </cell>
          <cell r="AK81" t="str">
            <v>x</v>
          </cell>
          <cell r="AL81" t="str">
            <v>x</v>
          </cell>
          <cell r="AM81">
            <v>23.5</v>
          </cell>
          <cell r="AN81">
            <v>0.5</v>
          </cell>
        </row>
        <row r="82">
          <cell r="C82">
            <v>50216</v>
          </cell>
          <cell r="D82">
            <v>44284</v>
          </cell>
          <cell r="E82">
            <v>44317</v>
          </cell>
          <cell r="F82" t="str">
            <v>Tổ sơ mi 4</v>
          </cell>
          <cell r="H82" t="str">
            <v>LT</v>
          </cell>
          <cell r="J82" t="str">
            <v>x</v>
          </cell>
          <cell r="K82" t="str">
            <v>x</v>
          </cell>
          <cell r="L82" t="str">
            <v>x</v>
          </cell>
          <cell r="M82" t="str">
            <v>x</v>
          </cell>
          <cell r="O82" t="str">
            <v>x</v>
          </cell>
          <cell r="P82" t="str">
            <v>x</v>
          </cell>
          <cell r="Q82" t="str">
            <v>x</v>
          </cell>
          <cell r="R82" t="str">
            <v>x</v>
          </cell>
          <cell r="S82" t="str">
            <v>x</v>
          </cell>
          <cell r="T82" t="str">
            <v>x</v>
          </cell>
          <cell r="V82" t="str">
            <v>x</v>
          </cell>
          <cell r="W82" t="str">
            <v>x</v>
          </cell>
          <cell r="X82" t="str">
            <v>x</v>
          </cell>
          <cell r="Y82" t="str">
            <v>x</v>
          </cell>
          <cell r="Z82" t="str">
            <v>x</v>
          </cell>
          <cell r="AA82" t="str">
            <v>x</v>
          </cell>
          <cell r="AC82" t="str">
            <v>x</v>
          </cell>
          <cell r="AD82" t="str">
            <v>x</v>
          </cell>
          <cell r="AE82" t="str">
            <v>x</v>
          </cell>
          <cell r="AF82" t="str">
            <v>x</v>
          </cell>
          <cell r="AG82" t="str">
            <v>x</v>
          </cell>
          <cell r="AH82" t="str">
            <v>x</v>
          </cell>
          <cell r="AJ82" t="str">
            <v>x</v>
          </cell>
          <cell r="AK82" t="str">
            <v>x</v>
          </cell>
          <cell r="AL82" t="str">
            <v>x</v>
          </cell>
          <cell r="AM82">
            <v>25</v>
          </cell>
          <cell r="AN82">
            <v>0</v>
          </cell>
        </row>
        <row r="83">
          <cell r="C83">
            <v>50220</v>
          </cell>
          <cell r="D83">
            <v>44286</v>
          </cell>
          <cell r="E83">
            <v>44317</v>
          </cell>
          <cell r="F83" t="str">
            <v>K.thuật</v>
          </cell>
          <cell r="H83" t="str">
            <v>LT</v>
          </cell>
          <cell r="J83" t="str">
            <v>x</v>
          </cell>
          <cell r="K83" t="str">
            <v>x</v>
          </cell>
          <cell r="L83" t="str">
            <v>x</v>
          </cell>
          <cell r="M83" t="str">
            <v>x</v>
          </cell>
          <cell r="O83" t="str">
            <v>x</v>
          </cell>
          <cell r="P83" t="str">
            <v>x</v>
          </cell>
          <cell r="Q83" t="str">
            <v>x</v>
          </cell>
          <cell r="R83" t="str">
            <v>x</v>
          </cell>
          <cell r="S83" t="str">
            <v>x</v>
          </cell>
          <cell r="T83" t="str">
            <v>x</v>
          </cell>
          <cell r="U83" t="str">
            <v>x/2</v>
          </cell>
          <cell r="V83" t="str">
            <v>x</v>
          </cell>
          <cell r="W83" t="str">
            <v>x</v>
          </cell>
          <cell r="X83" t="str">
            <v>x</v>
          </cell>
          <cell r="Y83" t="str">
            <v>x</v>
          </cell>
          <cell r="Z83" t="str">
            <v>x</v>
          </cell>
          <cell r="AA83" t="str">
            <v>x</v>
          </cell>
          <cell r="AC83" t="str">
            <v>x</v>
          </cell>
          <cell r="AD83" t="str">
            <v>x</v>
          </cell>
          <cell r="AE83" t="str">
            <v>x</v>
          </cell>
          <cell r="AF83" t="str">
            <v>x</v>
          </cell>
          <cell r="AG83" t="str">
            <v>x</v>
          </cell>
          <cell r="AH83" t="str">
            <v>x</v>
          </cell>
          <cell r="AJ83" t="str">
            <v>x</v>
          </cell>
          <cell r="AK83" t="str">
            <v>x</v>
          </cell>
          <cell r="AL83" t="str">
            <v>x</v>
          </cell>
          <cell r="AM83">
            <v>25</v>
          </cell>
          <cell r="AN83">
            <v>0.5</v>
          </cell>
        </row>
        <row r="84">
          <cell r="C84">
            <v>50222</v>
          </cell>
          <cell r="D84">
            <v>44286</v>
          </cell>
          <cell r="E84">
            <v>44317</v>
          </cell>
          <cell r="F84" t="str">
            <v>Tổ 9+10</v>
          </cell>
          <cell r="H84" t="str">
            <v>LT</v>
          </cell>
          <cell r="J84" t="str">
            <v>x</v>
          </cell>
          <cell r="K84" t="str">
            <v>x</v>
          </cell>
          <cell r="L84" t="str">
            <v>x</v>
          </cell>
          <cell r="M84" t="str">
            <v>x</v>
          </cell>
          <cell r="O84" t="str">
            <v>x</v>
          </cell>
          <cell r="P84" t="str">
            <v>x</v>
          </cell>
          <cell r="Q84" t="str">
            <v>x</v>
          </cell>
          <cell r="R84" t="str">
            <v>x</v>
          </cell>
          <cell r="S84" t="str">
            <v>x</v>
          </cell>
          <cell r="T84" t="str">
            <v>x</v>
          </cell>
          <cell r="U84" t="str">
            <v>x/2</v>
          </cell>
          <cell r="V84" t="str">
            <v>x</v>
          </cell>
          <cell r="W84" t="str">
            <v>x</v>
          </cell>
          <cell r="X84" t="str">
            <v>x</v>
          </cell>
          <cell r="Y84" t="str">
            <v>x</v>
          </cell>
          <cell r="Z84" t="str">
            <v>x</v>
          </cell>
          <cell r="AA84" t="str">
            <v>x</v>
          </cell>
          <cell r="AC84" t="str">
            <v>x</v>
          </cell>
          <cell r="AD84" t="str">
            <v>x</v>
          </cell>
          <cell r="AE84" t="str">
            <v>x</v>
          </cell>
          <cell r="AF84" t="str">
            <v>x</v>
          </cell>
          <cell r="AG84" t="str">
            <v>x</v>
          </cell>
          <cell r="AH84" t="str">
            <v>x</v>
          </cell>
          <cell r="AI84" t="str">
            <v>x/2</v>
          </cell>
          <cell r="AJ84" t="str">
            <v>x</v>
          </cell>
          <cell r="AK84" t="str">
            <v>x</v>
          </cell>
          <cell r="AL84" t="str">
            <v>x</v>
          </cell>
          <cell r="AM84">
            <v>25</v>
          </cell>
          <cell r="AN84">
            <v>1</v>
          </cell>
        </row>
        <row r="85">
          <cell r="C85">
            <v>50171</v>
          </cell>
          <cell r="D85">
            <v>44254</v>
          </cell>
          <cell r="E85">
            <v>44378</v>
          </cell>
          <cell r="F85" t="str">
            <v>Tổ sơ mi 1</v>
          </cell>
          <cell r="G85" t="str">
            <v>Mang thai</v>
          </cell>
          <cell r="H85" t="str">
            <v>LT</v>
          </cell>
          <cell r="J85" t="str">
            <v>x</v>
          </cell>
          <cell r="K85" t="str">
            <v>x</v>
          </cell>
          <cell r="L85" t="str">
            <v>x</v>
          </cell>
          <cell r="M85" t="str">
            <v>x</v>
          </cell>
          <cell r="O85" t="str">
            <v>x</v>
          </cell>
          <cell r="P85" t="str">
            <v>x</v>
          </cell>
          <cell r="Q85" t="str">
            <v>x</v>
          </cell>
          <cell r="R85" t="str">
            <v>x</v>
          </cell>
          <cell r="S85" t="str">
            <v>x</v>
          </cell>
          <cell r="T85" t="str">
            <v>x</v>
          </cell>
          <cell r="V85" t="str">
            <v>x</v>
          </cell>
          <cell r="W85" t="str">
            <v>x</v>
          </cell>
          <cell r="X85" t="str">
            <v>x</v>
          </cell>
          <cell r="Y85" t="str">
            <v>x</v>
          </cell>
          <cell r="Z85" t="str">
            <v>x</v>
          </cell>
          <cell r="AA85" t="str">
            <v>F</v>
          </cell>
          <cell r="AC85" t="str">
            <v>x</v>
          </cell>
          <cell r="AD85" t="str">
            <v>Ô</v>
          </cell>
          <cell r="AE85" t="str">
            <v>Ô</v>
          </cell>
          <cell r="AF85" t="str">
            <v>Ô</v>
          </cell>
          <cell r="AG85" t="str">
            <v>Ô</v>
          </cell>
          <cell r="AH85" t="str">
            <v>Ô</v>
          </cell>
          <cell r="AJ85" t="str">
            <v>Ô</v>
          </cell>
          <cell r="AK85" t="str">
            <v>x</v>
          </cell>
          <cell r="AL85" t="str">
            <v>x</v>
          </cell>
          <cell r="AM85">
            <v>18</v>
          </cell>
          <cell r="AN85">
            <v>0</v>
          </cell>
        </row>
        <row r="86">
          <cell r="C86">
            <v>50172</v>
          </cell>
          <cell r="D86">
            <v>44249</v>
          </cell>
          <cell r="E86">
            <v>44378</v>
          </cell>
          <cell r="F86" t="str">
            <v>K.thuật</v>
          </cell>
          <cell r="H86" t="str">
            <v>TS</v>
          </cell>
          <cell r="J86" t="str">
            <v>TS</v>
          </cell>
          <cell r="K86" t="str">
            <v>TS</v>
          </cell>
          <cell r="L86" t="str">
            <v>TS</v>
          </cell>
          <cell r="M86" t="str">
            <v>TS</v>
          </cell>
          <cell r="O86" t="str">
            <v>TS</v>
          </cell>
          <cell r="P86" t="str">
            <v>TS</v>
          </cell>
          <cell r="Q86" t="str">
            <v>TS</v>
          </cell>
          <cell r="R86" t="str">
            <v>TS</v>
          </cell>
          <cell r="S86" t="str">
            <v>TS</v>
          </cell>
          <cell r="T86" t="str">
            <v>TS</v>
          </cell>
          <cell r="V86" t="str">
            <v>TS</v>
          </cell>
          <cell r="W86" t="str">
            <v>TS</v>
          </cell>
          <cell r="X86" t="str">
            <v>TS</v>
          </cell>
          <cell r="Y86" t="str">
            <v>TS</v>
          </cell>
          <cell r="Z86" t="str">
            <v>TS</v>
          </cell>
          <cell r="AA86" t="str">
            <v>TS</v>
          </cell>
          <cell r="AC86" t="str">
            <v>TS</v>
          </cell>
          <cell r="AD86" t="str">
            <v>TS</v>
          </cell>
          <cell r="AE86" t="str">
            <v>TS</v>
          </cell>
          <cell r="AF86" t="str">
            <v>TS</v>
          </cell>
          <cell r="AG86" t="str">
            <v>TS</v>
          </cell>
          <cell r="AH86" t="str">
            <v>TS</v>
          </cell>
          <cell r="AJ86" t="str">
            <v>TS</v>
          </cell>
          <cell r="AK86" t="str">
            <v>TS</v>
          </cell>
          <cell r="AL86" t="str">
            <v>TS</v>
          </cell>
          <cell r="AM86">
            <v>0</v>
          </cell>
          <cell r="AN86">
            <v>0</v>
          </cell>
        </row>
        <row r="87">
          <cell r="C87">
            <v>50225</v>
          </cell>
          <cell r="D87">
            <v>44291</v>
          </cell>
          <cell r="E87">
            <v>44378</v>
          </cell>
          <cell r="F87" t="str">
            <v>Tổ 9+10</v>
          </cell>
          <cell r="H87" t="str">
            <v>LT</v>
          </cell>
          <cell r="J87" t="str">
            <v>x</v>
          </cell>
          <cell r="K87" t="str">
            <v>x</v>
          </cell>
          <cell r="L87" t="str">
            <v>x</v>
          </cell>
          <cell r="M87" t="str">
            <v>x</v>
          </cell>
          <cell r="O87" t="str">
            <v>x</v>
          </cell>
          <cell r="P87" t="str">
            <v>x</v>
          </cell>
          <cell r="Q87" t="str">
            <v>x</v>
          </cell>
          <cell r="R87" t="str">
            <v>x</v>
          </cell>
          <cell r="S87" t="str">
            <v>x</v>
          </cell>
          <cell r="T87" t="str">
            <v>x</v>
          </cell>
          <cell r="V87" t="str">
            <v>x</v>
          </cell>
          <cell r="W87" t="str">
            <v>x</v>
          </cell>
          <cell r="X87" t="str">
            <v>x</v>
          </cell>
          <cell r="Y87" t="str">
            <v>x</v>
          </cell>
          <cell r="Z87" t="str">
            <v>x</v>
          </cell>
          <cell r="AA87" t="str">
            <v>x</v>
          </cell>
          <cell r="AC87" t="str">
            <v>x</v>
          </cell>
          <cell r="AD87" t="str">
            <v>x</v>
          </cell>
          <cell r="AE87" t="str">
            <v>x</v>
          </cell>
          <cell r="AF87" t="str">
            <v>x</v>
          </cell>
          <cell r="AG87" t="str">
            <v>x</v>
          </cell>
          <cell r="AH87" t="str">
            <v>x</v>
          </cell>
          <cell r="AJ87" t="str">
            <v>x</v>
          </cell>
          <cell r="AK87" t="str">
            <v>x</v>
          </cell>
          <cell r="AL87" t="str">
            <v>x</v>
          </cell>
          <cell r="AM87">
            <v>25</v>
          </cell>
          <cell r="AN87">
            <v>0</v>
          </cell>
        </row>
        <row r="88">
          <cell r="C88">
            <v>50226</v>
          </cell>
          <cell r="D88">
            <v>44291</v>
          </cell>
          <cell r="E88">
            <v>44378</v>
          </cell>
          <cell r="F88" t="str">
            <v xml:space="preserve">Tổ 6 </v>
          </cell>
          <cell r="H88" t="str">
            <v>LT</v>
          </cell>
          <cell r="J88" t="str">
            <v>x</v>
          </cell>
          <cell r="K88" t="str">
            <v>x</v>
          </cell>
          <cell r="L88" t="str">
            <v>x</v>
          </cell>
          <cell r="M88" t="str">
            <v>x</v>
          </cell>
          <cell r="O88" t="str">
            <v>x</v>
          </cell>
          <cell r="P88" t="str">
            <v>x</v>
          </cell>
          <cell r="Q88" t="str">
            <v>x</v>
          </cell>
          <cell r="R88" t="str">
            <v>x</v>
          </cell>
          <cell r="S88" t="str">
            <v>x</v>
          </cell>
          <cell r="T88" t="str">
            <v>x</v>
          </cell>
          <cell r="U88" t="str">
            <v>x/2</v>
          </cell>
          <cell r="V88" t="str">
            <v>x</v>
          </cell>
          <cell r="W88" t="str">
            <v>x</v>
          </cell>
          <cell r="X88" t="str">
            <v>x</v>
          </cell>
          <cell r="Y88" t="str">
            <v>x</v>
          </cell>
          <cell r="Z88" t="str">
            <v>x</v>
          </cell>
          <cell r="AA88" t="str">
            <v>x</v>
          </cell>
          <cell r="AC88" t="str">
            <v>x</v>
          </cell>
          <cell r="AD88" t="str">
            <v>x</v>
          </cell>
          <cell r="AE88" t="str">
            <v>x</v>
          </cell>
          <cell r="AF88" t="str">
            <v>x</v>
          </cell>
          <cell r="AG88" t="str">
            <v>x</v>
          </cell>
          <cell r="AH88" t="str">
            <v>x</v>
          </cell>
          <cell r="AJ88" t="str">
            <v>x</v>
          </cell>
          <cell r="AK88" t="str">
            <v>x</v>
          </cell>
          <cell r="AL88" t="str">
            <v>x</v>
          </cell>
          <cell r="AM88">
            <v>25</v>
          </cell>
          <cell r="AN88">
            <v>0.5</v>
          </cell>
        </row>
        <row r="89">
          <cell r="C89">
            <v>50233</v>
          </cell>
          <cell r="D89">
            <v>44298</v>
          </cell>
          <cell r="E89">
            <v>44378</v>
          </cell>
          <cell r="F89" t="str">
            <v>Kiểm hoá</v>
          </cell>
          <cell r="H89" t="str">
            <v>LT</v>
          </cell>
          <cell r="J89" t="str">
            <v>x</v>
          </cell>
          <cell r="K89" t="str">
            <v>x</v>
          </cell>
          <cell r="L89" t="str">
            <v>x</v>
          </cell>
          <cell r="M89" t="str">
            <v>x</v>
          </cell>
          <cell r="O89" t="str">
            <v>x</v>
          </cell>
          <cell r="P89" t="str">
            <v>x</v>
          </cell>
          <cell r="Q89" t="str">
            <v>x</v>
          </cell>
          <cell r="R89" t="str">
            <v>x</v>
          </cell>
          <cell r="S89" t="str">
            <v>x</v>
          </cell>
          <cell r="T89" t="str">
            <v>x</v>
          </cell>
          <cell r="V89" t="str">
            <v>x</v>
          </cell>
          <cell r="W89" t="str">
            <v>x</v>
          </cell>
          <cell r="X89" t="str">
            <v>x</v>
          </cell>
          <cell r="Y89" t="str">
            <v>x</v>
          </cell>
          <cell r="Z89" t="str">
            <v>x</v>
          </cell>
          <cell r="AA89" t="str">
            <v>x</v>
          </cell>
          <cell r="AC89" t="str">
            <v>x</v>
          </cell>
          <cell r="AD89" t="str">
            <v>x</v>
          </cell>
          <cell r="AE89" t="str">
            <v>x</v>
          </cell>
          <cell r="AF89" t="str">
            <v>x</v>
          </cell>
          <cell r="AG89" t="str">
            <v>x</v>
          </cell>
          <cell r="AH89" t="str">
            <v>x</v>
          </cell>
          <cell r="AJ89" t="str">
            <v>x</v>
          </cell>
          <cell r="AK89" t="str">
            <v>x</v>
          </cell>
          <cell r="AL89" t="str">
            <v>x</v>
          </cell>
          <cell r="AM89">
            <v>25</v>
          </cell>
          <cell r="AN89">
            <v>0</v>
          </cell>
        </row>
        <row r="90">
          <cell r="C90">
            <v>50238</v>
          </cell>
          <cell r="D90">
            <v>44300</v>
          </cell>
          <cell r="E90">
            <v>44378</v>
          </cell>
          <cell r="F90" t="str">
            <v xml:space="preserve">Tổ 6 </v>
          </cell>
          <cell r="H90" t="str">
            <v>LT</v>
          </cell>
          <cell r="J90" t="str">
            <v>x</v>
          </cell>
          <cell r="K90" t="str">
            <v>x</v>
          </cell>
          <cell r="L90" t="str">
            <v>x</v>
          </cell>
          <cell r="M90" t="str">
            <v>x</v>
          </cell>
          <cell r="O90" t="str">
            <v>x/2</v>
          </cell>
          <cell r="P90" t="str">
            <v>TS</v>
          </cell>
          <cell r="Q90" t="str">
            <v>TS</v>
          </cell>
          <cell r="R90" t="str">
            <v>TS</v>
          </cell>
          <cell r="S90" t="str">
            <v>TS</v>
          </cell>
          <cell r="T90" t="str">
            <v>x</v>
          </cell>
          <cell r="V90" t="str">
            <v>x</v>
          </cell>
          <cell r="W90" t="str">
            <v>x</v>
          </cell>
          <cell r="X90" t="str">
            <v>x</v>
          </cell>
          <cell r="Y90" t="str">
            <v>x</v>
          </cell>
          <cell r="Z90" t="str">
            <v>x</v>
          </cell>
          <cell r="AA90" t="str">
            <v>x</v>
          </cell>
          <cell r="AC90" t="str">
            <v>x</v>
          </cell>
          <cell r="AD90" t="str">
            <v>x</v>
          </cell>
          <cell r="AE90" t="str">
            <v>x</v>
          </cell>
          <cell r="AF90" t="str">
            <v>x</v>
          </cell>
          <cell r="AG90" t="str">
            <v>x</v>
          </cell>
          <cell r="AH90" t="str">
            <v>x</v>
          </cell>
          <cell r="AJ90" t="str">
            <v>x</v>
          </cell>
          <cell r="AK90" t="str">
            <v>x</v>
          </cell>
          <cell r="AL90" t="str">
            <v>x</v>
          </cell>
          <cell r="AM90">
            <v>20.5</v>
          </cell>
          <cell r="AN90">
            <v>0</v>
          </cell>
        </row>
        <row r="91">
          <cell r="C91">
            <v>50247</v>
          </cell>
          <cell r="D91">
            <v>44308</v>
          </cell>
          <cell r="E91">
            <v>44378</v>
          </cell>
          <cell r="F91" t="str">
            <v>Tổ sơ mi 3</v>
          </cell>
          <cell r="H91" t="str">
            <v>LT</v>
          </cell>
          <cell r="J91" t="str">
            <v>x</v>
          </cell>
          <cell r="K91" t="str">
            <v>x</v>
          </cell>
          <cell r="L91" t="str">
            <v>x</v>
          </cell>
          <cell r="M91" t="str">
            <v>x</v>
          </cell>
          <cell r="O91" t="str">
            <v>x</v>
          </cell>
          <cell r="P91" t="str">
            <v>x</v>
          </cell>
          <cell r="Q91" t="str">
            <v>x</v>
          </cell>
          <cell r="R91" t="str">
            <v>x</v>
          </cell>
          <cell r="S91" t="str">
            <v>x</v>
          </cell>
          <cell r="T91" t="str">
            <v>x</v>
          </cell>
          <cell r="V91" t="str">
            <v>x</v>
          </cell>
          <cell r="W91" t="str">
            <v>x</v>
          </cell>
          <cell r="X91" t="str">
            <v>x</v>
          </cell>
          <cell r="Y91" t="str">
            <v>x</v>
          </cell>
          <cell r="Z91" t="str">
            <v>x</v>
          </cell>
          <cell r="AA91" t="str">
            <v>x</v>
          </cell>
          <cell r="AC91" t="str">
            <v>x</v>
          </cell>
          <cell r="AD91" t="str">
            <v>x</v>
          </cell>
          <cell r="AE91" t="str">
            <v>x</v>
          </cell>
          <cell r="AF91" t="str">
            <v>x</v>
          </cell>
          <cell r="AG91" t="str">
            <v>x</v>
          </cell>
          <cell r="AH91" t="str">
            <v>x</v>
          </cell>
          <cell r="AJ91" t="str">
            <v>x</v>
          </cell>
          <cell r="AK91" t="str">
            <v>x</v>
          </cell>
          <cell r="AL91" t="str">
            <v>x</v>
          </cell>
          <cell r="AM91">
            <v>25</v>
          </cell>
          <cell r="AN91">
            <v>0</v>
          </cell>
        </row>
        <row r="92">
          <cell r="C92">
            <v>50249</v>
          </cell>
          <cell r="D92">
            <v>44312</v>
          </cell>
          <cell r="E92">
            <v>44378</v>
          </cell>
          <cell r="F92" t="str">
            <v>Tổ sơ mi 3</v>
          </cell>
          <cell r="H92" t="str">
            <v>LT</v>
          </cell>
          <cell r="J92" t="str">
            <v>x</v>
          </cell>
          <cell r="K92" t="str">
            <v>x</v>
          </cell>
          <cell r="L92" t="str">
            <v>x</v>
          </cell>
          <cell r="M92" t="str">
            <v>x</v>
          </cell>
          <cell r="O92" t="str">
            <v>x</v>
          </cell>
          <cell r="P92" t="str">
            <v>x</v>
          </cell>
          <cell r="Q92" t="str">
            <v>x</v>
          </cell>
          <cell r="R92" t="str">
            <v>x</v>
          </cell>
          <cell r="S92" t="str">
            <v>x</v>
          </cell>
          <cell r="T92" t="str">
            <v>x</v>
          </cell>
          <cell r="V92" t="str">
            <v>x</v>
          </cell>
          <cell r="W92" t="str">
            <v>x</v>
          </cell>
          <cell r="X92" t="str">
            <v>x</v>
          </cell>
          <cell r="Y92" t="str">
            <v>x</v>
          </cell>
          <cell r="Z92" t="str">
            <v>x</v>
          </cell>
          <cell r="AA92" t="str">
            <v>x</v>
          </cell>
          <cell r="AC92" t="str">
            <v>x</v>
          </cell>
          <cell r="AD92" t="str">
            <v>x</v>
          </cell>
          <cell r="AE92" t="str">
            <v>x</v>
          </cell>
          <cell r="AF92" t="str">
            <v>x</v>
          </cell>
          <cell r="AG92" t="str">
            <v>x</v>
          </cell>
          <cell r="AH92" t="str">
            <v>x</v>
          </cell>
          <cell r="AJ92" t="str">
            <v>x</v>
          </cell>
          <cell r="AK92" t="str">
            <v>x</v>
          </cell>
          <cell r="AL92" t="str">
            <v>x</v>
          </cell>
          <cell r="AM92">
            <v>25</v>
          </cell>
          <cell r="AN92">
            <v>0</v>
          </cell>
        </row>
        <row r="93">
          <cell r="C93">
            <v>50251</v>
          </cell>
          <cell r="D93">
            <v>44319</v>
          </cell>
          <cell r="E93">
            <v>44378</v>
          </cell>
          <cell r="F93" t="str">
            <v>Nghỉ thai sản</v>
          </cell>
          <cell r="H93" t="str">
            <v>TS</v>
          </cell>
          <cell r="J93" t="str">
            <v>TS</v>
          </cell>
          <cell r="K93" t="str">
            <v>TS</v>
          </cell>
          <cell r="L93" t="str">
            <v>TS</v>
          </cell>
          <cell r="M93" t="str">
            <v>TS</v>
          </cell>
          <cell r="O93" t="str">
            <v>TS</v>
          </cell>
          <cell r="P93" t="str">
            <v>TS</v>
          </cell>
          <cell r="Q93" t="str">
            <v>TS</v>
          </cell>
          <cell r="R93" t="str">
            <v>TS</v>
          </cell>
          <cell r="S93" t="str">
            <v>TS</v>
          </cell>
          <cell r="T93" t="str">
            <v>TS</v>
          </cell>
          <cell r="V93" t="str">
            <v>TS</v>
          </cell>
          <cell r="W93" t="str">
            <v>TS</v>
          </cell>
          <cell r="X93" t="str">
            <v>TS</v>
          </cell>
          <cell r="Y93" t="str">
            <v>TS</v>
          </cell>
          <cell r="Z93" t="str">
            <v>TS</v>
          </cell>
          <cell r="AA93" t="str">
            <v>TS</v>
          </cell>
          <cell r="AC93" t="str">
            <v>TS</v>
          </cell>
          <cell r="AD93" t="str">
            <v>TS</v>
          </cell>
          <cell r="AE93" t="str">
            <v>TS</v>
          </cell>
          <cell r="AF93" t="str">
            <v>TS</v>
          </cell>
          <cell r="AG93" t="str">
            <v>TS</v>
          </cell>
          <cell r="AH93" t="str">
            <v>TS</v>
          </cell>
          <cell r="AJ93" t="str">
            <v>TS</v>
          </cell>
          <cell r="AK93" t="str">
            <v>TS</v>
          </cell>
          <cell r="AL93" t="str">
            <v>TS</v>
          </cell>
          <cell r="AM93">
            <v>0</v>
          </cell>
          <cell r="AN93">
            <v>0</v>
          </cell>
        </row>
        <row r="94">
          <cell r="C94">
            <v>50252</v>
          </cell>
          <cell r="D94">
            <v>44321</v>
          </cell>
          <cell r="E94">
            <v>44378</v>
          </cell>
          <cell r="F94" t="str">
            <v>Tổ chi tiết</v>
          </cell>
          <cell r="G94" t="str">
            <v>Con nhỏ</v>
          </cell>
          <cell r="H94" t="str">
            <v>LT</v>
          </cell>
          <cell r="J94" t="str">
            <v>x</v>
          </cell>
          <cell r="K94" t="str">
            <v>x</v>
          </cell>
          <cell r="L94" t="str">
            <v>x</v>
          </cell>
          <cell r="M94" t="str">
            <v>x</v>
          </cell>
          <cell r="O94" t="str">
            <v>x</v>
          </cell>
          <cell r="P94" t="str">
            <v>x</v>
          </cell>
          <cell r="Q94" t="str">
            <v>x</v>
          </cell>
          <cell r="R94" t="str">
            <v>x</v>
          </cell>
          <cell r="S94" t="str">
            <v>x</v>
          </cell>
          <cell r="T94" t="str">
            <v>x</v>
          </cell>
          <cell r="V94" t="str">
            <v>x</v>
          </cell>
          <cell r="W94" t="str">
            <v>x</v>
          </cell>
          <cell r="X94" t="str">
            <v>x</v>
          </cell>
          <cell r="Y94" t="str">
            <v>x</v>
          </cell>
          <cell r="Z94" t="str">
            <v>x</v>
          </cell>
          <cell r="AA94" t="str">
            <v>x</v>
          </cell>
          <cell r="AC94" t="str">
            <v>x</v>
          </cell>
          <cell r="AD94" t="str">
            <v>x</v>
          </cell>
          <cell r="AE94" t="str">
            <v>x</v>
          </cell>
          <cell r="AF94" t="str">
            <v>x</v>
          </cell>
          <cell r="AG94" t="str">
            <v>x</v>
          </cell>
          <cell r="AH94" t="str">
            <v>x</v>
          </cell>
          <cell r="AJ94" t="str">
            <v>x</v>
          </cell>
          <cell r="AK94" t="str">
            <v>x</v>
          </cell>
          <cell r="AL94" t="str">
            <v>x</v>
          </cell>
          <cell r="AM94">
            <v>25</v>
          </cell>
          <cell r="AN94">
            <v>0</v>
          </cell>
        </row>
        <row r="95">
          <cell r="C95">
            <v>50253</v>
          </cell>
          <cell r="D95">
            <v>44321</v>
          </cell>
          <cell r="E95">
            <v>44378</v>
          </cell>
          <cell r="F95" t="str">
            <v>Kiểm hoá</v>
          </cell>
          <cell r="H95" t="str">
            <v>LT</v>
          </cell>
          <cell r="J95" t="str">
            <v>x</v>
          </cell>
          <cell r="K95" t="str">
            <v>x</v>
          </cell>
          <cell r="L95" t="str">
            <v>x</v>
          </cell>
          <cell r="M95" t="str">
            <v>x</v>
          </cell>
          <cell r="O95" t="str">
            <v>x</v>
          </cell>
          <cell r="P95" t="str">
            <v>x</v>
          </cell>
          <cell r="Q95" t="str">
            <v>x</v>
          </cell>
          <cell r="R95" t="str">
            <v>x</v>
          </cell>
          <cell r="S95" t="str">
            <v>x/2</v>
          </cell>
          <cell r="T95" t="str">
            <v>x</v>
          </cell>
          <cell r="V95" t="str">
            <v>x</v>
          </cell>
          <cell r="W95" t="str">
            <v>x</v>
          </cell>
          <cell r="X95" t="str">
            <v>x</v>
          </cell>
          <cell r="Y95" t="str">
            <v>x</v>
          </cell>
          <cell r="Z95" t="str">
            <v>x</v>
          </cell>
          <cell r="AA95" t="str">
            <v>x</v>
          </cell>
          <cell r="AC95" t="str">
            <v>x</v>
          </cell>
          <cell r="AD95" t="str">
            <v>x</v>
          </cell>
          <cell r="AE95" t="str">
            <v>x</v>
          </cell>
          <cell r="AF95" t="str">
            <v>x</v>
          </cell>
          <cell r="AG95" t="str">
            <v>x</v>
          </cell>
          <cell r="AH95" t="str">
            <v>x</v>
          </cell>
          <cell r="AJ95" t="str">
            <v>x</v>
          </cell>
          <cell r="AK95" t="str">
            <v>x</v>
          </cell>
          <cell r="AL95" t="str">
            <v>x</v>
          </cell>
          <cell r="AM95">
            <v>24.5</v>
          </cell>
          <cell r="AN95">
            <v>0</v>
          </cell>
        </row>
        <row r="96">
          <cell r="C96">
            <v>50255</v>
          </cell>
          <cell r="D96">
            <v>44324</v>
          </cell>
          <cell r="E96">
            <v>44378</v>
          </cell>
          <cell r="F96" t="str">
            <v>Tổ sơ mi 3</v>
          </cell>
          <cell r="H96" t="str">
            <v>LT</v>
          </cell>
          <cell r="J96" t="str">
            <v>x</v>
          </cell>
          <cell r="K96" t="str">
            <v>x</v>
          </cell>
          <cell r="L96" t="str">
            <v>x</v>
          </cell>
          <cell r="M96" t="str">
            <v>x</v>
          </cell>
          <cell r="O96" t="str">
            <v>x</v>
          </cell>
          <cell r="P96" t="str">
            <v>x</v>
          </cell>
          <cell r="Q96" t="str">
            <v>x</v>
          </cell>
          <cell r="R96" t="str">
            <v>x</v>
          </cell>
          <cell r="S96" t="str">
            <v>x</v>
          </cell>
          <cell r="T96" t="str">
            <v>x</v>
          </cell>
          <cell r="V96" t="str">
            <v>x</v>
          </cell>
          <cell r="W96" t="str">
            <v>x</v>
          </cell>
          <cell r="X96" t="str">
            <v>x</v>
          </cell>
          <cell r="Y96" t="str">
            <v>x</v>
          </cell>
          <cell r="Z96" t="str">
            <v>x</v>
          </cell>
          <cell r="AA96" t="str">
            <v>x</v>
          </cell>
          <cell r="AC96" t="str">
            <v>x</v>
          </cell>
          <cell r="AD96" t="str">
            <v>x</v>
          </cell>
          <cell r="AE96" t="str">
            <v>x</v>
          </cell>
          <cell r="AF96" t="str">
            <v>x</v>
          </cell>
          <cell r="AG96" t="str">
            <v>x</v>
          </cell>
          <cell r="AH96" t="str">
            <v>x</v>
          </cell>
          <cell r="AJ96" t="str">
            <v>x</v>
          </cell>
          <cell r="AK96" t="str">
            <v>x</v>
          </cell>
          <cell r="AL96" t="str">
            <v>x</v>
          </cell>
          <cell r="AM96">
            <v>25</v>
          </cell>
          <cell r="AN96">
            <v>0</v>
          </cell>
        </row>
        <row r="97">
          <cell r="C97">
            <v>50258</v>
          </cell>
          <cell r="D97">
            <v>44334</v>
          </cell>
          <cell r="E97">
            <v>44378</v>
          </cell>
          <cell r="F97" t="str">
            <v>Tổ 9+10</v>
          </cell>
          <cell r="H97" t="str">
            <v>Ô</v>
          </cell>
          <cell r="J97" t="str">
            <v>Ô</v>
          </cell>
          <cell r="K97" t="str">
            <v>Ô</v>
          </cell>
          <cell r="L97" t="str">
            <v>Ô</v>
          </cell>
          <cell r="M97" t="str">
            <v>Ô</v>
          </cell>
          <cell r="O97" t="str">
            <v>Ô</v>
          </cell>
          <cell r="P97" t="str">
            <v>Ô</v>
          </cell>
          <cell r="Q97" t="str">
            <v>Ô</v>
          </cell>
          <cell r="R97" t="str">
            <v>Ô</v>
          </cell>
          <cell r="S97" t="str">
            <v>Ô</v>
          </cell>
          <cell r="T97" t="str">
            <v>Ô</v>
          </cell>
          <cell r="V97" t="str">
            <v>Ô</v>
          </cell>
          <cell r="W97" t="str">
            <v>Ô</v>
          </cell>
          <cell r="X97" t="str">
            <v>Ô</v>
          </cell>
          <cell r="Y97" t="str">
            <v>Ô</v>
          </cell>
          <cell r="Z97" t="str">
            <v>Ô</v>
          </cell>
          <cell r="AA97" t="str">
            <v>Ô</v>
          </cell>
          <cell r="AC97" t="str">
            <v>Ô</v>
          </cell>
          <cell r="AD97" t="str">
            <v>Ô</v>
          </cell>
          <cell r="AE97" t="str">
            <v>Ô</v>
          </cell>
          <cell r="AF97" t="str">
            <v>Ô</v>
          </cell>
          <cell r="AG97" t="str">
            <v>Ô</v>
          </cell>
          <cell r="AH97" t="str">
            <v>Ô</v>
          </cell>
          <cell r="AJ97" t="str">
            <v>Ô</v>
          </cell>
          <cell r="AK97" t="str">
            <v>Ô</v>
          </cell>
          <cell r="AL97" t="str">
            <v>Ô</v>
          </cell>
          <cell r="AM97">
            <v>0</v>
          </cell>
          <cell r="AN97">
            <v>0</v>
          </cell>
        </row>
        <row r="98">
          <cell r="C98">
            <v>50173</v>
          </cell>
          <cell r="D98">
            <v>44256</v>
          </cell>
          <cell r="E98">
            <v>44440</v>
          </cell>
          <cell r="F98" t="str">
            <v>Tổ chi tiết</v>
          </cell>
          <cell r="G98" t="str">
            <v>Mang thai</v>
          </cell>
          <cell r="H98" t="str">
            <v>LT</v>
          </cell>
          <cell r="J98" t="str">
            <v>x</v>
          </cell>
          <cell r="K98" t="str">
            <v>x</v>
          </cell>
          <cell r="L98" t="str">
            <v>x</v>
          </cell>
          <cell r="M98" t="str">
            <v>x</v>
          </cell>
          <cell r="O98" t="str">
            <v>x</v>
          </cell>
          <cell r="P98" t="str">
            <v>x</v>
          </cell>
          <cell r="Q98" t="str">
            <v>x</v>
          </cell>
          <cell r="R98" t="str">
            <v>x</v>
          </cell>
          <cell r="S98" t="str">
            <v>x</v>
          </cell>
          <cell r="T98" t="str">
            <v>x</v>
          </cell>
          <cell r="V98" t="str">
            <v>x</v>
          </cell>
          <cell r="W98" t="str">
            <v>x</v>
          </cell>
          <cell r="X98" t="str">
            <v>x</v>
          </cell>
          <cell r="Y98" t="str">
            <v>x</v>
          </cell>
          <cell r="Z98" t="str">
            <v>x</v>
          </cell>
          <cell r="AA98" t="str">
            <v>x</v>
          </cell>
          <cell r="AC98" t="str">
            <v>x</v>
          </cell>
          <cell r="AD98" t="str">
            <v>x</v>
          </cell>
          <cell r="AE98" t="str">
            <v>x</v>
          </cell>
          <cell r="AF98" t="str">
            <v>x</v>
          </cell>
          <cell r="AG98" t="str">
            <v>x</v>
          </cell>
          <cell r="AH98" t="str">
            <v>x</v>
          </cell>
          <cell r="AJ98" t="str">
            <v>x</v>
          </cell>
          <cell r="AK98" t="str">
            <v>x</v>
          </cell>
          <cell r="AL98" t="str">
            <v>x</v>
          </cell>
          <cell r="AM98">
            <v>25</v>
          </cell>
          <cell r="AN98">
            <v>0</v>
          </cell>
        </row>
        <row r="99">
          <cell r="C99">
            <v>50263</v>
          </cell>
          <cell r="D99">
            <v>44355</v>
          </cell>
          <cell r="E99">
            <v>44440</v>
          </cell>
          <cell r="F99" t="str">
            <v>Tổ chi tiết</v>
          </cell>
          <cell r="H99" t="str">
            <v>LT</v>
          </cell>
          <cell r="J99" t="str">
            <v>x</v>
          </cell>
          <cell r="K99" t="str">
            <v>x</v>
          </cell>
          <cell r="L99" t="str">
            <v>x</v>
          </cell>
          <cell r="M99" t="str">
            <v>x</v>
          </cell>
          <cell r="O99" t="str">
            <v>x</v>
          </cell>
          <cell r="P99" t="str">
            <v>x</v>
          </cell>
          <cell r="Q99" t="str">
            <v>x</v>
          </cell>
          <cell r="R99" t="str">
            <v>x</v>
          </cell>
          <cell r="S99" t="str">
            <v>x</v>
          </cell>
          <cell r="T99" t="str">
            <v>x</v>
          </cell>
          <cell r="V99" t="str">
            <v>x</v>
          </cell>
          <cell r="W99" t="str">
            <v>x</v>
          </cell>
          <cell r="X99" t="str">
            <v>x</v>
          </cell>
          <cell r="Y99" t="str">
            <v>x</v>
          </cell>
          <cell r="Z99" t="str">
            <v>x</v>
          </cell>
          <cell r="AA99" t="str">
            <v>x</v>
          </cell>
          <cell r="AC99" t="str">
            <v>x</v>
          </cell>
          <cell r="AD99" t="str">
            <v>x</v>
          </cell>
          <cell r="AE99" t="str">
            <v>x</v>
          </cell>
          <cell r="AF99" t="str">
            <v>x</v>
          </cell>
          <cell r="AG99" t="str">
            <v>x</v>
          </cell>
          <cell r="AH99" t="str">
            <v>x</v>
          </cell>
          <cell r="AJ99" t="str">
            <v>x</v>
          </cell>
          <cell r="AK99" t="str">
            <v>x</v>
          </cell>
          <cell r="AL99" t="str">
            <v>x</v>
          </cell>
          <cell r="AM99">
            <v>25</v>
          </cell>
          <cell r="AN99">
            <v>0</v>
          </cell>
        </row>
        <row r="100">
          <cell r="C100">
            <v>50265</v>
          </cell>
          <cell r="D100">
            <v>44358</v>
          </cell>
          <cell r="E100">
            <v>44440</v>
          </cell>
          <cell r="F100" t="str">
            <v>Tổ Sơ mi 2</v>
          </cell>
          <cell r="H100" t="str">
            <v>LT</v>
          </cell>
          <cell r="J100" t="str">
            <v>x</v>
          </cell>
          <cell r="K100" t="str">
            <v>x</v>
          </cell>
          <cell r="L100" t="str">
            <v>x</v>
          </cell>
          <cell r="M100" t="str">
            <v>x</v>
          </cell>
          <cell r="O100" t="str">
            <v>x</v>
          </cell>
          <cell r="P100" t="str">
            <v>x</v>
          </cell>
          <cell r="Q100" t="str">
            <v>x</v>
          </cell>
          <cell r="R100" t="str">
            <v>x</v>
          </cell>
          <cell r="S100" t="str">
            <v>x</v>
          </cell>
          <cell r="T100" t="str">
            <v>x</v>
          </cell>
          <cell r="V100" t="str">
            <v>x</v>
          </cell>
          <cell r="W100" t="str">
            <v>x</v>
          </cell>
          <cell r="X100" t="str">
            <v>x</v>
          </cell>
          <cell r="Y100" t="str">
            <v>x</v>
          </cell>
          <cell r="Z100" t="str">
            <v>x</v>
          </cell>
          <cell r="AA100" t="str">
            <v>x</v>
          </cell>
          <cell r="AC100" t="str">
            <v>x</v>
          </cell>
          <cell r="AD100" t="str">
            <v>x</v>
          </cell>
          <cell r="AE100" t="str">
            <v>x</v>
          </cell>
          <cell r="AF100" t="str">
            <v>x</v>
          </cell>
          <cell r="AG100" t="str">
            <v>x</v>
          </cell>
          <cell r="AH100" t="str">
            <v>x</v>
          </cell>
          <cell r="AJ100" t="str">
            <v>x</v>
          </cell>
          <cell r="AK100" t="str">
            <v>x</v>
          </cell>
          <cell r="AL100" t="str">
            <v>x</v>
          </cell>
          <cell r="AM100">
            <v>25</v>
          </cell>
          <cell r="AN100">
            <v>0</v>
          </cell>
        </row>
        <row r="101">
          <cell r="C101">
            <v>50267</v>
          </cell>
          <cell r="D101">
            <v>44362</v>
          </cell>
          <cell r="E101">
            <v>44440</v>
          </cell>
          <cell r="F101" t="str">
            <v>Nghỉ thai sản</v>
          </cell>
          <cell r="H101" t="str">
            <v>TS</v>
          </cell>
          <cell r="J101" t="str">
            <v>TS</v>
          </cell>
          <cell r="K101" t="str">
            <v>TS</v>
          </cell>
          <cell r="L101" t="str">
            <v>TS</v>
          </cell>
          <cell r="M101" t="str">
            <v>TS</v>
          </cell>
          <cell r="O101" t="str">
            <v>TS</v>
          </cell>
          <cell r="P101" t="str">
            <v>TS</v>
          </cell>
          <cell r="Q101" t="str">
            <v>TS</v>
          </cell>
          <cell r="R101" t="str">
            <v>TS</v>
          </cell>
          <cell r="S101" t="str">
            <v>TS</v>
          </cell>
          <cell r="T101" t="str">
            <v>TS</v>
          </cell>
          <cell r="V101" t="str">
            <v>TS</v>
          </cell>
          <cell r="W101" t="str">
            <v>TS</v>
          </cell>
          <cell r="X101" t="str">
            <v>TS</v>
          </cell>
          <cell r="Y101" t="str">
            <v>TS</v>
          </cell>
          <cell r="Z101" t="str">
            <v>TS</v>
          </cell>
          <cell r="AA101" t="str">
            <v>TS</v>
          </cell>
          <cell r="AC101" t="str">
            <v>TS</v>
          </cell>
          <cell r="AD101" t="str">
            <v>TS</v>
          </cell>
          <cell r="AE101" t="str">
            <v>TS</v>
          </cell>
          <cell r="AF101" t="str">
            <v>TS</v>
          </cell>
          <cell r="AG101" t="str">
            <v>TS</v>
          </cell>
          <cell r="AH101" t="str">
            <v>TS</v>
          </cell>
          <cell r="AJ101" t="str">
            <v>TS</v>
          </cell>
          <cell r="AK101" t="str">
            <v>TS</v>
          </cell>
          <cell r="AL101" t="str">
            <v>TS</v>
          </cell>
          <cell r="AM101">
            <v>0</v>
          </cell>
          <cell r="AN101">
            <v>0</v>
          </cell>
        </row>
        <row r="102">
          <cell r="C102">
            <v>50268</v>
          </cell>
          <cell r="D102">
            <v>44368</v>
          </cell>
          <cell r="E102">
            <v>44440</v>
          </cell>
          <cell r="F102" t="str">
            <v>Nghỉ thai sản</v>
          </cell>
          <cell r="H102" t="str">
            <v>TS</v>
          </cell>
          <cell r="J102" t="str">
            <v>TS</v>
          </cell>
          <cell r="K102" t="str">
            <v>TS</v>
          </cell>
          <cell r="L102" t="str">
            <v>TS</v>
          </cell>
          <cell r="M102" t="str">
            <v>TS</v>
          </cell>
          <cell r="O102" t="str">
            <v>TS</v>
          </cell>
          <cell r="P102" t="str">
            <v>TS</v>
          </cell>
          <cell r="Q102" t="str">
            <v>TS</v>
          </cell>
          <cell r="R102" t="str">
            <v>TS</v>
          </cell>
          <cell r="S102" t="str">
            <v>TS</v>
          </cell>
          <cell r="T102" t="str">
            <v>TS</v>
          </cell>
          <cell r="V102" t="str">
            <v>TS</v>
          </cell>
          <cell r="W102" t="str">
            <v>TS</v>
          </cell>
          <cell r="X102" t="str">
            <v>TS</v>
          </cell>
          <cell r="Y102" t="str">
            <v>TS</v>
          </cell>
          <cell r="Z102" t="str">
            <v>TS</v>
          </cell>
          <cell r="AA102" t="str">
            <v>TS</v>
          </cell>
          <cell r="AC102" t="str">
            <v>TS</v>
          </cell>
          <cell r="AD102" t="str">
            <v>TS</v>
          </cell>
          <cell r="AE102" t="str">
            <v>TS</v>
          </cell>
          <cell r="AF102" t="str">
            <v>TS</v>
          </cell>
          <cell r="AG102" t="str">
            <v>TS</v>
          </cell>
          <cell r="AH102" t="str">
            <v>TS</v>
          </cell>
          <cell r="AJ102" t="str">
            <v>TS</v>
          </cell>
          <cell r="AK102" t="str">
            <v>TS</v>
          </cell>
          <cell r="AL102" t="str">
            <v>TS</v>
          </cell>
          <cell r="AM102">
            <v>0</v>
          </cell>
          <cell r="AN102">
            <v>0</v>
          </cell>
        </row>
        <row r="103">
          <cell r="C103">
            <v>50272</v>
          </cell>
          <cell r="D103">
            <v>44372</v>
          </cell>
          <cell r="E103">
            <v>44440</v>
          </cell>
          <cell r="F103" t="str">
            <v>Cắt</v>
          </cell>
          <cell r="H103" t="str">
            <v>LT</v>
          </cell>
          <cell r="J103" t="str">
            <v>x</v>
          </cell>
          <cell r="K103" t="str">
            <v>x</v>
          </cell>
          <cell r="L103" t="str">
            <v>x</v>
          </cell>
          <cell r="M103" t="str">
            <v>x</v>
          </cell>
          <cell r="O103" t="str">
            <v>x</v>
          </cell>
          <cell r="P103" t="str">
            <v>x</v>
          </cell>
          <cell r="Q103" t="str">
            <v>x</v>
          </cell>
          <cell r="R103" t="str">
            <v>x</v>
          </cell>
          <cell r="S103" t="str">
            <v>x</v>
          </cell>
          <cell r="T103" t="str">
            <v>x</v>
          </cell>
          <cell r="V103" t="str">
            <v>x</v>
          </cell>
          <cell r="W103" t="str">
            <v>x</v>
          </cell>
          <cell r="X103" t="str">
            <v>x</v>
          </cell>
          <cell r="Y103" t="str">
            <v>x</v>
          </cell>
          <cell r="Z103" t="str">
            <v>x</v>
          </cell>
          <cell r="AA103" t="str">
            <v>x</v>
          </cell>
          <cell r="AC103" t="str">
            <v>x</v>
          </cell>
          <cell r="AD103" t="str">
            <v>x</v>
          </cell>
          <cell r="AE103" t="str">
            <v>x</v>
          </cell>
          <cell r="AF103" t="str">
            <v>x</v>
          </cell>
          <cell r="AG103" t="str">
            <v>x</v>
          </cell>
          <cell r="AH103" t="str">
            <v>x</v>
          </cell>
          <cell r="AJ103" t="str">
            <v>x</v>
          </cell>
          <cell r="AK103" t="str">
            <v>x</v>
          </cell>
          <cell r="AL103" t="str">
            <v>x</v>
          </cell>
          <cell r="AM103">
            <v>25</v>
          </cell>
          <cell r="AN103">
            <v>0</v>
          </cell>
        </row>
        <row r="104">
          <cell r="C104">
            <v>50286</v>
          </cell>
          <cell r="D104">
            <v>44385</v>
          </cell>
          <cell r="E104">
            <v>44440</v>
          </cell>
          <cell r="F104" t="str">
            <v>Q.trị</v>
          </cell>
          <cell r="G104" t="str">
            <v>CBQX</v>
          </cell>
          <cell r="H104" t="str">
            <v>LT</v>
          </cell>
          <cell r="J104" t="str">
            <v>x</v>
          </cell>
          <cell r="K104" t="str">
            <v>x</v>
          </cell>
          <cell r="L104" t="str">
            <v>F</v>
          </cell>
          <cell r="M104" t="str">
            <v>x</v>
          </cell>
          <cell r="O104" t="str">
            <v>x</v>
          </cell>
          <cell r="P104" t="str">
            <v>x</v>
          </cell>
          <cell r="Q104" t="str">
            <v>x</v>
          </cell>
          <cell r="R104" t="str">
            <v>x</v>
          </cell>
          <cell r="S104" t="str">
            <v>x</v>
          </cell>
          <cell r="T104" t="str">
            <v>x</v>
          </cell>
          <cell r="U104" t="str">
            <v>x/2</v>
          </cell>
          <cell r="V104" t="str">
            <v>x</v>
          </cell>
          <cell r="W104" t="str">
            <v>x</v>
          </cell>
          <cell r="X104" t="str">
            <v>x</v>
          </cell>
          <cell r="Y104" t="str">
            <v>x</v>
          </cell>
          <cell r="Z104" t="str">
            <v>x</v>
          </cell>
          <cell r="AA104" t="str">
            <v>x</v>
          </cell>
          <cell r="AC104" t="str">
            <v>x</v>
          </cell>
          <cell r="AD104" t="str">
            <v>x</v>
          </cell>
          <cell r="AE104" t="str">
            <v>x</v>
          </cell>
          <cell r="AF104" t="str">
            <v>x</v>
          </cell>
          <cell r="AG104" t="str">
            <v>x</v>
          </cell>
          <cell r="AH104" t="str">
            <v>x</v>
          </cell>
          <cell r="AJ104" t="str">
            <v>x</v>
          </cell>
          <cell r="AK104" t="str">
            <v>x</v>
          </cell>
          <cell r="AL104" t="str">
            <v>x</v>
          </cell>
          <cell r="AM104">
            <v>24</v>
          </cell>
          <cell r="AN104">
            <v>0.5</v>
          </cell>
        </row>
        <row r="105">
          <cell r="C105">
            <v>50288</v>
          </cell>
          <cell r="D105">
            <v>44385</v>
          </cell>
          <cell r="E105">
            <v>44440</v>
          </cell>
          <cell r="F105" t="str">
            <v>Kiểm hoá</v>
          </cell>
          <cell r="H105" t="str">
            <v>LT</v>
          </cell>
          <cell r="J105" t="str">
            <v>x</v>
          </cell>
          <cell r="K105" t="str">
            <v>x</v>
          </cell>
          <cell r="L105" t="str">
            <v>x</v>
          </cell>
          <cell r="M105" t="str">
            <v>x</v>
          </cell>
          <cell r="O105" t="str">
            <v>x</v>
          </cell>
          <cell r="P105" t="str">
            <v>x</v>
          </cell>
          <cell r="Q105" t="str">
            <v>x</v>
          </cell>
          <cell r="R105" t="str">
            <v>x</v>
          </cell>
          <cell r="S105" t="str">
            <v>x</v>
          </cell>
          <cell r="T105" t="str">
            <v>x</v>
          </cell>
          <cell r="V105" t="str">
            <v>x</v>
          </cell>
          <cell r="W105" t="str">
            <v>x</v>
          </cell>
          <cell r="X105" t="str">
            <v>x</v>
          </cell>
          <cell r="Y105" t="str">
            <v>x</v>
          </cell>
          <cell r="Z105" t="str">
            <v>x/2</v>
          </cell>
          <cell r="AA105" t="str">
            <v>x</v>
          </cell>
          <cell r="AC105" t="str">
            <v>x</v>
          </cell>
          <cell r="AD105" t="str">
            <v>x</v>
          </cell>
          <cell r="AE105" t="str">
            <v>x</v>
          </cell>
          <cell r="AF105" t="str">
            <v>x</v>
          </cell>
          <cell r="AG105" t="str">
            <v>x</v>
          </cell>
          <cell r="AH105" t="str">
            <v>F</v>
          </cell>
          <cell r="AJ105" t="str">
            <v>x</v>
          </cell>
          <cell r="AK105" t="str">
            <v>x</v>
          </cell>
          <cell r="AL105" t="str">
            <v>x</v>
          </cell>
          <cell r="AM105">
            <v>23.5</v>
          </cell>
          <cell r="AN105">
            <v>0</v>
          </cell>
        </row>
        <row r="106">
          <cell r="C106">
            <v>50203</v>
          </cell>
          <cell r="D106">
            <v>44272</v>
          </cell>
          <cell r="E106">
            <v>44470</v>
          </cell>
          <cell r="F106" t="str">
            <v>Bảo vệ</v>
          </cell>
          <cell r="AM106">
            <v>0</v>
          </cell>
          <cell r="AN106">
            <v>0</v>
          </cell>
        </row>
        <row r="107">
          <cell r="C107">
            <v>50204</v>
          </cell>
          <cell r="D107">
            <v>44272</v>
          </cell>
          <cell r="E107">
            <v>44470</v>
          </cell>
          <cell r="F107" t="str">
            <v>Bảo vệ</v>
          </cell>
          <cell r="AM107">
            <v>0</v>
          </cell>
          <cell r="AN107">
            <v>0</v>
          </cell>
        </row>
        <row r="108">
          <cell r="C108">
            <v>50205</v>
          </cell>
          <cell r="D108">
            <v>44272</v>
          </cell>
          <cell r="E108">
            <v>44470</v>
          </cell>
          <cell r="F108" t="str">
            <v>Bảo vệ</v>
          </cell>
          <cell r="AM108">
            <v>0</v>
          </cell>
          <cell r="AN108">
            <v>0</v>
          </cell>
        </row>
        <row r="109">
          <cell r="C109">
            <v>50231</v>
          </cell>
          <cell r="D109">
            <v>44298</v>
          </cell>
          <cell r="E109">
            <v>44470</v>
          </cell>
          <cell r="F109" t="str">
            <v>Tổ chi tiết</v>
          </cell>
          <cell r="G109" t="str">
            <v>Con nhỏ</v>
          </cell>
          <cell r="H109" t="str">
            <v>LT</v>
          </cell>
          <cell r="J109" t="str">
            <v>x</v>
          </cell>
          <cell r="K109" t="str">
            <v>x</v>
          </cell>
          <cell r="L109" t="str">
            <v>x</v>
          </cell>
          <cell r="M109" t="str">
            <v>x</v>
          </cell>
          <cell r="O109" t="str">
            <v>x</v>
          </cell>
          <cell r="P109" t="str">
            <v>x</v>
          </cell>
          <cell r="Q109" t="str">
            <v>x</v>
          </cell>
          <cell r="R109" t="str">
            <v>x</v>
          </cell>
          <cell r="S109" t="str">
            <v>x</v>
          </cell>
          <cell r="T109" t="str">
            <v>x</v>
          </cell>
          <cell r="V109" t="str">
            <v>x</v>
          </cell>
          <cell r="W109" t="str">
            <v>x</v>
          </cell>
          <cell r="X109" t="str">
            <v>x</v>
          </cell>
          <cell r="Y109" t="str">
            <v>x</v>
          </cell>
          <cell r="Z109" t="str">
            <v>x</v>
          </cell>
          <cell r="AA109" t="str">
            <v>x</v>
          </cell>
          <cell r="AC109" t="str">
            <v>x</v>
          </cell>
          <cell r="AD109" t="str">
            <v>x</v>
          </cell>
          <cell r="AE109" t="str">
            <v>x</v>
          </cell>
          <cell r="AF109" t="str">
            <v>x</v>
          </cell>
          <cell r="AG109" t="str">
            <v>x</v>
          </cell>
          <cell r="AH109" t="str">
            <v>x</v>
          </cell>
          <cell r="AJ109" t="str">
            <v>x</v>
          </cell>
          <cell r="AK109" t="str">
            <v>x</v>
          </cell>
          <cell r="AL109" t="str">
            <v>x</v>
          </cell>
          <cell r="AM109">
            <v>25</v>
          </cell>
          <cell r="AN109">
            <v>0</v>
          </cell>
        </row>
        <row r="110">
          <cell r="C110">
            <v>50254</v>
          </cell>
          <cell r="D110">
            <v>44322</v>
          </cell>
          <cell r="E110">
            <v>44470</v>
          </cell>
          <cell r="F110" t="str">
            <v>H.thiện</v>
          </cell>
          <cell r="G110" t="str">
            <v>CBQX</v>
          </cell>
          <cell r="H110" t="str">
            <v>LT</v>
          </cell>
          <cell r="J110" t="str">
            <v>x</v>
          </cell>
          <cell r="K110" t="str">
            <v>x</v>
          </cell>
          <cell r="L110" t="str">
            <v>x</v>
          </cell>
          <cell r="M110" t="str">
            <v>x</v>
          </cell>
          <cell r="O110" t="str">
            <v>x</v>
          </cell>
          <cell r="P110" t="str">
            <v>x</v>
          </cell>
          <cell r="Q110" t="str">
            <v>x</v>
          </cell>
          <cell r="R110" t="str">
            <v>x</v>
          </cell>
          <cell r="S110" t="str">
            <v>x</v>
          </cell>
          <cell r="T110" t="str">
            <v>x</v>
          </cell>
          <cell r="U110" t="str">
            <v>x/2</v>
          </cell>
          <cell r="V110" t="str">
            <v>x</v>
          </cell>
          <cell r="W110" t="str">
            <v>x</v>
          </cell>
          <cell r="X110" t="str">
            <v>x</v>
          </cell>
          <cell r="Y110" t="str">
            <v>x</v>
          </cell>
          <cell r="Z110" t="str">
            <v>F</v>
          </cell>
          <cell r="AA110" t="str">
            <v>x</v>
          </cell>
          <cell r="AC110" t="str">
            <v>x</v>
          </cell>
          <cell r="AD110" t="str">
            <v>F</v>
          </cell>
          <cell r="AE110" t="str">
            <v>x</v>
          </cell>
          <cell r="AF110" t="str">
            <v>x</v>
          </cell>
          <cell r="AG110" t="str">
            <v>x</v>
          </cell>
          <cell r="AH110" t="str">
            <v>x</v>
          </cell>
          <cell r="AJ110" t="str">
            <v>x</v>
          </cell>
          <cell r="AK110" t="str">
            <v>x</v>
          </cell>
          <cell r="AL110" t="str">
            <v>x</v>
          </cell>
          <cell r="AM110">
            <v>23</v>
          </cell>
          <cell r="AN110">
            <v>0.5</v>
          </cell>
        </row>
        <row r="111">
          <cell r="C111">
            <v>50274</v>
          </cell>
          <cell r="D111">
            <v>44377</v>
          </cell>
          <cell r="E111">
            <v>44470</v>
          </cell>
          <cell r="F111" t="str">
            <v>Tổ sơ mi 1</v>
          </cell>
          <cell r="H111" t="str">
            <v>LT</v>
          </cell>
          <cell r="J111" t="str">
            <v>x</v>
          </cell>
          <cell r="K111" t="str">
            <v>x</v>
          </cell>
          <cell r="L111" t="str">
            <v>x</v>
          </cell>
          <cell r="M111" t="str">
            <v>x</v>
          </cell>
          <cell r="O111" t="str">
            <v>x</v>
          </cell>
          <cell r="P111" t="str">
            <v>x</v>
          </cell>
          <cell r="Q111" t="str">
            <v>x</v>
          </cell>
          <cell r="R111" t="str">
            <v>x</v>
          </cell>
          <cell r="S111" t="str">
            <v>x</v>
          </cell>
          <cell r="T111" t="str">
            <v>x</v>
          </cell>
          <cell r="V111" t="str">
            <v>x</v>
          </cell>
          <cell r="W111" t="str">
            <v>x</v>
          </cell>
          <cell r="X111" t="str">
            <v>x</v>
          </cell>
          <cell r="Y111" t="str">
            <v>x</v>
          </cell>
          <cell r="Z111" t="str">
            <v>x</v>
          </cell>
          <cell r="AA111" t="str">
            <v>x</v>
          </cell>
          <cell r="AC111" t="str">
            <v>x</v>
          </cell>
          <cell r="AD111" t="str">
            <v>x</v>
          </cell>
          <cell r="AE111" t="str">
            <v>x</v>
          </cell>
          <cell r="AF111" t="str">
            <v>x</v>
          </cell>
          <cell r="AG111" t="str">
            <v>x</v>
          </cell>
          <cell r="AH111" t="str">
            <v>x</v>
          </cell>
          <cell r="AJ111" t="str">
            <v>x</v>
          </cell>
          <cell r="AK111" t="str">
            <v>x</v>
          </cell>
          <cell r="AL111" t="str">
            <v>x</v>
          </cell>
          <cell r="AM111">
            <v>25</v>
          </cell>
          <cell r="AN111">
            <v>0</v>
          </cell>
        </row>
        <row r="112">
          <cell r="C112">
            <v>50284</v>
          </cell>
          <cell r="D112">
            <v>44384</v>
          </cell>
          <cell r="E112">
            <v>44470</v>
          </cell>
          <cell r="F112" t="str">
            <v xml:space="preserve">Tổ 6 </v>
          </cell>
          <cell r="H112" t="str">
            <v>LT</v>
          </cell>
          <cell r="J112" t="str">
            <v>x</v>
          </cell>
          <cell r="K112" t="str">
            <v>x</v>
          </cell>
          <cell r="L112" t="str">
            <v>x</v>
          </cell>
          <cell r="M112" t="str">
            <v>x</v>
          </cell>
          <cell r="O112" t="str">
            <v>x</v>
          </cell>
          <cell r="P112" t="str">
            <v>x</v>
          </cell>
          <cell r="Q112" t="str">
            <v>x</v>
          </cell>
          <cell r="R112" t="str">
            <v>x</v>
          </cell>
          <cell r="S112" t="str">
            <v>x</v>
          </cell>
          <cell r="T112" t="str">
            <v>x</v>
          </cell>
          <cell r="V112" t="str">
            <v>x</v>
          </cell>
          <cell r="W112" t="str">
            <v>x</v>
          </cell>
          <cell r="X112" t="str">
            <v>x</v>
          </cell>
          <cell r="Y112" t="str">
            <v>x</v>
          </cell>
          <cell r="Z112" t="str">
            <v>x</v>
          </cell>
          <cell r="AA112" t="str">
            <v>x</v>
          </cell>
          <cell r="AC112" t="str">
            <v>x</v>
          </cell>
          <cell r="AD112" t="str">
            <v>x</v>
          </cell>
          <cell r="AE112" t="str">
            <v>x</v>
          </cell>
          <cell r="AF112" t="str">
            <v>x</v>
          </cell>
          <cell r="AG112" t="str">
            <v>x</v>
          </cell>
          <cell r="AH112" t="str">
            <v>x</v>
          </cell>
          <cell r="AJ112" t="str">
            <v>x</v>
          </cell>
          <cell r="AK112" t="str">
            <v>x</v>
          </cell>
          <cell r="AL112" t="str">
            <v>x</v>
          </cell>
          <cell r="AM112">
            <v>25</v>
          </cell>
          <cell r="AN112">
            <v>0</v>
          </cell>
        </row>
        <row r="113">
          <cell r="C113">
            <v>50287</v>
          </cell>
          <cell r="D113">
            <v>44385</v>
          </cell>
          <cell r="E113">
            <v>44470</v>
          </cell>
          <cell r="F113" t="str">
            <v>LÀ TP</v>
          </cell>
          <cell r="H113" t="str">
            <v>LT</v>
          </cell>
          <cell r="J113" t="str">
            <v>x</v>
          </cell>
          <cell r="K113" t="str">
            <v>x</v>
          </cell>
          <cell r="L113" t="str">
            <v>x</v>
          </cell>
          <cell r="M113" t="str">
            <v>x</v>
          </cell>
          <cell r="O113" t="str">
            <v>x</v>
          </cell>
          <cell r="P113" t="str">
            <v>x</v>
          </cell>
          <cell r="Q113" t="str">
            <v>x</v>
          </cell>
          <cell r="R113" t="str">
            <v>x</v>
          </cell>
          <cell r="S113" t="str">
            <v>x</v>
          </cell>
          <cell r="T113" t="str">
            <v>x</v>
          </cell>
          <cell r="V113" t="str">
            <v>x</v>
          </cell>
          <cell r="W113" t="str">
            <v>x</v>
          </cell>
          <cell r="X113" t="str">
            <v>x</v>
          </cell>
          <cell r="Y113" t="str">
            <v>x</v>
          </cell>
          <cell r="Z113" t="str">
            <v>x</v>
          </cell>
          <cell r="AA113" t="str">
            <v>x</v>
          </cell>
          <cell r="AC113" t="str">
            <v>x</v>
          </cell>
          <cell r="AD113" t="str">
            <v>x</v>
          </cell>
          <cell r="AE113" t="str">
            <v>x</v>
          </cell>
          <cell r="AF113" t="str">
            <v>x</v>
          </cell>
          <cell r="AG113" t="str">
            <v>x</v>
          </cell>
          <cell r="AH113" t="str">
            <v>x</v>
          </cell>
          <cell r="AJ113" t="str">
            <v>x</v>
          </cell>
          <cell r="AK113" t="str">
            <v>x</v>
          </cell>
          <cell r="AL113" t="str">
            <v>x</v>
          </cell>
          <cell r="AM113">
            <v>25</v>
          </cell>
          <cell r="AN113">
            <v>0</v>
          </cell>
        </row>
        <row r="114">
          <cell r="C114">
            <v>50289</v>
          </cell>
          <cell r="D114">
            <v>44387</v>
          </cell>
          <cell r="E114">
            <v>44470</v>
          </cell>
          <cell r="F114" t="str">
            <v xml:space="preserve">Tổ 7 </v>
          </cell>
          <cell r="H114" t="str">
            <v>LT</v>
          </cell>
          <cell r="J114" t="str">
            <v>x</v>
          </cell>
          <cell r="K114" t="str">
            <v>x</v>
          </cell>
          <cell r="L114" t="str">
            <v>x</v>
          </cell>
          <cell r="M114" t="str">
            <v>x</v>
          </cell>
          <cell r="O114" t="str">
            <v>x</v>
          </cell>
          <cell r="P114" t="str">
            <v>x</v>
          </cell>
          <cell r="Q114" t="str">
            <v>x</v>
          </cell>
          <cell r="R114" t="str">
            <v>x</v>
          </cell>
          <cell r="S114" t="str">
            <v>x</v>
          </cell>
          <cell r="T114" t="str">
            <v>x</v>
          </cell>
          <cell r="V114" t="str">
            <v>x</v>
          </cell>
          <cell r="W114" t="str">
            <v>x</v>
          </cell>
          <cell r="X114" t="str">
            <v>x</v>
          </cell>
          <cell r="Y114" t="str">
            <v>x</v>
          </cell>
          <cell r="Z114" t="str">
            <v>x</v>
          </cell>
          <cell r="AA114" t="str">
            <v>x</v>
          </cell>
          <cell r="AC114" t="str">
            <v>x</v>
          </cell>
          <cell r="AD114" t="str">
            <v>x</v>
          </cell>
          <cell r="AE114" t="str">
            <v>x</v>
          </cell>
          <cell r="AF114" t="str">
            <v>x</v>
          </cell>
          <cell r="AG114" t="str">
            <v>x</v>
          </cell>
          <cell r="AH114" t="str">
            <v>x</v>
          </cell>
          <cell r="AJ114" t="str">
            <v>x</v>
          </cell>
          <cell r="AK114" t="str">
            <v>x</v>
          </cell>
          <cell r="AL114" t="str">
            <v>x</v>
          </cell>
          <cell r="AM114">
            <v>25</v>
          </cell>
          <cell r="AN114">
            <v>0</v>
          </cell>
        </row>
        <row r="115">
          <cell r="C115">
            <v>50290</v>
          </cell>
          <cell r="D115">
            <v>44387</v>
          </cell>
          <cell r="E115">
            <v>44470</v>
          </cell>
          <cell r="F115" t="str">
            <v>Tổ chi tiết</v>
          </cell>
          <cell r="H115" t="str">
            <v>LT</v>
          </cell>
          <cell r="J115" t="str">
            <v>x</v>
          </cell>
          <cell r="K115" t="str">
            <v>x</v>
          </cell>
          <cell r="L115" t="str">
            <v>x</v>
          </cell>
          <cell r="M115" t="str">
            <v>x</v>
          </cell>
          <cell r="O115" t="str">
            <v>x</v>
          </cell>
          <cell r="P115" t="str">
            <v>x</v>
          </cell>
          <cell r="Q115" t="str">
            <v>x</v>
          </cell>
          <cell r="R115" t="str">
            <v>x</v>
          </cell>
          <cell r="S115" t="str">
            <v>x</v>
          </cell>
          <cell r="T115" t="str">
            <v>x</v>
          </cell>
          <cell r="V115" t="str">
            <v>x</v>
          </cell>
          <cell r="W115" t="str">
            <v>x</v>
          </cell>
          <cell r="X115" t="str">
            <v>x</v>
          </cell>
          <cell r="Y115" t="str">
            <v>x</v>
          </cell>
          <cell r="Z115" t="str">
            <v>x</v>
          </cell>
          <cell r="AA115" t="str">
            <v>x</v>
          </cell>
          <cell r="AC115" t="str">
            <v>x</v>
          </cell>
          <cell r="AD115" t="str">
            <v>x</v>
          </cell>
          <cell r="AE115" t="str">
            <v>x</v>
          </cell>
          <cell r="AF115" t="str">
            <v>x</v>
          </cell>
          <cell r="AG115" t="str">
            <v>x</v>
          </cell>
          <cell r="AH115" t="str">
            <v>x</v>
          </cell>
          <cell r="AJ115" t="str">
            <v>x/2</v>
          </cell>
          <cell r="AK115" t="str">
            <v>x</v>
          </cell>
          <cell r="AL115" t="str">
            <v>x</v>
          </cell>
          <cell r="AM115">
            <v>24.5</v>
          </cell>
          <cell r="AN115">
            <v>0</v>
          </cell>
        </row>
        <row r="116">
          <cell r="C116">
            <v>50292</v>
          </cell>
          <cell r="D116">
            <v>44397</v>
          </cell>
          <cell r="E116">
            <v>44470</v>
          </cell>
          <cell r="F116" t="str">
            <v>Tổ chi tiết</v>
          </cell>
          <cell r="H116" t="str">
            <v>LT</v>
          </cell>
          <cell r="J116" t="str">
            <v>x</v>
          </cell>
          <cell r="K116" t="str">
            <v>x</v>
          </cell>
          <cell r="L116" t="str">
            <v>x</v>
          </cell>
          <cell r="M116" t="str">
            <v>x</v>
          </cell>
          <cell r="O116" t="str">
            <v>x</v>
          </cell>
          <cell r="P116" t="str">
            <v>x</v>
          </cell>
          <cell r="Q116" t="str">
            <v>x</v>
          </cell>
          <cell r="R116" t="str">
            <v>x</v>
          </cell>
          <cell r="S116" t="str">
            <v>x</v>
          </cell>
          <cell r="T116" t="str">
            <v>x</v>
          </cell>
          <cell r="V116" t="str">
            <v>x</v>
          </cell>
          <cell r="W116" t="str">
            <v>x</v>
          </cell>
          <cell r="X116" t="str">
            <v>x</v>
          </cell>
          <cell r="Y116" t="str">
            <v>x</v>
          </cell>
          <cell r="Z116" t="str">
            <v>x</v>
          </cell>
          <cell r="AA116" t="str">
            <v>x</v>
          </cell>
          <cell r="AC116" t="str">
            <v>x</v>
          </cell>
          <cell r="AD116" t="str">
            <v>x</v>
          </cell>
          <cell r="AE116" t="str">
            <v>x</v>
          </cell>
          <cell r="AF116" t="str">
            <v>x</v>
          </cell>
          <cell r="AG116" t="str">
            <v>x</v>
          </cell>
          <cell r="AH116" t="str">
            <v>x</v>
          </cell>
          <cell r="AJ116" t="str">
            <v>x</v>
          </cell>
          <cell r="AK116" t="str">
            <v>x</v>
          </cell>
          <cell r="AL116" t="str">
            <v>x</v>
          </cell>
          <cell r="AM116">
            <v>25</v>
          </cell>
          <cell r="AN116">
            <v>0</v>
          </cell>
        </row>
        <row r="117">
          <cell r="C117">
            <v>50294</v>
          </cell>
          <cell r="D117">
            <v>44397</v>
          </cell>
          <cell r="E117">
            <v>44470</v>
          </cell>
          <cell r="F117" t="str">
            <v>Tổ Sơ mi 2</v>
          </cell>
          <cell r="H117" t="str">
            <v>LT</v>
          </cell>
          <cell r="J117" t="str">
            <v>x</v>
          </cell>
          <cell r="K117" t="str">
            <v>x</v>
          </cell>
          <cell r="L117" t="str">
            <v>x</v>
          </cell>
          <cell r="M117" t="str">
            <v>x</v>
          </cell>
          <cell r="O117" t="str">
            <v>x</v>
          </cell>
          <cell r="P117" t="str">
            <v>x</v>
          </cell>
          <cell r="Q117" t="str">
            <v>x</v>
          </cell>
          <cell r="R117" t="str">
            <v>x</v>
          </cell>
          <cell r="S117" t="str">
            <v>x</v>
          </cell>
          <cell r="T117" t="str">
            <v>x</v>
          </cell>
          <cell r="V117" t="str">
            <v>x</v>
          </cell>
          <cell r="W117" t="str">
            <v>x</v>
          </cell>
          <cell r="X117" t="str">
            <v>x</v>
          </cell>
          <cell r="Y117" t="str">
            <v>x</v>
          </cell>
          <cell r="Z117" t="str">
            <v>x</v>
          </cell>
          <cell r="AA117" t="str">
            <v>x</v>
          </cell>
          <cell r="AC117" t="str">
            <v>x</v>
          </cell>
          <cell r="AD117" t="str">
            <v>x</v>
          </cell>
          <cell r="AE117" t="str">
            <v>x</v>
          </cell>
          <cell r="AF117" t="str">
            <v>x</v>
          </cell>
          <cell r="AG117" t="str">
            <v>x</v>
          </cell>
          <cell r="AH117" t="str">
            <v>x</v>
          </cell>
          <cell r="AJ117" t="str">
            <v>x</v>
          </cell>
          <cell r="AK117" t="str">
            <v>x</v>
          </cell>
          <cell r="AL117" t="str">
            <v>x</v>
          </cell>
          <cell r="AM117">
            <v>25</v>
          </cell>
          <cell r="AN117">
            <v>0</v>
          </cell>
        </row>
        <row r="118">
          <cell r="C118">
            <v>50309</v>
          </cell>
          <cell r="D118">
            <v>44393</v>
          </cell>
          <cell r="E118">
            <v>44470</v>
          </cell>
          <cell r="F118" t="str">
            <v>Bảo vệ</v>
          </cell>
          <cell r="AM118">
            <v>0</v>
          </cell>
          <cell r="AN118">
            <v>0</v>
          </cell>
        </row>
        <row r="119">
          <cell r="C119">
            <v>50311</v>
          </cell>
          <cell r="D119">
            <v>44410</v>
          </cell>
          <cell r="E119">
            <v>44470</v>
          </cell>
          <cell r="F119" t="str">
            <v>In</v>
          </cell>
          <cell r="H119" t="str">
            <v>LT</v>
          </cell>
          <cell r="J119" t="str">
            <v>x</v>
          </cell>
          <cell r="K119" t="str">
            <v>x</v>
          </cell>
          <cell r="L119" t="str">
            <v>x</v>
          </cell>
          <cell r="M119" t="str">
            <v>x</v>
          </cell>
          <cell r="O119" t="str">
            <v>x</v>
          </cell>
          <cell r="P119" t="str">
            <v>x</v>
          </cell>
          <cell r="Q119" t="str">
            <v>x</v>
          </cell>
          <cell r="R119" t="str">
            <v>x</v>
          </cell>
          <cell r="S119" t="str">
            <v>x</v>
          </cell>
          <cell r="T119" t="str">
            <v>x</v>
          </cell>
          <cell r="V119" t="str">
            <v>x</v>
          </cell>
          <cell r="W119" t="str">
            <v>x</v>
          </cell>
          <cell r="X119" t="str">
            <v>x</v>
          </cell>
          <cell r="Y119" t="str">
            <v>x</v>
          </cell>
          <cell r="Z119" t="str">
            <v>x</v>
          </cell>
          <cell r="AA119" t="str">
            <v>x</v>
          </cell>
          <cell r="AC119" t="str">
            <v>x</v>
          </cell>
          <cell r="AD119" t="str">
            <v>x</v>
          </cell>
          <cell r="AE119" t="str">
            <v>x</v>
          </cell>
          <cell r="AF119" t="str">
            <v>x</v>
          </cell>
          <cell r="AG119" t="str">
            <v>x</v>
          </cell>
          <cell r="AH119" t="str">
            <v>x</v>
          </cell>
          <cell r="AJ119" t="str">
            <v>x</v>
          </cell>
          <cell r="AK119" t="str">
            <v>x</v>
          </cell>
          <cell r="AL119" t="str">
            <v>x</v>
          </cell>
          <cell r="AM119">
            <v>25</v>
          </cell>
          <cell r="AN119">
            <v>0</v>
          </cell>
        </row>
        <row r="120">
          <cell r="C120">
            <v>50312</v>
          </cell>
          <cell r="D120">
            <v>44398</v>
          </cell>
          <cell r="E120">
            <v>44470</v>
          </cell>
          <cell r="F120" t="str">
            <v>In</v>
          </cell>
          <cell r="H120" t="str">
            <v>LT</v>
          </cell>
          <cell r="J120" t="str">
            <v>x</v>
          </cell>
          <cell r="K120" t="str">
            <v>x</v>
          </cell>
          <cell r="L120" t="str">
            <v>x</v>
          </cell>
          <cell r="M120" t="str">
            <v>x</v>
          </cell>
          <cell r="O120" t="str">
            <v>x</v>
          </cell>
          <cell r="P120" t="str">
            <v>x</v>
          </cell>
          <cell r="Q120" t="str">
            <v>x</v>
          </cell>
          <cell r="R120" t="str">
            <v>x</v>
          </cell>
          <cell r="S120" t="str">
            <v>x</v>
          </cell>
          <cell r="T120" t="str">
            <v>x</v>
          </cell>
          <cell r="V120" t="str">
            <v>x</v>
          </cell>
          <cell r="W120" t="str">
            <v>x</v>
          </cell>
          <cell r="X120" t="str">
            <v>x</v>
          </cell>
          <cell r="Y120" t="str">
            <v>x</v>
          </cell>
          <cell r="Z120" t="str">
            <v>x</v>
          </cell>
          <cell r="AA120" t="str">
            <v>x</v>
          </cell>
          <cell r="AC120" t="str">
            <v>x</v>
          </cell>
          <cell r="AD120" t="str">
            <v>x</v>
          </cell>
          <cell r="AE120" t="str">
            <v>x</v>
          </cell>
          <cell r="AF120" t="str">
            <v>x</v>
          </cell>
          <cell r="AG120" t="str">
            <v>x</v>
          </cell>
          <cell r="AH120" t="str">
            <v>x</v>
          </cell>
          <cell r="AJ120" t="str">
            <v>x</v>
          </cell>
          <cell r="AK120" t="str">
            <v>x</v>
          </cell>
          <cell r="AL120" t="str">
            <v>x</v>
          </cell>
          <cell r="AM120">
            <v>25</v>
          </cell>
          <cell r="AN120">
            <v>0</v>
          </cell>
        </row>
        <row r="121">
          <cell r="C121">
            <v>50313</v>
          </cell>
          <cell r="D121">
            <v>44398</v>
          </cell>
          <cell r="E121">
            <v>44470</v>
          </cell>
          <cell r="F121" t="str">
            <v>Tổ Sơ mi 1</v>
          </cell>
          <cell r="H121" t="str">
            <v>LT</v>
          </cell>
          <cell r="J121" t="str">
            <v>x</v>
          </cell>
          <cell r="K121" t="str">
            <v>x</v>
          </cell>
          <cell r="L121" t="str">
            <v>x</v>
          </cell>
          <cell r="M121" t="str">
            <v>x</v>
          </cell>
          <cell r="O121" t="str">
            <v>x</v>
          </cell>
          <cell r="P121" t="str">
            <v>x</v>
          </cell>
          <cell r="Q121" t="str">
            <v>x</v>
          </cell>
          <cell r="R121" t="str">
            <v>x</v>
          </cell>
          <cell r="S121" t="str">
            <v>x</v>
          </cell>
          <cell r="T121" t="str">
            <v>x</v>
          </cell>
          <cell r="V121" t="str">
            <v>x</v>
          </cell>
          <cell r="W121" t="str">
            <v>x</v>
          </cell>
          <cell r="X121" t="str">
            <v>x</v>
          </cell>
          <cell r="Y121" t="str">
            <v>x</v>
          </cell>
          <cell r="Z121" t="str">
            <v>x</v>
          </cell>
          <cell r="AA121" t="str">
            <v>x</v>
          </cell>
          <cell r="AC121" t="str">
            <v>x</v>
          </cell>
          <cell r="AD121" t="str">
            <v>x</v>
          </cell>
          <cell r="AE121" t="str">
            <v>x</v>
          </cell>
          <cell r="AF121" t="str">
            <v>x</v>
          </cell>
          <cell r="AG121" t="str">
            <v>x</v>
          </cell>
          <cell r="AH121" t="str">
            <v>x</v>
          </cell>
          <cell r="AJ121" t="str">
            <v>x</v>
          </cell>
          <cell r="AK121" t="str">
            <v>x</v>
          </cell>
          <cell r="AL121" t="str">
            <v>x</v>
          </cell>
          <cell r="AM121">
            <v>25</v>
          </cell>
          <cell r="AN121">
            <v>0</v>
          </cell>
        </row>
        <row r="122">
          <cell r="C122">
            <v>50329</v>
          </cell>
          <cell r="D122">
            <v>44403</v>
          </cell>
          <cell r="E122">
            <v>44470</v>
          </cell>
          <cell r="F122" t="str">
            <v>Tổ Sơ mi 2</v>
          </cell>
          <cell r="H122" t="str">
            <v>LT</v>
          </cell>
          <cell r="J122" t="str">
            <v>x</v>
          </cell>
          <cell r="K122" t="str">
            <v>x</v>
          </cell>
          <cell r="L122" t="str">
            <v>x</v>
          </cell>
          <cell r="M122" t="str">
            <v>x</v>
          </cell>
          <cell r="O122" t="str">
            <v>x</v>
          </cell>
          <cell r="P122" t="str">
            <v>x</v>
          </cell>
          <cell r="Q122" t="str">
            <v>x</v>
          </cell>
          <cell r="R122" t="str">
            <v>x</v>
          </cell>
          <cell r="S122" t="str">
            <v>x</v>
          </cell>
          <cell r="T122" t="str">
            <v>x</v>
          </cell>
          <cell r="V122" t="str">
            <v>x</v>
          </cell>
          <cell r="W122" t="str">
            <v>x</v>
          </cell>
          <cell r="X122" t="str">
            <v>x</v>
          </cell>
          <cell r="Y122" t="str">
            <v>x</v>
          </cell>
          <cell r="Z122" t="str">
            <v>x</v>
          </cell>
          <cell r="AA122" t="str">
            <v>x</v>
          </cell>
          <cell r="AC122" t="str">
            <v>x</v>
          </cell>
          <cell r="AD122" t="str">
            <v>x</v>
          </cell>
          <cell r="AE122" t="str">
            <v>x</v>
          </cell>
          <cell r="AF122" t="str">
            <v>x</v>
          </cell>
          <cell r="AG122" t="str">
            <v>x</v>
          </cell>
          <cell r="AH122" t="str">
            <v>x</v>
          </cell>
          <cell r="AJ122" t="str">
            <v>x</v>
          </cell>
          <cell r="AK122" t="str">
            <v>x</v>
          </cell>
          <cell r="AL122" t="str">
            <v>x</v>
          </cell>
          <cell r="AM122">
            <v>25</v>
          </cell>
          <cell r="AN122">
            <v>0</v>
          </cell>
        </row>
        <row r="123">
          <cell r="C123">
            <v>50338</v>
          </cell>
          <cell r="D123">
            <v>44401</v>
          </cell>
          <cell r="E123">
            <v>44470</v>
          </cell>
          <cell r="F123" t="str">
            <v>Cắt</v>
          </cell>
          <cell r="H123" t="str">
            <v>LT</v>
          </cell>
          <cell r="J123" t="str">
            <v>x</v>
          </cell>
          <cell r="K123" t="str">
            <v>x</v>
          </cell>
          <cell r="L123" t="str">
            <v>x</v>
          </cell>
          <cell r="M123" t="str">
            <v>x</v>
          </cell>
          <cell r="O123" t="str">
            <v>x</v>
          </cell>
          <cell r="P123" t="str">
            <v>F</v>
          </cell>
          <cell r="Q123" t="str">
            <v>F</v>
          </cell>
          <cell r="R123" t="str">
            <v>x</v>
          </cell>
          <cell r="S123" t="str">
            <v>x</v>
          </cell>
          <cell r="T123" t="str">
            <v>x</v>
          </cell>
          <cell r="U123" t="str">
            <v>x/2</v>
          </cell>
          <cell r="V123" t="str">
            <v>x</v>
          </cell>
          <cell r="W123" t="str">
            <v>x</v>
          </cell>
          <cell r="X123" t="str">
            <v>x</v>
          </cell>
          <cell r="Y123" t="str">
            <v>x</v>
          </cell>
          <cell r="Z123" t="str">
            <v>x</v>
          </cell>
          <cell r="AA123" t="str">
            <v>x</v>
          </cell>
          <cell r="AC123" t="str">
            <v>Ô</v>
          </cell>
          <cell r="AD123" t="str">
            <v>Ô</v>
          </cell>
          <cell r="AE123" t="str">
            <v>Ô</v>
          </cell>
          <cell r="AF123" t="str">
            <v>Ô</v>
          </cell>
          <cell r="AG123" t="str">
            <v>Ô</v>
          </cell>
          <cell r="AH123" t="str">
            <v>x</v>
          </cell>
          <cell r="AJ123" t="str">
            <v>x</v>
          </cell>
          <cell r="AK123" t="str">
            <v>x</v>
          </cell>
          <cell r="AL123" t="str">
            <v>x</v>
          </cell>
          <cell r="AM123">
            <v>18</v>
          </cell>
          <cell r="AN123">
            <v>0.5</v>
          </cell>
        </row>
        <row r="124">
          <cell r="C124">
            <v>50342</v>
          </cell>
          <cell r="D124">
            <v>44404</v>
          </cell>
          <cell r="E124">
            <v>44470</v>
          </cell>
          <cell r="F124" t="str">
            <v>Tổ sơ mi 1</v>
          </cell>
          <cell r="H124" t="str">
            <v>LT</v>
          </cell>
          <cell r="J124" t="str">
            <v>x</v>
          </cell>
          <cell r="K124" t="str">
            <v>x</v>
          </cell>
          <cell r="L124" t="str">
            <v>x</v>
          </cell>
          <cell r="M124" t="str">
            <v>x</v>
          </cell>
          <cell r="O124" t="str">
            <v>x</v>
          </cell>
          <cell r="P124" t="str">
            <v>x</v>
          </cell>
          <cell r="Q124" t="str">
            <v>x</v>
          </cell>
          <cell r="R124" t="str">
            <v>x</v>
          </cell>
          <cell r="S124" t="str">
            <v>x</v>
          </cell>
          <cell r="T124" t="str">
            <v>x</v>
          </cell>
          <cell r="V124" t="str">
            <v>x</v>
          </cell>
          <cell r="W124" t="str">
            <v>x</v>
          </cell>
          <cell r="X124" t="str">
            <v>x</v>
          </cell>
          <cell r="Y124" t="str">
            <v>x</v>
          </cell>
          <cell r="Z124" t="str">
            <v>x</v>
          </cell>
          <cell r="AA124" t="str">
            <v>x</v>
          </cell>
          <cell r="AC124" t="str">
            <v>x</v>
          </cell>
          <cell r="AD124" t="str">
            <v>x</v>
          </cell>
          <cell r="AE124" t="str">
            <v>x</v>
          </cell>
          <cell r="AF124" t="str">
            <v>x</v>
          </cell>
          <cell r="AG124" t="str">
            <v>x</v>
          </cell>
          <cell r="AH124" t="str">
            <v>x</v>
          </cell>
          <cell r="AJ124" t="str">
            <v>x</v>
          </cell>
          <cell r="AK124" t="str">
            <v>x</v>
          </cell>
          <cell r="AL124" t="str">
            <v>x</v>
          </cell>
          <cell r="AM124">
            <v>25</v>
          </cell>
          <cell r="AN124">
            <v>0</v>
          </cell>
        </row>
        <row r="125">
          <cell r="C125">
            <v>50362</v>
          </cell>
          <cell r="D125">
            <v>44406</v>
          </cell>
          <cell r="E125">
            <v>44470</v>
          </cell>
          <cell r="F125" t="str">
            <v>Tổ sơ mi 3</v>
          </cell>
          <cell r="H125" t="str">
            <v>LT</v>
          </cell>
          <cell r="J125" t="str">
            <v>x</v>
          </cell>
          <cell r="K125" t="str">
            <v>x</v>
          </cell>
          <cell r="L125" t="str">
            <v>x</v>
          </cell>
          <cell r="M125" t="str">
            <v>x</v>
          </cell>
          <cell r="O125" t="str">
            <v>x</v>
          </cell>
          <cell r="P125" t="str">
            <v>x</v>
          </cell>
          <cell r="Q125" t="str">
            <v>x</v>
          </cell>
          <cell r="R125" t="str">
            <v>x</v>
          </cell>
          <cell r="S125" t="str">
            <v>x</v>
          </cell>
          <cell r="T125" t="str">
            <v>x</v>
          </cell>
          <cell r="V125" t="str">
            <v>x</v>
          </cell>
          <cell r="W125" t="str">
            <v>x</v>
          </cell>
          <cell r="X125" t="str">
            <v>x</v>
          </cell>
          <cell r="Y125" t="str">
            <v>x</v>
          </cell>
          <cell r="Z125" t="str">
            <v>x</v>
          </cell>
          <cell r="AA125" t="str">
            <v>x</v>
          </cell>
          <cell r="AC125" t="str">
            <v>x</v>
          </cell>
          <cell r="AD125" t="str">
            <v>x</v>
          </cell>
          <cell r="AE125" t="str">
            <v>x</v>
          </cell>
          <cell r="AF125" t="str">
            <v>x</v>
          </cell>
          <cell r="AG125" t="str">
            <v>x</v>
          </cell>
          <cell r="AH125" t="str">
            <v>x</v>
          </cell>
          <cell r="AJ125" t="str">
            <v>x</v>
          </cell>
          <cell r="AK125" t="str">
            <v>x</v>
          </cell>
          <cell r="AL125" t="str">
            <v>x</v>
          </cell>
          <cell r="AM125">
            <v>25</v>
          </cell>
          <cell r="AN125">
            <v>0</v>
          </cell>
        </row>
        <row r="126">
          <cell r="C126">
            <v>50364</v>
          </cell>
          <cell r="D126">
            <v>44406</v>
          </cell>
          <cell r="E126">
            <v>44470</v>
          </cell>
          <cell r="F126" t="str">
            <v>Tổ 5</v>
          </cell>
          <cell r="H126" t="str">
            <v>LT</v>
          </cell>
          <cell r="J126" t="str">
            <v>x</v>
          </cell>
          <cell r="K126" t="str">
            <v>x</v>
          </cell>
          <cell r="L126" t="str">
            <v>x</v>
          </cell>
          <cell r="M126" t="str">
            <v>x</v>
          </cell>
          <cell r="O126" t="str">
            <v>x</v>
          </cell>
          <cell r="P126" t="str">
            <v>x</v>
          </cell>
          <cell r="Q126" t="str">
            <v>x</v>
          </cell>
          <cell r="R126" t="str">
            <v>x</v>
          </cell>
          <cell r="S126" t="str">
            <v>x</v>
          </cell>
          <cell r="T126" t="str">
            <v>x</v>
          </cell>
          <cell r="V126" t="str">
            <v>x</v>
          </cell>
          <cell r="W126" t="str">
            <v>x</v>
          </cell>
          <cell r="X126" t="str">
            <v>x</v>
          </cell>
          <cell r="Y126" t="str">
            <v>x</v>
          </cell>
          <cell r="Z126" t="str">
            <v>x</v>
          </cell>
          <cell r="AA126" t="str">
            <v>x</v>
          </cell>
          <cell r="AC126" t="str">
            <v>x</v>
          </cell>
          <cell r="AD126" t="str">
            <v>x</v>
          </cell>
          <cell r="AE126" t="str">
            <v>x</v>
          </cell>
          <cell r="AF126" t="str">
            <v>x</v>
          </cell>
          <cell r="AG126" t="str">
            <v>x</v>
          </cell>
          <cell r="AH126" t="str">
            <v>x</v>
          </cell>
          <cell r="AJ126" t="str">
            <v>x</v>
          </cell>
          <cell r="AK126" t="str">
            <v>x</v>
          </cell>
          <cell r="AL126" t="str">
            <v>x</v>
          </cell>
          <cell r="AM126">
            <v>25</v>
          </cell>
          <cell r="AN126">
            <v>0</v>
          </cell>
        </row>
        <row r="127">
          <cell r="C127">
            <v>50366</v>
          </cell>
          <cell r="D127">
            <v>44406</v>
          </cell>
          <cell r="E127">
            <v>44470</v>
          </cell>
          <cell r="F127" t="str">
            <v>H.thiện</v>
          </cell>
          <cell r="H127" t="str">
            <v>LT</v>
          </cell>
          <cell r="J127" t="str">
            <v>x</v>
          </cell>
          <cell r="K127" t="str">
            <v>x</v>
          </cell>
          <cell r="L127" t="str">
            <v>x</v>
          </cell>
          <cell r="M127" t="str">
            <v>x</v>
          </cell>
          <cell r="O127" t="str">
            <v>x</v>
          </cell>
          <cell r="P127" t="str">
            <v>x</v>
          </cell>
          <cell r="Q127" t="str">
            <v>x</v>
          </cell>
          <cell r="R127" t="str">
            <v>x</v>
          </cell>
          <cell r="S127" t="str">
            <v>x</v>
          </cell>
          <cell r="T127" t="str">
            <v>x</v>
          </cell>
          <cell r="U127" t="str">
            <v>x/2</v>
          </cell>
          <cell r="V127" t="str">
            <v>x</v>
          </cell>
          <cell r="W127" t="str">
            <v>x</v>
          </cell>
          <cell r="X127" t="str">
            <v>x</v>
          </cell>
          <cell r="Y127" t="str">
            <v>x</v>
          </cell>
          <cell r="Z127" t="str">
            <v>x</v>
          </cell>
          <cell r="AA127" t="str">
            <v>x</v>
          </cell>
          <cell r="AC127" t="str">
            <v>x</v>
          </cell>
          <cell r="AD127" t="str">
            <v>x</v>
          </cell>
          <cell r="AE127" t="str">
            <v>x</v>
          </cell>
          <cell r="AF127" t="str">
            <v>x</v>
          </cell>
          <cell r="AG127" t="str">
            <v>x</v>
          </cell>
          <cell r="AH127" t="str">
            <v>x</v>
          </cell>
          <cell r="AJ127" t="str">
            <v>x</v>
          </cell>
          <cell r="AK127" t="str">
            <v>x</v>
          </cell>
          <cell r="AL127" t="str">
            <v>x/2</v>
          </cell>
          <cell r="AM127">
            <v>24.5</v>
          </cell>
          <cell r="AN127">
            <v>0.5</v>
          </cell>
        </row>
        <row r="128">
          <cell r="C128">
            <v>50367</v>
          </cell>
          <cell r="D128">
            <v>44406</v>
          </cell>
          <cell r="E128">
            <v>44470</v>
          </cell>
          <cell r="F128" t="str">
            <v>Tổ sơ mi 4</v>
          </cell>
          <cell r="H128" t="str">
            <v>LT</v>
          </cell>
          <cell r="J128" t="str">
            <v>x</v>
          </cell>
          <cell r="K128" t="str">
            <v>x</v>
          </cell>
          <cell r="L128" t="str">
            <v>x</v>
          </cell>
          <cell r="M128" t="str">
            <v>x</v>
          </cell>
          <cell r="O128" t="str">
            <v>x</v>
          </cell>
          <cell r="P128" t="str">
            <v>x</v>
          </cell>
          <cell r="Q128" t="str">
            <v>x</v>
          </cell>
          <cell r="R128" t="str">
            <v>x</v>
          </cell>
          <cell r="S128" t="str">
            <v>x</v>
          </cell>
          <cell r="T128" t="str">
            <v>x</v>
          </cell>
          <cell r="V128" t="str">
            <v>x</v>
          </cell>
          <cell r="W128" t="str">
            <v>x</v>
          </cell>
          <cell r="X128" t="str">
            <v>x</v>
          </cell>
          <cell r="Y128" t="str">
            <v>x</v>
          </cell>
          <cell r="Z128" t="str">
            <v>x</v>
          </cell>
          <cell r="AA128" t="str">
            <v>x</v>
          </cell>
          <cell r="AC128" t="str">
            <v>x</v>
          </cell>
          <cell r="AD128" t="str">
            <v>x</v>
          </cell>
          <cell r="AE128" t="str">
            <v>x</v>
          </cell>
          <cell r="AF128" t="str">
            <v>x</v>
          </cell>
          <cell r="AG128" t="str">
            <v>x</v>
          </cell>
          <cell r="AH128" t="str">
            <v>x</v>
          </cell>
          <cell r="AJ128" t="str">
            <v>x</v>
          </cell>
          <cell r="AK128" t="str">
            <v>x</v>
          </cell>
          <cell r="AL128" t="str">
            <v>x</v>
          </cell>
          <cell r="AM128">
            <v>25</v>
          </cell>
          <cell r="AN128">
            <v>0</v>
          </cell>
        </row>
        <row r="129">
          <cell r="C129">
            <v>50375</v>
          </cell>
          <cell r="D129">
            <v>44410</v>
          </cell>
          <cell r="E129">
            <v>44470</v>
          </cell>
          <cell r="F129" t="str">
            <v>Bảo vệ</v>
          </cell>
          <cell r="AM129">
            <v>0</v>
          </cell>
          <cell r="AN129">
            <v>0</v>
          </cell>
        </row>
        <row r="130">
          <cell r="C130">
            <v>50377</v>
          </cell>
          <cell r="D130">
            <v>44410</v>
          </cell>
          <cell r="E130">
            <v>44470</v>
          </cell>
          <cell r="F130" t="str">
            <v>H.thiện</v>
          </cell>
          <cell r="H130" t="str">
            <v>LT</v>
          </cell>
          <cell r="J130" t="str">
            <v>x</v>
          </cell>
          <cell r="K130" t="str">
            <v>x</v>
          </cell>
          <cell r="L130" t="str">
            <v>x</v>
          </cell>
          <cell r="M130" t="str">
            <v>x</v>
          </cell>
          <cell r="O130" t="str">
            <v>x</v>
          </cell>
          <cell r="P130" t="str">
            <v>x</v>
          </cell>
          <cell r="Q130" t="str">
            <v>x</v>
          </cell>
          <cell r="R130" t="str">
            <v>x</v>
          </cell>
          <cell r="S130" t="str">
            <v>x</v>
          </cell>
          <cell r="T130" t="str">
            <v>x</v>
          </cell>
          <cell r="U130" t="str">
            <v>x/2</v>
          </cell>
          <cell r="V130" t="str">
            <v>x/2</v>
          </cell>
          <cell r="W130" t="str">
            <v>x</v>
          </cell>
          <cell r="X130" t="str">
            <v>x</v>
          </cell>
          <cell r="Y130" t="str">
            <v>x</v>
          </cell>
          <cell r="Z130" t="str">
            <v>x</v>
          </cell>
          <cell r="AA130" t="str">
            <v>x</v>
          </cell>
          <cell r="AC130" t="str">
            <v>x</v>
          </cell>
          <cell r="AD130" t="str">
            <v>x</v>
          </cell>
          <cell r="AE130" t="str">
            <v>x</v>
          </cell>
          <cell r="AF130" t="str">
            <v>x</v>
          </cell>
          <cell r="AG130" t="str">
            <v>x</v>
          </cell>
          <cell r="AH130" t="str">
            <v>x</v>
          </cell>
          <cell r="AJ130" t="str">
            <v>x</v>
          </cell>
          <cell r="AK130" t="str">
            <v>x</v>
          </cell>
          <cell r="AL130" t="str">
            <v>x</v>
          </cell>
          <cell r="AM130">
            <v>24.5</v>
          </cell>
          <cell r="AN130">
            <v>0.5</v>
          </cell>
        </row>
        <row r="131">
          <cell r="C131">
            <v>50380</v>
          </cell>
          <cell r="D131">
            <v>44410</v>
          </cell>
          <cell r="E131">
            <v>44470</v>
          </cell>
          <cell r="F131" t="str">
            <v>H.thiện</v>
          </cell>
          <cell r="H131" t="str">
            <v>LT</v>
          </cell>
          <cell r="J131" t="str">
            <v>x</v>
          </cell>
          <cell r="K131" t="str">
            <v>x</v>
          </cell>
          <cell r="L131" t="str">
            <v>x/2</v>
          </cell>
          <cell r="M131" t="str">
            <v>x</v>
          </cell>
          <cell r="O131" t="str">
            <v>x</v>
          </cell>
          <cell r="P131" t="str">
            <v>x</v>
          </cell>
          <cell r="Q131" t="str">
            <v>x</v>
          </cell>
          <cell r="R131" t="str">
            <v>x</v>
          </cell>
          <cell r="S131" t="str">
            <v>x</v>
          </cell>
          <cell r="T131" t="str">
            <v>x</v>
          </cell>
          <cell r="U131" t="str">
            <v>x/2</v>
          </cell>
          <cell r="V131" t="str">
            <v>x</v>
          </cell>
          <cell r="W131" t="str">
            <v>x</v>
          </cell>
          <cell r="X131" t="str">
            <v>x</v>
          </cell>
          <cell r="Y131" t="str">
            <v>x</v>
          </cell>
          <cell r="Z131" t="str">
            <v>x</v>
          </cell>
          <cell r="AA131" t="str">
            <v>x</v>
          </cell>
          <cell r="AC131" t="str">
            <v>x</v>
          </cell>
          <cell r="AD131" t="str">
            <v>x</v>
          </cell>
          <cell r="AE131" t="str">
            <v>x</v>
          </cell>
          <cell r="AF131" t="str">
            <v>x</v>
          </cell>
          <cell r="AG131" t="str">
            <v>x</v>
          </cell>
          <cell r="AH131" t="str">
            <v>x</v>
          </cell>
          <cell r="AJ131" t="str">
            <v>x</v>
          </cell>
          <cell r="AK131" t="str">
            <v>x</v>
          </cell>
          <cell r="AL131" t="str">
            <v>x</v>
          </cell>
          <cell r="AM131">
            <v>24.5</v>
          </cell>
          <cell r="AN131">
            <v>0.5</v>
          </cell>
        </row>
        <row r="132">
          <cell r="C132">
            <v>50382</v>
          </cell>
          <cell r="D132">
            <v>44411</v>
          </cell>
          <cell r="E132">
            <v>44470</v>
          </cell>
          <cell r="F132" t="str">
            <v xml:space="preserve">Tổ 7 </v>
          </cell>
          <cell r="H132" t="str">
            <v>LT</v>
          </cell>
          <cell r="J132" t="str">
            <v>x</v>
          </cell>
          <cell r="K132" t="str">
            <v>x</v>
          </cell>
          <cell r="L132" t="str">
            <v>x</v>
          </cell>
          <cell r="M132" t="str">
            <v>x</v>
          </cell>
          <cell r="O132" t="str">
            <v>x</v>
          </cell>
          <cell r="P132" t="str">
            <v>x</v>
          </cell>
          <cell r="Q132" t="str">
            <v>x</v>
          </cell>
          <cell r="R132" t="str">
            <v>x</v>
          </cell>
          <cell r="S132" t="str">
            <v>x</v>
          </cell>
          <cell r="T132" t="str">
            <v>x</v>
          </cell>
          <cell r="V132" t="str">
            <v>x</v>
          </cell>
          <cell r="W132" t="str">
            <v>x</v>
          </cell>
          <cell r="X132" t="str">
            <v>x</v>
          </cell>
          <cell r="Y132" t="str">
            <v>x</v>
          </cell>
          <cell r="Z132" t="str">
            <v>x</v>
          </cell>
          <cell r="AA132" t="str">
            <v>x</v>
          </cell>
          <cell r="AC132" t="str">
            <v>x</v>
          </cell>
          <cell r="AD132" t="str">
            <v>x</v>
          </cell>
          <cell r="AE132" t="str">
            <v>x</v>
          </cell>
          <cell r="AF132" t="str">
            <v>x</v>
          </cell>
          <cell r="AG132" t="str">
            <v>x</v>
          </cell>
          <cell r="AH132" t="str">
            <v>x</v>
          </cell>
          <cell r="AJ132" t="str">
            <v>x</v>
          </cell>
          <cell r="AK132" t="str">
            <v>x</v>
          </cell>
          <cell r="AL132" t="str">
            <v>x</v>
          </cell>
          <cell r="AM132">
            <v>25</v>
          </cell>
          <cell r="AN132">
            <v>0</v>
          </cell>
        </row>
        <row r="133">
          <cell r="C133">
            <v>50386</v>
          </cell>
          <cell r="D133">
            <v>44412</v>
          </cell>
          <cell r="E133">
            <v>44470</v>
          </cell>
          <cell r="F133" t="str">
            <v>Cắt</v>
          </cell>
          <cell r="H133" t="str">
            <v>LT</v>
          </cell>
          <cell r="J133" t="str">
            <v>x</v>
          </cell>
          <cell r="K133" t="str">
            <v>x</v>
          </cell>
          <cell r="L133" t="str">
            <v>x</v>
          </cell>
          <cell r="M133" t="str">
            <v>x</v>
          </cell>
          <cell r="O133" t="str">
            <v>x</v>
          </cell>
          <cell r="P133" t="str">
            <v>x</v>
          </cell>
          <cell r="Q133" t="str">
            <v>x</v>
          </cell>
          <cell r="R133" t="str">
            <v>x</v>
          </cell>
          <cell r="S133" t="str">
            <v>x</v>
          </cell>
          <cell r="T133" t="str">
            <v>x</v>
          </cell>
          <cell r="V133" t="str">
            <v>x</v>
          </cell>
          <cell r="W133" t="str">
            <v>x</v>
          </cell>
          <cell r="X133" t="str">
            <v>x</v>
          </cell>
          <cell r="Y133" t="str">
            <v>x</v>
          </cell>
          <cell r="Z133" t="str">
            <v>x</v>
          </cell>
          <cell r="AA133" t="str">
            <v>x</v>
          </cell>
          <cell r="AC133" t="str">
            <v>x</v>
          </cell>
          <cell r="AD133" t="str">
            <v>x</v>
          </cell>
          <cell r="AE133" t="str">
            <v>x</v>
          </cell>
          <cell r="AF133" t="str">
            <v>x</v>
          </cell>
          <cell r="AG133" t="str">
            <v>x</v>
          </cell>
          <cell r="AH133" t="str">
            <v>x</v>
          </cell>
          <cell r="AJ133" t="str">
            <v>x</v>
          </cell>
          <cell r="AK133" t="str">
            <v>x</v>
          </cell>
          <cell r="AL133" t="str">
            <v>x</v>
          </cell>
          <cell r="AM133">
            <v>25</v>
          </cell>
          <cell r="AN133">
            <v>0</v>
          </cell>
        </row>
        <row r="134">
          <cell r="C134">
            <v>50389</v>
          </cell>
          <cell r="D134">
            <v>44413</v>
          </cell>
          <cell r="E134">
            <v>44470</v>
          </cell>
          <cell r="F134" t="str">
            <v>Cắt</v>
          </cell>
          <cell r="H134" t="str">
            <v>LT</v>
          </cell>
          <cell r="J134" t="str">
            <v>x</v>
          </cell>
          <cell r="K134" t="str">
            <v>x</v>
          </cell>
          <cell r="L134" t="str">
            <v>x</v>
          </cell>
          <cell r="M134" t="str">
            <v>x</v>
          </cell>
          <cell r="O134" t="str">
            <v>x</v>
          </cell>
          <cell r="P134" t="str">
            <v>x</v>
          </cell>
          <cell r="Q134" t="str">
            <v>x</v>
          </cell>
          <cell r="R134" t="str">
            <v>x</v>
          </cell>
          <cell r="S134" t="str">
            <v>x</v>
          </cell>
          <cell r="T134" t="str">
            <v>x</v>
          </cell>
          <cell r="U134" t="str">
            <v>x/2</v>
          </cell>
          <cell r="V134" t="str">
            <v>x</v>
          </cell>
          <cell r="W134" t="str">
            <v>x</v>
          </cell>
          <cell r="X134" t="str">
            <v>x</v>
          </cell>
          <cell r="Y134" t="str">
            <v>x</v>
          </cell>
          <cell r="Z134" t="str">
            <v>x/2</v>
          </cell>
          <cell r="AA134" t="str">
            <v>x</v>
          </cell>
          <cell r="AC134" t="str">
            <v>x</v>
          </cell>
          <cell r="AD134" t="str">
            <v>x</v>
          </cell>
          <cell r="AE134" t="str">
            <v>x</v>
          </cell>
          <cell r="AF134" t="str">
            <v>x</v>
          </cell>
          <cell r="AG134" t="str">
            <v>x</v>
          </cell>
          <cell r="AH134" t="str">
            <v>x</v>
          </cell>
          <cell r="AJ134" t="str">
            <v>x</v>
          </cell>
          <cell r="AK134" t="str">
            <v>x</v>
          </cell>
          <cell r="AL134" t="str">
            <v>x</v>
          </cell>
          <cell r="AM134">
            <v>24.5</v>
          </cell>
          <cell r="AN134">
            <v>0.5</v>
          </cell>
        </row>
        <row r="135">
          <cell r="C135">
            <v>50394</v>
          </cell>
          <cell r="D135">
            <v>44414</v>
          </cell>
          <cell r="E135">
            <v>44470</v>
          </cell>
          <cell r="F135" t="str">
            <v>Tổ Sơ mi 2</v>
          </cell>
          <cell r="H135" t="str">
            <v>LT</v>
          </cell>
          <cell r="J135" t="str">
            <v>x</v>
          </cell>
          <cell r="K135" t="str">
            <v>x</v>
          </cell>
          <cell r="L135" t="str">
            <v>x</v>
          </cell>
          <cell r="M135" t="str">
            <v>x</v>
          </cell>
          <cell r="O135" t="str">
            <v>x</v>
          </cell>
          <cell r="P135" t="str">
            <v>Ô</v>
          </cell>
          <cell r="Q135" t="str">
            <v>Ô</v>
          </cell>
          <cell r="R135" t="str">
            <v>Ô</v>
          </cell>
          <cell r="S135" t="str">
            <v>Ô</v>
          </cell>
          <cell r="T135" t="str">
            <v>Ô</v>
          </cell>
          <cell r="V135" t="str">
            <v>Ô</v>
          </cell>
          <cell r="W135" t="str">
            <v>Ô</v>
          </cell>
          <cell r="X135" t="str">
            <v>Ô</v>
          </cell>
          <cell r="Y135" t="str">
            <v>Ô</v>
          </cell>
          <cell r="Z135" t="str">
            <v>Ô</v>
          </cell>
          <cell r="AA135" t="str">
            <v>Ô</v>
          </cell>
          <cell r="AC135" t="str">
            <v>x</v>
          </cell>
          <cell r="AD135" t="str">
            <v>x</v>
          </cell>
          <cell r="AE135" t="str">
            <v>x</v>
          </cell>
          <cell r="AF135" t="str">
            <v>x</v>
          </cell>
          <cell r="AG135" t="str">
            <v>x</v>
          </cell>
          <cell r="AH135" t="str">
            <v>x</v>
          </cell>
          <cell r="AJ135" t="str">
            <v>x</v>
          </cell>
          <cell r="AK135" t="str">
            <v>x</v>
          </cell>
          <cell r="AL135" t="str">
            <v>x</v>
          </cell>
          <cell r="AM135">
            <v>14</v>
          </cell>
          <cell r="AN135">
            <v>0</v>
          </cell>
        </row>
        <row r="136">
          <cell r="C136">
            <v>50417</v>
          </cell>
          <cell r="D136">
            <v>44419</v>
          </cell>
          <cell r="E136">
            <v>44470</v>
          </cell>
          <cell r="F136" t="str">
            <v>Bếp ăn</v>
          </cell>
          <cell r="H136" t="str">
            <v>LT</v>
          </cell>
          <cell r="J136" t="str">
            <v>x</v>
          </cell>
          <cell r="K136" t="str">
            <v>x</v>
          </cell>
          <cell r="L136" t="str">
            <v>x</v>
          </cell>
          <cell r="M136" t="str">
            <v>x</v>
          </cell>
          <cell r="O136" t="str">
            <v>x</v>
          </cell>
          <cell r="P136" t="str">
            <v>x</v>
          </cell>
          <cell r="Q136" t="str">
            <v>x</v>
          </cell>
          <cell r="R136" t="str">
            <v>x</v>
          </cell>
          <cell r="S136" t="str">
            <v>x</v>
          </cell>
          <cell r="T136" t="str">
            <v>x</v>
          </cell>
          <cell r="V136" t="str">
            <v>x</v>
          </cell>
          <cell r="W136" t="str">
            <v>x</v>
          </cell>
          <cell r="X136" t="str">
            <v>x</v>
          </cell>
          <cell r="Y136" t="str">
            <v>x</v>
          </cell>
          <cell r="Z136" t="str">
            <v>x</v>
          </cell>
          <cell r="AA136" t="str">
            <v>x</v>
          </cell>
          <cell r="AC136" t="str">
            <v>x</v>
          </cell>
          <cell r="AD136" t="str">
            <v>x</v>
          </cell>
          <cell r="AE136" t="str">
            <v>x</v>
          </cell>
          <cell r="AF136" t="str">
            <v>x</v>
          </cell>
          <cell r="AG136" t="str">
            <v>x</v>
          </cell>
          <cell r="AH136" t="str">
            <v>x</v>
          </cell>
          <cell r="AJ136" t="str">
            <v>x</v>
          </cell>
          <cell r="AK136" t="str">
            <v>x</v>
          </cell>
          <cell r="AL136" t="str">
            <v>x</v>
          </cell>
          <cell r="AM136">
            <v>25</v>
          </cell>
          <cell r="AN136">
            <v>0</v>
          </cell>
        </row>
        <row r="137">
          <cell r="C137">
            <v>50423</v>
          </cell>
          <cell r="D137">
            <v>44420</v>
          </cell>
          <cell r="E137">
            <v>44470</v>
          </cell>
          <cell r="F137" t="str">
            <v>Cắt</v>
          </cell>
          <cell r="H137" t="str">
            <v>LT</v>
          </cell>
          <cell r="J137" t="str">
            <v>x</v>
          </cell>
          <cell r="K137" t="str">
            <v>x</v>
          </cell>
          <cell r="L137" t="str">
            <v>x</v>
          </cell>
          <cell r="M137" t="str">
            <v>x</v>
          </cell>
          <cell r="O137" t="str">
            <v>x</v>
          </cell>
          <cell r="P137" t="str">
            <v>x</v>
          </cell>
          <cell r="Q137" t="str">
            <v>x</v>
          </cell>
          <cell r="R137" t="str">
            <v>x</v>
          </cell>
          <cell r="S137" t="str">
            <v>x</v>
          </cell>
          <cell r="T137" t="str">
            <v>x</v>
          </cell>
          <cell r="U137" t="str">
            <v>x/2</v>
          </cell>
          <cell r="V137" t="str">
            <v>x</v>
          </cell>
          <cell r="W137" t="str">
            <v>x</v>
          </cell>
          <cell r="X137" t="str">
            <v>x</v>
          </cell>
          <cell r="Y137" t="str">
            <v>x</v>
          </cell>
          <cell r="Z137" t="str">
            <v>x</v>
          </cell>
          <cell r="AA137" t="str">
            <v>x</v>
          </cell>
          <cell r="AC137" t="str">
            <v>x</v>
          </cell>
          <cell r="AD137" t="str">
            <v>x</v>
          </cell>
          <cell r="AE137" t="str">
            <v>x</v>
          </cell>
          <cell r="AF137" t="str">
            <v>x</v>
          </cell>
          <cell r="AG137" t="str">
            <v>x</v>
          </cell>
          <cell r="AH137" t="str">
            <v>x</v>
          </cell>
          <cell r="AJ137" t="str">
            <v>x</v>
          </cell>
          <cell r="AK137" t="str">
            <v>x</v>
          </cell>
          <cell r="AL137" t="str">
            <v>x</v>
          </cell>
          <cell r="AM137">
            <v>25</v>
          </cell>
          <cell r="AN137">
            <v>0.5</v>
          </cell>
        </row>
        <row r="138">
          <cell r="C138">
            <v>50454</v>
          </cell>
          <cell r="D138">
            <v>44426</v>
          </cell>
          <cell r="E138">
            <v>44470</v>
          </cell>
          <cell r="F138" t="str">
            <v>Tổ Sơ mi 1</v>
          </cell>
          <cell r="H138" t="str">
            <v>LT</v>
          </cell>
          <cell r="J138" t="str">
            <v>x</v>
          </cell>
          <cell r="K138" t="str">
            <v>x</v>
          </cell>
          <cell r="L138" t="str">
            <v>x</v>
          </cell>
          <cell r="M138" t="str">
            <v>x</v>
          </cell>
          <cell r="O138" t="str">
            <v>x</v>
          </cell>
          <cell r="P138" t="str">
            <v>x</v>
          </cell>
          <cell r="Q138" t="str">
            <v>x</v>
          </cell>
          <cell r="R138" t="str">
            <v>x</v>
          </cell>
          <cell r="S138" t="str">
            <v>x</v>
          </cell>
          <cell r="T138" t="str">
            <v>x</v>
          </cell>
          <cell r="V138" t="str">
            <v>x</v>
          </cell>
          <cell r="W138" t="str">
            <v>x</v>
          </cell>
          <cell r="X138" t="str">
            <v>x</v>
          </cell>
          <cell r="Y138" t="str">
            <v>x</v>
          </cell>
          <cell r="Z138" t="str">
            <v>x</v>
          </cell>
          <cell r="AA138" t="str">
            <v>x</v>
          </cell>
          <cell r="AC138" t="str">
            <v>x</v>
          </cell>
          <cell r="AD138" t="str">
            <v>x</v>
          </cell>
          <cell r="AE138" t="str">
            <v>x</v>
          </cell>
          <cell r="AF138" t="str">
            <v>x</v>
          </cell>
          <cell r="AG138" t="str">
            <v>x</v>
          </cell>
          <cell r="AH138" t="str">
            <v>x</v>
          </cell>
          <cell r="AJ138" t="str">
            <v>x</v>
          </cell>
          <cell r="AK138" t="str">
            <v>x</v>
          </cell>
          <cell r="AL138" t="str">
            <v>x</v>
          </cell>
          <cell r="AM138">
            <v>25</v>
          </cell>
          <cell r="AN138">
            <v>0</v>
          </cell>
        </row>
        <row r="139">
          <cell r="C139">
            <v>50460</v>
          </cell>
          <cell r="D139">
            <v>44424</v>
          </cell>
          <cell r="E139">
            <v>44470</v>
          </cell>
          <cell r="F139" t="str">
            <v>Tổ sơ mi 4</v>
          </cell>
          <cell r="H139" t="str">
            <v>LT</v>
          </cell>
          <cell r="J139" t="str">
            <v>x</v>
          </cell>
          <cell r="K139" t="str">
            <v>x</v>
          </cell>
          <cell r="L139" t="str">
            <v>x</v>
          </cell>
          <cell r="M139" t="str">
            <v>x</v>
          </cell>
          <cell r="O139" t="str">
            <v>x</v>
          </cell>
          <cell r="P139" t="str">
            <v>x</v>
          </cell>
          <cell r="Q139" t="str">
            <v>x</v>
          </cell>
          <cell r="R139" t="str">
            <v>x</v>
          </cell>
          <cell r="S139" t="str">
            <v>x</v>
          </cell>
          <cell r="T139" t="str">
            <v>x</v>
          </cell>
          <cell r="V139" t="str">
            <v>x</v>
          </cell>
          <cell r="W139" t="str">
            <v>x</v>
          </cell>
          <cell r="X139" t="str">
            <v>x</v>
          </cell>
          <cell r="Y139" t="str">
            <v>x</v>
          </cell>
          <cell r="Z139" t="str">
            <v>x</v>
          </cell>
          <cell r="AA139" t="str">
            <v>x</v>
          </cell>
          <cell r="AC139" t="str">
            <v>x</v>
          </cell>
          <cell r="AD139" t="str">
            <v>x</v>
          </cell>
          <cell r="AE139" t="str">
            <v>x</v>
          </cell>
          <cell r="AF139" t="str">
            <v>x</v>
          </cell>
          <cell r="AG139" t="str">
            <v>x</v>
          </cell>
          <cell r="AH139" t="str">
            <v>x/2</v>
          </cell>
          <cell r="AJ139" t="str">
            <v>Cô</v>
          </cell>
          <cell r="AK139" t="str">
            <v>Cô</v>
          </cell>
          <cell r="AL139" t="str">
            <v>Cô</v>
          </cell>
          <cell r="AM139">
            <v>21.5</v>
          </cell>
          <cell r="AN139">
            <v>0</v>
          </cell>
        </row>
        <row r="140">
          <cell r="C140">
            <v>50469</v>
          </cell>
          <cell r="D140">
            <v>44432</v>
          </cell>
          <cell r="E140">
            <v>44470</v>
          </cell>
          <cell r="F140" t="str">
            <v>Tổ 14</v>
          </cell>
          <cell r="G140" t="str">
            <v>Con nhỏ</v>
          </cell>
          <cell r="H140" t="str">
            <v>LT</v>
          </cell>
          <cell r="J140" t="str">
            <v>x</v>
          </cell>
          <cell r="K140" t="str">
            <v>x</v>
          </cell>
          <cell r="L140" t="str">
            <v>Cô</v>
          </cell>
          <cell r="M140" t="str">
            <v>x</v>
          </cell>
          <cell r="O140" t="str">
            <v>x</v>
          </cell>
          <cell r="P140" t="str">
            <v>x</v>
          </cell>
          <cell r="Q140" t="str">
            <v>x</v>
          </cell>
          <cell r="R140" t="str">
            <v>x</v>
          </cell>
          <cell r="S140" t="str">
            <v>x</v>
          </cell>
          <cell r="T140" t="str">
            <v>x</v>
          </cell>
          <cell r="V140" t="str">
            <v>x</v>
          </cell>
          <cell r="W140" t="str">
            <v>x</v>
          </cell>
          <cell r="X140" t="str">
            <v>x</v>
          </cell>
          <cell r="Y140" t="str">
            <v>x</v>
          </cell>
          <cell r="Z140" t="str">
            <v>x</v>
          </cell>
          <cell r="AA140" t="str">
            <v>x</v>
          </cell>
          <cell r="AC140" t="str">
            <v>x</v>
          </cell>
          <cell r="AD140" t="str">
            <v>x</v>
          </cell>
          <cell r="AE140" t="str">
            <v>x</v>
          </cell>
          <cell r="AF140" t="str">
            <v>Cô</v>
          </cell>
          <cell r="AG140" t="str">
            <v>Cô</v>
          </cell>
          <cell r="AH140" t="str">
            <v>Cô</v>
          </cell>
          <cell r="AJ140" t="str">
            <v>Cô</v>
          </cell>
          <cell r="AK140" t="str">
            <v>Cô</v>
          </cell>
          <cell r="AL140" t="str">
            <v>Cô</v>
          </cell>
          <cell r="AM140">
            <v>18</v>
          </cell>
          <cell r="AN140">
            <v>0</v>
          </cell>
        </row>
        <row r="141">
          <cell r="C141">
            <v>50473</v>
          </cell>
          <cell r="D141">
            <v>44432</v>
          </cell>
          <cell r="E141">
            <v>44470</v>
          </cell>
          <cell r="F141" t="str">
            <v>Kiểm hoá</v>
          </cell>
          <cell r="H141" t="str">
            <v>LT</v>
          </cell>
          <cell r="J141" t="str">
            <v>x</v>
          </cell>
          <cell r="K141" t="str">
            <v>x</v>
          </cell>
          <cell r="L141" t="str">
            <v>x</v>
          </cell>
          <cell r="M141" t="str">
            <v>x</v>
          </cell>
          <cell r="O141" t="str">
            <v>x</v>
          </cell>
          <cell r="P141" t="str">
            <v>x</v>
          </cell>
          <cell r="Q141" t="str">
            <v>x</v>
          </cell>
          <cell r="R141" t="str">
            <v>x</v>
          </cell>
          <cell r="S141" t="str">
            <v>x</v>
          </cell>
          <cell r="T141" t="str">
            <v>x</v>
          </cell>
          <cell r="U141" t="str">
            <v>x/2</v>
          </cell>
          <cell r="V141" t="str">
            <v>x</v>
          </cell>
          <cell r="W141" t="str">
            <v>x</v>
          </cell>
          <cell r="X141" t="str">
            <v>x</v>
          </cell>
          <cell r="Y141" t="str">
            <v>x</v>
          </cell>
          <cell r="Z141" t="str">
            <v>x</v>
          </cell>
          <cell r="AA141" t="str">
            <v>x</v>
          </cell>
          <cell r="AC141" t="str">
            <v>x</v>
          </cell>
          <cell r="AD141" t="str">
            <v>x</v>
          </cell>
          <cell r="AE141" t="str">
            <v>x</v>
          </cell>
          <cell r="AF141" t="str">
            <v>x</v>
          </cell>
          <cell r="AG141" t="str">
            <v>x</v>
          </cell>
          <cell r="AH141" t="str">
            <v>x</v>
          </cell>
          <cell r="AJ141" t="str">
            <v>x</v>
          </cell>
          <cell r="AK141" t="str">
            <v>x</v>
          </cell>
          <cell r="AL141" t="str">
            <v>x</v>
          </cell>
          <cell r="AM141">
            <v>25</v>
          </cell>
          <cell r="AN141">
            <v>0.5</v>
          </cell>
        </row>
        <row r="142">
          <cell r="C142">
            <v>50488</v>
          </cell>
          <cell r="D142">
            <v>44436</v>
          </cell>
          <cell r="E142">
            <v>44470</v>
          </cell>
          <cell r="F142" t="str">
            <v>Nghỉ thai sản</v>
          </cell>
          <cell r="H142" t="str">
            <v>TS</v>
          </cell>
          <cell r="J142" t="str">
            <v>TS</v>
          </cell>
          <cell r="K142" t="str">
            <v>TS</v>
          </cell>
          <cell r="L142" t="str">
            <v>TS</v>
          </cell>
          <cell r="M142" t="str">
            <v>TS</v>
          </cell>
          <cell r="O142" t="str">
            <v>TS</v>
          </cell>
          <cell r="P142" t="str">
            <v>TS</v>
          </cell>
          <cell r="Q142" t="str">
            <v>TS</v>
          </cell>
          <cell r="R142" t="str">
            <v>TS</v>
          </cell>
          <cell r="S142" t="str">
            <v>TS</v>
          </cell>
          <cell r="T142" t="str">
            <v>TS</v>
          </cell>
          <cell r="V142" t="str">
            <v>TS</v>
          </cell>
          <cell r="W142" t="str">
            <v>TS</v>
          </cell>
          <cell r="X142" t="str">
            <v>TS</v>
          </cell>
          <cell r="Y142" t="str">
            <v>TS</v>
          </cell>
          <cell r="Z142" t="str">
            <v>TS</v>
          </cell>
          <cell r="AA142" t="str">
            <v>TS</v>
          </cell>
          <cell r="AC142" t="str">
            <v>TS</v>
          </cell>
          <cell r="AD142" t="str">
            <v>TS</v>
          </cell>
          <cell r="AE142" t="str">
            <v>TS</v>
          </cell>
          <cell r="AF142" t="str">
            <v>TS</v>
          </cell>
          <cell r="AG142" t="str">
            <v>TS</v>
          </cell>
          <cell r="AH142" t="str">
            <v>TS</v>
          </cell>
          <cell r="AJ142" t="str">
            <v>TS</v>
          </cell>
          <cell r="AK142" t="str">
            <v>TS</v>
          </cell>
          <cell r="AL142" t="str">
            <v>TS</v>
          </cell>
          <cell r="AM142">
            <v>0</v>
          </cell>
          <cell r="AN142">
            <v>0</v>
          </cell>
        </row>
        <row r="143">
          <cell r="C143">
            <v>50497</v>
          </cell>
          <cell r="D143">
            <v>44442</v>
          </cell>
          <cell r="E143">
            <v>44470</v>
          </cell>
          <cell r="F143" t="str">
            <v>Tổ 9+10</v>
          </cell>
          <cell r="H143" t="str">
            <v>LT</v>
          </cell>
          <cell r="J143" t="str">
            <v>x</v>
          </cell>
          <cell r="K143" t="str">
            <v>x</v>
          </cell>
          <cell r="L143" t="str">
            <v>x</v>
          </cell>
          <cell r="M143" t="str">
            <v>x</v>
          </cell>
          <cell r="O143" t="str">
            <v>x</v>
          </cell>
          <cell r="P143" t="str">
            <v>x</v>
          </cell>
          <cell r="Q143" t="str">
            <v>x</v>
          </cell>
          <cell r="R143" t="str">
            <v>x</v>
          </cell>
          <cell r="S143" t="str">
            <v>x</v>
          </cell>
          <cell r="T143" t="str">
            <v>x</v>
          </cell>
          <cell r="V143" t="str">
            <v>x</v>
          </cell>
          <cell r="W143" t="str">
            <v>x</v>
          </cell>
          <cell r="X143" t="str">
            <v>x</v>
          </cell>
          <cell r="Y143" t="str">
            <v>F</v>
          </cell>
          <cell r="Z143" t="str">
            <v>R</v>
          </cell>
          <cell r="AA143" t="str">
            <v>x</v>
          </cell>
          <cell r="AC143" t="str">
            <v>x</v>
          </cell>
          <cell r="AD143" t="str">
            <v>x</v>
          </cell>
          <cell r="AE143" t="str">
            <v>x</v>
          </cell>
          <cell r="AF143" t="str">
            <v>x</v>
          </cell>
          <cell r="AG143" t="str">
            <v>x</v>
          </cell>
          <cell r="AH143" t="str">
            <v>x</v>
          </cell>
          <cell r="AJ143" t="str">
            <v>x</v>
          </cell>
          <cell r="AK143" t="str">
            <v>x</v>
          </cell>
          <cell r="AL143" t="str">
            <v>x</v>
          </cell>
          <cell r="AM143">
            <v>23</v>
          </cell>
          <cell r="AN143">
            <v>0</v>
          </cell>
        </row>
        <row r="144">
          <cell r="C144">
            <v>50518</v>
          </cell>
          <cell r="D144">
            <v>44446</v>
          </cell>
          <cell r="E144">
            <v>44470</v>
          </cell>
          <cell r="F144" t="str">
            <v>Cắt</v>
          </cell>
          <cell r="H144" t="str">
            <v>LT</v>
          </cell>
          <cell r="J144" t="str">
            <v>x</v>
          </cell>
          <cell r="K144" t="str">
            <v>x</v>
          </cell>
          <cell r="L144" t="str">
            <v>x</v>
          </cell>
          <cell r="M144" t="str">
            <v>x</v>
          </cell>
          <cell r="O144" t="str">
            <v>x</v>
          </cell>
          <cell r="P144" t="str">
            <v>x</v>
          </cell>
          <cell r="Q144" t="str">
            <v>x</v>
          </cell>
          <cell r="R144" t="str">
            <v>x</v>
          </cell>
          <cell r="S144" t="str">
            <v>x</v>
          </cell>
          <cell r="T144" t="str">
            <v>x</v>
          </cell>
          <cell r="U144" t="str">
            <v>x/2</v>
          </cell>
          <cell r="V144" t="str">
            <v>x</v>
          </cell>
          <cell r="W144" t="str">
            <v>x</v>
          </cell>
          <cell r="X144" t="str">
            <v>x</v>
          </cell>
          <cell r="Y144" t="str">
            <v>x</v>
          </cell>
          <cell r="Z144" t="str">
            <v>x</v>
          </cell>
          <cell r="AA144" t="str">
            <v>x</v>
          </cell>
          <cell r="AC144" t="str">
            <v>x</v>
          </cell>
          <cell r="AD144" t="str">
            <v>x</v>
          </cell>
          <cell r="AE144" t="str">
            <v>x</v>
          </cell>
          <cell r="AF144" t="str">
            <v>x</v>
          </cell>
          <cell r="AG144" t="str">
            <v>x</v>
          </cell>
          <cell r="AH144" t="str">
            <v>x</v>
          </cell>
          <cell r="AJ144" t="str">
            <v>x</v>
          </cell>
          <cell r="AK144" t="str">
            <v>x</v>
          </cell>
          <cell r="AL144" t="str">
            <v>x</v>
          </cell>
          <cell r="AM144">
            <v>25</v>
          </cell>
          <cell r="AN144">
            <v>0.5</v>
          </cell>
        </row>
        <row r="145">
          <cell r="C145">
            <v>50524</v>
          </cell>
          <cell r="D145">
            <v>44446</v>
          </cell>
          <cell r="E145">
            <v>44470</v>
          </cell>
          <cell r="F145" t="str">
            <v>Công vụ</v>
          </cell>
          <cell r="H145" t="str">
            <v>LT</v>
          </cell>
          <cell r="J145" t="str">
            <v>x</v>
          </cell>
          <cell r="K145" t="str">
            <v>x</v>
          </cell>
          <cell r="L145" t="str">
            <v>x</v>
          </cell>
          <cell r="M145" t="str">
            <v>x</v>
          </cell>
          <cell r="O145" t="str">
            <v>x</v>
          </cell>
          <cell r="P145" t="str">
            <v>x</v>
          </cell>
          <cell r="Q145" t="str">
            <v>x</v>
          </cell>
          <cell r="R145" t="str">
            <v>x</v>
          </cell>
          <cell r="S145" t="str">
            <v>x</v>
          </cell>
          <cell r="T145" t="str">
            <v>x</v>
          </cell>
          <cell r="V145" t="str">
            <v>x</v>
          </cell>
          <cell r="W145" t="str">
            <v>x</v>
          </cell>
          <cell r="X145" t="str">
            <v>x</v>
          </cell>
          <cell r="Y145" t="str">
            <v>x</v>
          </cell>
          <cell r="Z145" t="str">
            <v>x</v>
          </cell>
          <cell r="AA145" t="str">
            <v>x</v>
          </cell>
          <cell r="AC145" t="str">
            <v>x</v>
          </cell>
          <cell r="AD145" t="str">
            <v>x</v>
          </cell>
          <cell r="AE145" t="str">
            <v>x</v>
          </cell>
          <cell r="AF145" t="str">
            <v>x</v>
          </cell>
          <cell r="AG145" t="str">
            <v>x</v>
          </cell>
          <cell r="AH145" t="str">
            <v>x</v>
          </cell>
          <cell r="AJ145" t="str">
            <v>x</v>
          </cell>
          <cell r="AK145" t="str">
            <v>x</v>
          </cell>
          <cell r="AL145" t="str">
            <v>x</v>
          </cell>
          <cell r="AM145">
            <v>25</v>
          </cell>
          <cell r="AN145">
            <v>0</v>
          </cell>
        </row>
        <row r="146">
          <cell r="C146">
            <v>50584</v>
          </cell>
          <cell r="D146">
            <v>44409</v>
          </cell>
          <cell r="E146">
            <v>44470</v>
          </cell>
          <cell r="F146" t="str">
            <v>K.hoạch</v>
          </cell>
          <cell r="H146" t="str">
            <v>LT</v>
          </cell>
          <cell r="J146" t="str">
            <v>x</v>
          </cell>
          <cell r="K146" t="str">
            <v>x</v>
          </cell>
          <cell r="L146" t="str">
            <v>x</v>
          </cell>
          <cell r="M146" t="str">
            <v>x</v>
          </cell>
          <cell r="O146" t="str">
            <v>x</v>
          </cell>
          <cell r="P146" t="str">
            <v>x</v>
          </cell>
          <cell r="Q146" t="str">
            <v>x</v>
          </cell>
          <cell r="R146" t="str">
            <v>x</v>
          </cell>
          <cell r="S146" t="str">
            <v>x</v>
          </cell>
          <cell r="T146" t="str">
            <v>x</v>
          </cell>
          <cell r="V146" t="str">
            <v>x</v>
          </cell>
          <cell r="W146" t="str">
            <v>x</v>
          </cell>
          <cell r="X146" t="str">
            <v>x</v>
          </cell>
          <cell r="Y146" t="str">
            <v>x</v>
          </cell>
          <cell r="Z146" t="str">
            <v>x</v>
          </cell>
          <cell r="AA146" t="str">
            <v>x</v>
          </cell>
          <cell r="AC146" t="str">
            <v>x</v>
          </cell>
          <cell r="AD146" t="str">
            <v>x</v>
          </cell>
          <cell r="AE146" t="str">
            <v>x</v>
          </cell>
          <cell r="AF146" t="str">
            <v>x</v>
          </cell>
          <cell r="AG146" t="str">
            <v>x</v>
          </cell>
          <cell r="AH146" t="str">
            <v>x</v>
          </cell>
          <cell r="AJ146" t="str">
            <v>x</v>
          </cell>
          <cell r="AK146" t="str">
            <v>x</v>
          </cell>
          <cell r="AL146" t="str">
            <v>x</v>
          </cell>
          <cell r="AM146">
            <v>25</v>
          </cell>
          <cell r="AN146">
            <v>0</v>
          </cell>
        </row>
        <row r="147">
          <cell r="C147">
            <v>50319</v>
          </cell>
          <cell r="D147">
            <v>44399</v>
          </cell>
          <cell r="E147">
            <v>44501</v>
          </cell>
          <cell r="F147" t="str">
            <v>Cắt</v>
          </cell>
          <cell r="H147" t="str">
            <v>LT</v>
          </cell>
          <cell r="J147" t="str">
            <v>x</v>
          </cell>
          <cell r="K147" t="str">
            <v>x</v>
          </cell>
          <cell r="L147" t="str">
            <v>x</v>
          </cell>
          <cell r="M147" t="str">
            <v>x</v>
          </cell>
          <cell r="O147" t="str">
            <v>x</v>
          </cell>
          <cell r="P147" t="str">
            <v>x</v>
          </cell>
          <cell r="Q147" t="str">
            <v>x</v>
          </cell>
          <cell r="R147" t="str">
            <v>x</v>
          </cell>
          <cell r="S147" t="str">
            <v>x</v>
          </cell>
          <cell r="T147" t="str">
            <v>x</v>
          </cell>
          <cell r="V147" t="str">
            <v>x</v>
          </cell>
          <cell r="W147" t="str">
            <v>x</v>
          </cell>
          <cell r="X147" t="str">
            <v>x</v>
          </cell>
          <cell r="Y147" t="str">
            <v>x</v>
          </cell>
          <cell r="Z147" t="str">
            <v>x</v>
          </cell>
          <cell r="AA147" t="str">
            <v>x</v>
          </cell>
          <cell r="AC147" t="str">
            <v>x</v>
          </cell>
          <cell r="AD147" t="str">
            <v>x</v>
          </cell>
          <cell r="AE147" t="str">
            <v>x</v>
          </cell>
          <cell r="AF147" t="str">
            <v>x</v>
          </cell>
          <cell r="AG147" t="str">
            <v>x</v>
          </cell>
          <cell r="AH147" t="str">
            <v>x</v>
          </cell>
          <cell r="AJ147" t="str">
            <v>x</v>
          </cell>
          <cell r="AK147" t="str">
            <v>x</v>
          </cell>
          <cell r="AL147" t="str">
            <v>x</v>
          </cell>
          <cell r="AM147">
            <v>25</v>
          </cell>
          <cell r="AN147">
            <v>0</v>
          </cell>
        </row>
        <row r="148">
          <cell r="C148">
            <v>50339</v>
          </cell>
          <cell r="D148">
            <v>44404</v>
          </cell>
          <cell r="E148">
            <v>44501</v>
          </cell>
          <cell r="F148" t="str">
            <v>Tổ 5</v>
          </cell>
          <cell r="H148" t="str">
            <v>LT</v>
          </cell>
          <cell r="J148" t="str">
            <v>x</v>
          </cell>
          <cell r="K148" t="str">
            <v>x</v>
          </cell>
          <cell r="L148" t="str">
            <v>x</v>
          </cell>
          <cell r="M148" t="str">
            <v>x</v>
          </cell>
          <cell r="O148" t="str">
            <v>x</v>
          </cell>
          <cell r="P148" t="str">
            <v>x</v>
          </cell>
          <cell r="Q148" t="str">
            <v>x</v>
          </cell>
          <cell r="R148" t="str">
            <v>x</v>
          </cell>
          <cell r="S148" t="str">
            <v>x</v>
          </cell>
          <cell r="T148" t="str">
            <v>x</v>
          </cell>
          <cell r="V148" t="str">
            <v>x</v>
          </cell>
          <cell r="W148" t="str">
            <v>x</v>
          </cell>
          <cell r="X148" t="str">
            <v>x</v>
          </cell>
          <cell r="Y148" t="str">
            <v>x</v>
          </cell>
          <cell r="Z148" t="str">
            <v>x</v>
          </cell>
          <cell r="AA148" t="str">
            <v>x</v>
          </cell>
          <cell r="AC148" t="str">
            <v>x</v>
          </cell>
          <cell r="AD148" t="str">
            <v>x</v>
          </cell>
          <cell r="AE148" t="str">
            <v>x</v>
          </cell>
          <cell r="AF148" t="str">
            <v>x</v>
          </cell>
          <cell r="AG148" t="str">
            <v>x</v>
          </cell>
          <cell r="AH148" t="str">
            <v>x</v>
          </cell>
          <cell r="AJ148" t="str">
            <v>x/2</v>
          </cell>
          <cell r="AK148" t="str">
            <v>x</v>
          </cell>
          <cell r="AL148" t="str">
            <v>x</v>
          </cell>
          <cell r="AM148">
            <v>24.5</v>
          </cell>
          <cell r="AN148">
            <v>0</v>
          </cell>
        </row>
        <row r="149">
          <cell r="C149">
            <v>50343</v>
          </cell>
          <cell r="D149">
            <v>44404</v>
          </cell>
          <cell r="E149">
            <v>44501</v>
          </cell>
          <cell r="F149" t="str">
            <v>Tổ sơ mi 1</v>
          </cell>
          <cell r="H149" t="str">
            <v>LT</v>
          </cell>
          <cell r="J149" t="str">
            <v>x</v>
          </cell>
          <cell r="K149" t="str">
            <v>x</v>
          </cell>
          <cell r="L149" t="str">
            <v>x</v>
          </cell>
          <cell r="M149" t="str">
            <v>x</v>
          </cell>
          <cell r="O149" t="str">
            <v>x</v>
          </cell>
          <cell r="P149" t="str">
            <v>x</v>
          </cell>
          <cell r="Q149" t="str">
            <v>x</v>
          </cell>
          <cell r="R149" t="str">
            <v>x</v>
          </cell>
          <cell r="S149" t="str">
            <v>x</v>
          </cell>
          <cell r="T149" t="str">
            <v>x</v>
          </cell>
          <cell r="V149" t="str">
            <v>x</v>
          </cell>
          <cell r="W149" t="str">
            <v>x</v>
          </cell>
          <cell r="X149" t="str">
            <v>x</v>
          </cell>
          <cell r="Y149" t="str">
            <v>x</v>
          </cell>
          <cell r="Z149" t="str">
            <v>x</v>
          </cell>
          <cell r="AA149" t="str">
            <v>x</v>
          </cell>
          <cell r="AC149" t="str">
            <v>x</v>
          </cell>
          <cell r="AD149" t="str">
            <v>x</v>
          </cell>
          <cell r="AE149" t="str">
            <v>x</v>
          </cell>
          <cell r="AF149" t="str">
            <v>x</v>
          </cell>
          <cell r="AG149" t="str">
            <v>x</v>
          </cell>
          <cell r="AH149" t="str">
            <v>x</v>
          </cell>
          <cell r="AJ149" t="str">
            <v>x</v>
          </cell>
          <cell r="AK149" t="str">
            <v>x</v>
          </cell>
          <cell r="AL149" t="str">
            <v>x</v>
          </cell>
          <cell r="AM149">
            <v>25</v>
          </cell>
          <cell r="AN149">
            <v>0</v>
          </cell>
        </row>
        <row r="150">
          <cell r="C150">
            <v>50427</v>
          </cell>
          <cell r="D150">
            <v>44420</v>
          </cell>
          <cell r="E150">
            <v>44501</v>
          </cell>
          <cell r="F150" t="str">
            <v>Tổ 9+10</v>
          </cell>
          <cell r="H150" t="str">
            <v>LT</v>
          </cell>
          <cell r="J150" t="str">
            <v>x</v>
          </cell>
          <cell r="K150" t="str">
            <v>x</v>
          </cell>
          <cell r="L150" t="str">
            <v>x</v>
          </cell>
          <cell r="M150" t="str">
            <v>x</v>
          </cell>
          <cell r="O150" t="str">
            <v>x</v>
          </cell>
          <cell r="P150" t="str">
            <v>x</v>
          </cell>
          <cell r="Q150" t="str">
            <v>x</v>
          </cell>
          <cell r="R150" t="str">
            <v>x</v>
          </cell>
          <cell r="S150" t="str">
            <v>x</v>
          </cell>
          <cell r="T150" t="str">
            <v>x</v>
          </cell>
          <cell r="U150" t="str">
            <v>x/2</v>
          </cell>
          <cell r="V150" t="str">
            <v>x</v>
          </cell>
          <cell r="W150" t="str">
            <v>x</v>
          </cell>
          <cell r="X150" t="str">
            <v>x</v>
          </cell>
          <cell r="Y150" t="str">
            <v>x</v>
          </cell>
          <cell r="Z150" t="str">
            <v>x</v>
          </cell>
          <cell r="AA150" t="str">
            <v>x</v>
          </cell>
          <cell r="AC150" t="str">
            <v>x</v>
          </cell>
          <cell r="AD150" t="str">
            <v>x</v>
          </cell>
          <cell r="AE150" t="str">
            <v>x/2</v>
          </cell>
          <cell r="AF150" t="str">
            <v>x</v>
          </cell>
          <cell r="AG150" t="str">
            <v>x</v>
          </cell>
          <cell r="AH150" t="str">
            <v>x</v>
          </cell>
          <cell r="AJ150" t="str">
            <v>x</v>
          </cell>
          <cell r="AK150" t="str">
            <v>x</v>
          </cell>
          <cell r="AL150" t="str">
            <v>x</v>
          </cell>
          <cell r="AM150">
            <v>24.5</v>
          </cell>
          <cell r="AN150">
            <v>0.5</v>
          </cell>
        </row>
        <row r="151">
          <cell r="C151">
            <v>50446</v>
          </cell>
          <cell r="D151">
            <v>44424</v>
          </cell>
          <cell r="E151">
            <v>44501</v>
          </cell>
          <cell r="F151" t="str">
            <v>Kiểm hoá</v>
          </cell>
          <cell r="H151" t="str">
            <v>LT</v>
          </cell>
          <cell r="J151" t="str">
            <v>x</v>
          </cell>
          <cell r="K151" t="str">
            <v>x</v>
          </cell>
          <cell r="L151" t="str">
            <v>x</v>
          </cell>
          <cell r="M151" t="str">
            <v>x</v>
          </cell>
          <cell r="O151" t="str">
            <v>x</v>
          </cell>
          <cell r="P151" t="str">
            <v>x</v>
          </cell>
          <cell r="Q151" t="str">
            <v>x</v>
          </cell>
          <cell r="R151" t="str">
            <v>x</v>
          </cell>
          <cell r="S151" t="str">
            <v>x</v>
          </cell>
          <cell r="T151" t="str">
            <v>x</v>
          </cell>
          <cell r="V151" t="str">
            <v>x</v>
          </cell>
          <cell r="W151" t="str">
            <v>x</v>
          </cell>
          <cell r="X151" t="str">
            <v>x</v>
          </cell>
          <cell r="Y151" t="str">
            <v>x</v>
          </cell>
          <cell r="Z151" t="str">
            <v>x</v>
          </cell>
          <cell r="AA151" t="str">
            <v>x</v>
          </cell>
          <cell r="AC151" t="str">
            <v>x/2</v>
          </cell>
          <cell r="AD151" t="str">
            <v>x</v>
          </cell>
          <cell r="AE151" t="str">
            <v>x</v>
          </cell>
          <cell r="AF151" t="str">
            <v>x</v>
          </cell>
          <cell r="AG151" t="str">
            <v>x</v>
          </cell>
          <cell r="AH151" t="str">
            <v>x</v>
          </cell>
          <cell r="AJ151" t="str">
            <v>x</v>
          </cell>
          <cell r="AK151" t="str">
            <v>x</v>
          </cell>
          <cell r="AL151" t="str">
            <v>x</v>
          </cell>
          <cell r="AM151">
            <v>24.5</v>
          </cell>
          <cell r="AN151">
            <v>0</v>
          </cell>
        </row>
        <row r="152">
          <cell r="C152">
            <v>50477</v>
          </cell>
          <cell r="D152">
            <v>44434</v>
          </cell>
          <cell r="E152">
            <v>44501</v>
          </cell>
          <cell r="F152" t="str">
            <v xml:space="preserve">Tổ 6 </v>
          </cell>
          <cell r="H152" t="str">
            <v>LT</v>
          </cell>
          <cell r="J152" t="str">
            <v>x</v>
          </cell>
          <cell r="K152" t="str">
            <v>x</v>
          </cell>
          <cell r="L152" t="str">
            <v>x</v>
          </cell>
          <cell r="M152" t="str">
            <v>x</v>
          </cell>
          <cell r="O152" t="str">
            <v>x</v>
          </cell>
          <cell r="P152" t="str">
            <v>x</v>
          </cell>
          <cell r="Q152" t="str">
            <v>x</v>
          </cell>
          <cell r="R152" t="str">
            <v>x</v>
          </cell>
          <cell r="S152" t="str">
            <v>x</v>
          </cell>
          <cell r="T152" t="str">
            <v>x</v>
          </cell>
          <cell r="V152" t="str">
            <v>x</v>
          </cell>
          <cell r="W152" t="str">
            <v>x</v>
          </cell>
          <cell r="X152" t="str">
            <v>x</v>
          </cell>
          <cell r="Y152" t="str">
            <v>x</v>
          </cell>
          <cell r="Z152" t="str">
            <v>x</v>
          </cell>
          <cell r="AA152" t="str">
            <v>x</v>
          </cell>
          <cell r="AC152" t="str">
            <v>x</v>
          </cell>
          <cell r="AD152" t="str">
            <v>x</v>
          </cell>
          <cell r="AE152" t="str">
            <v>x</v>
          </cell>
          <cell r="AF152" t="str">
            <v>x</v>
          </cell>
          <cell r="AG152" t="str">
            <v>x</v>
          </cell>
          <cell r="AH152" t="str">
            <v>x</v>
          </cell>
          <cell r="AJ152" t="str">
            <v>x</v>
          </cell>
          <cell r="AK152" t="str">
            <v>x</v>
          </cell>
          <cell r="AL152" t="str">
            <v>x</v>
          </cell>
          <cell r="AM152">
            <v>25</v>
          </cell>
          <cell r="AN152">
            <v>0</v>
          </cell>
        </row>
        <row r="153">
          <cell r="C153">
            <v>50482</v>
          </cell>
          <cell r="D153">
            <v>44434</v>
          </cell>
          <cell r="E153">
            <v>44501</v>
          </cell>
          <cell r="F153" t="str">
            <v>Tổ 9+10</v>
          </cell>
          <cell r="H153" t="str">
            <v>LT</v>
          </cell>
          <cell r="J153" t="str">
            <v>x</v>
          </cell>
          <cell r="K153" t="str">
            <v>x</v>
          </cell>
          <cell r="L153" t="str">
            <v>x</v>
          </cell>
          <cell r="M153" t="str">
            <v>x</v>
          </cell>
          <cell r="O153" t="str">
            <v>x</v>
          </cell>
          <cell r="P153" t="str">
            <v>x</v>
          </cell>
          <cell r="Q153" t="str">
            <v>x</v>
          </cell>
          <cell r="R153" t="str">
            <v>x</v>
          </cell>
          <cell r="S153" t="str">
            <v>x</v>
          </cell>
          <cell r="T153" t="str">
            <v>x</v>
          </cell>
          <cell r="V153" t="str">
            <v>x</v>
          </cell>
          <cell r="W153" t="str">
            <v>x</v>
          </cell>
          <cell r="X153" t="str">
            <v>x</v>
          </cell>
          <cell r="Y153" t="str">
            <v>x</v>
          </cell>
          <cell r="Z153" t="str">
            <v>x</v>
          </cell>
          <cell r="AA153" t="str">
            <v>x</v>
          </cell>
          <cell r="AC153" t="str">
            <v>x</v>
          </cell>
          <cell r="AD153" t="str">
            <v>x</v>
          </cell>
          <cell r="AE153" t="str">
            <v>x</v>
          </cell>
          <cell r="AF153" t="str">
            <v>x</v>
          </cell>
          <cell r="AG153" t="str">
            <v>x</v>
          </cell>
          <cell r="AH153" t="str">
            <v>x</v>
          </cell>
          <cell r="AJ153" t="str">
            <v>x</v>
          </cell>
          <cell r="AK153" t="str">
            <v>x</v>
          </cell>
          <cell r="AL153" t="str">
            <v>x</v>
          </cell>
          <cell r="AM153">
            <v>25</v>
          </cell>
          <cell r="AN153">
            <v>0</v>
          </cell>
        </row>
        <row r="154">
          <cell r="C154">
            <v>50511</v>
          </cell>
          <cell r="D154">
            <v>44445</v>
          </cell>
          <cell r="E154">
            <v>44501</v>
          </cell>
          <cell r="F154" t="str">
            <v>K.hoạch</v>
          </cell>
          <cell r="H154" t="str">
            <v>LT</v>
          </cell>
          <cell r="J154" t="str">
            <v>x</v>
          </cell>
          <cell r="K154" t="str">
            <v>x</v>
          </cell>
          <cell r="L154" t="str">
            <v>x</v>
          </cell>
          <cell r="M154" t="str">
            <v>x</v>
          </cell>
          <cell r="O154" t="str">
            <v>x</v>
          </cell>
          <cell r="P154" t="str">
            <v>x</v>
          </cell>
          <cell r="Q154" t="str">
            <v>x</v>
          </cell>
          <cell r="R154" t="str">
            <v>x</v>
          </cell>
          <cell r="S154" t="str">
            <v>x</v>
          </cell>
          <cell r="T154" t="str">
            <v>x</v>
          </cell>
          <cell r="V154" t="str">
            <v>x</v>
          </cell>
          <cell r="W154" t="str">
            <v>x</v>
          </cell>
          <cell r="X154" t="str">
            <v>x</v>
          </cell>
          <cell r="Y154" t="str">
            <v>x</v>
          </cell>
          <cell r="Z154" t="str">
            <v>x</v>
          </cell>
          <cell r="AA154" t="str">
            <v>x</v>
          </cell>
          <cell r="AC154" t="str">
            <v>x</v>
          </cell>
          <cell r="AD154" t="str">
            <v>x</v>
          </cell>
          <cell r="AE154" t="str">
            <v>x</v>
          </cell>
          <cell r="AF154" t="str">
            <v>x</v>
          </cell>
          <cell r="AG154" t="str">
            <v>x</v>
          </cell>
          <cell r="AH154" t="str">
            <v>x</v>
          </cell>
          <cell r="AJ154" t="str">
            <v>x</v>
          </cell>
          <cell r="AK154" t="str">
            <v>x</v>
          </cell>
          <cell r="AL154" t="str">
            <v>x</v>
          </cell>
          <cell r="AM154">
            <v>25</v>
          </cell>
          <cell r="AN154">
            <v>0</v>
          </cell>
        </row>
        <row r="155">
          <cell r="C155">
            <v>50522</v>
          </cell>
          <cell r="D155">
            <v>44446</v>
          </cell>
          <cell r="E155">
            <v>44501</v>
          </cell>
          <cell r="F155" t="str">
            <v>Tổ 5</v>
          </cell>
          <cell r="H155" t="str">
            <v>LT</v>
          </cell>
          <cell r="J155" t="str">
            <v>F</v>
          </cell>
          <cell r="K155" t="str">
            <v>x</v>
          </cell>
          <cell r="L155" t="str">
            <v>x</v>
          </cell>
          <cell r="M155" t="str">
            <v>x</v>
          </cell>
          <cell r="O155" t="str">
            <v>x</v>
          </cell>
          <cell r="P155" t="str">
            <v>x</v>
          </cell>
          <cell r="Q155" t="str">
            <v>x</v>
          </cell>
          <cell r="R155" t="str">
            <v>x</v>
          </cell>
          <cell r="S155" t="str">
            <v>x</v>
          </cell>
          <cell r="T155" t="str">
            <v>x</v>
          </cell>
          <cell r="V155" t="str">
            <v>x</v>
          </cell>
          <cell r="W155" t="str">
            <v>x</v>
          </cell>
          <cell r="X155" t="str">
            <v>x</v>
          </cell>
          <cell r="Y155" t="str">
            <v>x</v>
          </cell>
          <cell r="Z155" t="str">
            <v>x</v>
          </cell>
          <cell r="AA155" t="str">
            <v>x</v>
          </cell>
          <cell r="AC155" t="str">
            <v>x</v>
          </cell>
          <cell r="AD155" t="str">
            <v>x</v>
          </cell>
          <cell r="AE155" t="str">
            <v>x</v>
          </cell>
          <cell r="AF155" t="str">
            <v>x</v>
          </cell>
          <cell r="AG155" t="str">
            <v>x</v>
          </cell>
          <cell r="AH155" t="str">
            <v>x</v>
          </cell>
          <cell r="AJ155" t="str">
            <v>x</v>
          </cell>
          <cell r="AK155" t="str">
            <v>x</v>
          </cell>
          <cell r="AL155" t="str">
            <v>x</v>
          </cell>
          <cell r="AM155">
            <v>24</v>
          </cell>
          <cell r="AN155">
            <v>0</v>
          </cell>
        </row>
        <row r="156">
          <cell r="C156">
            <v>50528</v>
          </cell>
          <cell r="D156">
            <v>44448</v>
          </cell>
          <cell r="E156">
            <v>44501</v>
          </cell>
          <cell r="F156" t="str">
            <v xml:space="preserve">Tổ 7 </v>
          </cell>
          <cell r="H156" t="str">
            <v>LT</v>
          </cell>
          <cell r="J156" t="str">
            <v>x</v>
          </cell>
          <cell r="K156" t="str">
            <v>x</v>
          </cell>
          <cell r="L156" t="str">
            <v>x</v>
          </cell>
          <cell r="M156" t="str">
            <v>x</v>
          </cell>
          <cell r="O156" t="str">
            <v>x</v>
          </cell>
          <cell r="P156" t="str">
            <v>x</v>
          </cell>
          <cell r="Q156" t="str">
            <v>x</v>
          </cell>
          <cell r="R156" t="str">
            <v>x</v>
          </cell>
          <cell r="S156" t="str">
            <v>x</v>
          </cell>
          <cell r="T156" t="str">
            <v>x</v>
          </cell>
          <cell r="V156" t="str">
            <v>x</v>
          </cell>
          <cell r="W156" t="str">
            <v>x</v>
          </cell>
          <cell r="X156" t="str">
            <v>x</v>
          </cell>
          <cell r="Y156" t="str">
            <v>x</v>
          </cell>
          <cell r="Z156" t="str">
            <v>x</v>
          </cell>
          <cell r="AA156" t="str">
            <v>x</v>
          </cell>
          <cell r="AC156" t="str">
            <v>x</v>
          </cell>
          <cell r="AD156" t="str">
            <v>x</v>
          </cell>
          <cell r="AE156" t="str">
            <v>x</v>
          </cell>
          <cell r="AF156" t="str">
            <v>x</v>
          </cell>
          <cell r="AG156" t="str">
            <v>x</v>
          </cell>
          <cell r="AH156" t="str">
            <v>x</v>
          </cell>
          <cell r="AJ156" t="str">
            <v>x</v>
          </cell>
          <cell r="AK156" t="str">
            <v>x</v>
          </cell>
          <cell r="AL156" t="str">
            <v>x</v>
          </cell>
          <cell r="AM156">
            <v>25</v>
          </cell>
          <cell r="AN156">
            <v>0</v>
          </cell>
        </row>
        <row r="157">
          <cell r="C157">
            <v>50541</v>
          </cell>
          <cell r="D157">
            <v>44454</v>
          </cell>
          <cell r="E157">
            <v>44501</v>
          </cell>
          <cell r="F157" t="str">
            <v>Tổ 5</v>
          </cell>
          <cell r="H157" t="str">
            <v>LT</v>
          </cell>
          <cell r="J157" t="str">
            <v>x</v>
          </cell>
          <cell r="K157" t="str">
            <v>x</v>
          </cell>
          <cell r="L157" t="str">
            <v>x</v>
          </cell>
          <cell r="M157" t="str">
            <v>x</v>
          </cell>
          <cell r="O157" t="str">
            <v>x</v>
          </cell>
          <cell r="P157" t="str">
            <v>x</v>
          </cell>
          <cell r="Q157" t="str">
            <v>x</v>
          </cell>
          <cell r="R157" t="str">
            <v>x</v>
          </cell>
          <cell r="S157" t="str">
            <v>x</v>
          </cell>
          <cell r="T157" t="str">
            <v>x</v>
          </cell>
          <cell r="V157" t="str">
            <v>x</v>
          </cell>
          <cell r="W157" t="str">
            <v>x</v>
          </cell>
          <cell r="X157" t="str">
            <v>x</v>
          </cell>
          <cell r="Y157" t="str">
            <v>x</v>
          </cell>
          <cell r="Z157" t="str">
            <v>x</v>
          </cell>
          <cell r="AA157" t="str">
            <v>x</v>
          </cell>
          <cell r="AC157" t="str">
            <v>x</v>
          </cell>
          <cell r="AD157" t="str">
            <v>x</v>
          </cell>
          <cell r="AE157" t="str">
            <v>x</v>
          </cell>
          <cell r="AF157" t="str">
            <v>x</v>
          </cell>
          <cell r="AG157" t="str">
            <v>x</v>
          </cell>
          <cell r="AH157" t="str">
            <v>x</v>
          </cell>
          <cell r="AI157" t="str">
            <v>x/2</v>
          </cell>
          <cell r="AJ157" t="str">
            <v>x</v>
          </cell>
          <cell r="AK157" t="str">
            <v>x</v>
          </cell>
          <cell r="AL157" t="str">
            <v>x</v>
          </cell>
          <cell r="AM157">
            <v>25</v>
          </cell>
          <cell r="AN157">
            <v>0.5</v>
          </cell>
        </row>
        <row r="158">
          <cell r="C158">
            <v>50544</v>
          </cell>
          <cell r="D158">
            <v>44455</v>
          </cell>
          <cell r="E158">
            <v>44501</v>
          </cell>
          <cell r="F158" t="str">
            <v>Cắt</v>
          </cell>
          <cell r="H158" t="str">
            <v>LT</v>
          </cell>
          <cell r="J158" t="str">
            <v>x</v>
          </cell>
          <cell r="K158" t="str">
            <v>x</v>
          </cell>
          <cell r="L158" t="str">
            <v>F</v>
          </cell>
          <cell r="M158" t="str">
            <v>x</v>
          </cell>
          <cell r="O158" t="str">
            <v>x</v>
          </cell>
          <cell r="P158" t="str">
            <v>x</v>
          </cell>
          <cell r="Q158" t="str">
            <v>x</v>
          </cell>
          <cell r="R158" t="str">
            <v>x</v>
          </cell>
          <cell r="S158" t="str">
            <v>Ro</v>
          </cell>
          <cell r="T158" t="str">
            <v>Ro</v>
          </cell>
          <cell r="V158" t="str">
            <v>x</v>
          </cell>
          <cell r="W158" t="str">
            <v>x</v>
          </cell>
          <cell r="X158" t="str">
            <v>x/2</v>
          </cell>
          <cell r="Y158" t="str">
            <v>x/2</v>
          </cell>
          <cell r="Z158" t="str">
            <v>x</v>
          </cell>
          <cell r="AA158" t="str">
            <v>x</v>
          </cell>
          <cell r="AC158" t="str">
            <v>x</v>
          </cell>
          <cell r="AD158" t="str">
            <v>x</v>
          </cell>
          <cell r="AE158" t="str">
            <v>x</v>
          </cell>
          <cell r="AF158" t="str">
            <v>x</v>
          </cell>
          <cell r="AG158" t="str">
            <v>x</v>
          </cell>
          <cell r="AH158" t="str">
            <v>x</v>
          </cell>
          <cell r="AJ158" t="str">
            <v>Ô</v>
          </cell>
          <cell r="AK158" t="str">
            <v>Ô</v>
          </cell>
          <cell r="AL158" t="str">
            <v>x</v>
          </cell>
          <cell r="AM158">
            <v>19</v>
          </cell>
          <cell r="AN158">
            <v>0</v>
          </cell>
        </row>
        <row r="159">
          <cell r="C159">
            <v>50547</v>
          </cell>
          <cell r="D159">
            <v>44455</v>
          </cell>
          <cell r="E159">
            <v>44501</v>
          </cell>
          <cell r="F159" t="str">
            <v>VP</v>
          </cell>
          <cell r="H159" t="str">
            <v>LT</v>
          </cell>
          <cell r="J159" t="str">
            <v>x</v>
          </cell>
          <cell r="K159" t="str">
            <v>x</v>
          </cell>
          <cell r="L159" t="str">
            <v>x</v>
          </cell>
          <cell r="M159" t="str">
            <v>x</v>
          </cell>
          <cell r="O159" t="str">
            <v>x</v>
          </cell>
          <cell r="P159" t="str">
            <v>x</v>
          </cell>
          <cell r="Q159" t="str">
            <v>x</v>
          </cell>
          <cell r="R159" t="str">
            <v>x</v>
          </cell>
          <cell r="S159" t="str">
            <v>x</v>
          </cell>
          <cell r="T159" t="str">
            <v>x</v>
          </cell>
          <cell r="U159" t="str">
            <v>x/2</v>
          </cell>
          <cell r="V159" t="str">
            <v>x</v>
          </cell>
          <cell r="W159" t="str">
            <v>x</v>
          </cell>
          <cell r="X159" t="str">
            <v>x</v>
          </cell>
          <cell r="Y159" t="str">
            <v>x</v>
          </cell>
          <cell r="Z159" t="str">
            <v>x</v>
          </cell>
          <cell r="AA159" t="str">
            <v>x</v>
          </cell>
          <cell r="AC159" t="str">
            <v>x</v>
          </cell>
          <cell r="AD159" t="str">
            <v>x</v>
          </cell>
          <cell r="AE159" t="str">
            <v>x</v>
          </cell>
          <cell r="AF159" t="str">
            <v>x</v>
          </cell>
          <cell r="AG159" t="str">
            <v>x</v>
          </cell>
          <cell r="AH159" t="str">
            <v>x</v>
          </cell>
          <cell r="AJ159" t="str">
            <v>x</v>
          </cell>
          <cell r="AK159" t="str">
            <v>x</v>
          </cell>
          <cell r="AL159" t="str">
            <v>x</v>
          </cell>
          <cell r="AM159">
            <v>25</v>
          </cell>
          <cell r="AN159">
            <v>0.5</v>
          </cell>
        </row>
        <row r="160">
          <cell r="C160">
            <v>50551</v>
          </cell>
          <cell r="D160">
            <v>44459</v>
          </cell>
          <cell r="E160">
            <v>44501</v>
          </cell>
          <cell r="F160" t="str">
            <v>Tổ Sơ mi 1</v>
          </cell>
          <cell r="H160" t="str">
            <v>LT</v>
          </cell>
          <cell r="J160" t="str">
            <v>x</v>
          </cell>
          <cell r="K160" t="str">
            <v>x</v>
          </cell>
          <cell r="L160" t="str">
            <v>x</v>
          </cell>
          <cell r="M160" t="str">
            <v>x</v>
          </cell>
          <cell r="O160" t="str">
            <v>x</v>
          </cell>
          <cell r="P160" t="str">
            <v>x</v>
          </cell>
          <cell r="Q160" t="str">
            <v>x</v>
          </cell>
          <cell r="R160" t="str">
            <v>x</v>
          </cell>
          <cell r="S160" t="str">
            <v>x</v>
          </cell>
          <cell r="T160" t="str">
            <v>x</v>
          </cell>
          <cell r="V160" t="str">
            <v>x</v>
          </cell>
          <cell r="W160" t="str">
            <v>x</v>
          </cell>
          <cell r="X160" t="str">
            <v>x</v>
          </cell>
          <cell r="Y160" t="str">
            <v>x</v>
          </cell>
          <cell r="Z160" t="str">
            <v>x</v>
          </cell>
          <cell r="AA160" t="str">
            <v>x</v>
          </cell>
          <cell r="AC160" t="str">
            <v>x</v>
          </cell>
          <cell r="AD160" t="str">
            <v>x</v>
          </cell>
          <cell r="AE160" t="str">
            <v>x</v>
          </cell>
          <cell r="AF160" t="str">
            <v>x</v>
          </cell>
          <cell r="AG160" t="str">
            <v>x</v>
          </cell>
          <cell r="AH160" t="str">
            <v>x</v>
          </cell>
          <cell r="AJ160" t="str">
            <v>x</v>
          </cell>
          <cell r="AK160" t="str">
            <v>x</v>
          </cell>
          <cell r="AL160" t="str">
            <v>x</v>
          </cell>
          <cell r="AM160">
            <v>25</v>
          </cell>
          <cell r="AN160">
            <v>0</v>
          </cell>
        </row>
        <row r="161">
          <cell r="C161">
            <v>50564</v>
          </cell>
          <cell r="D161">
            <v>44461</v>
          </cell>
          <cell r="E161">
            <v>44501</v>
          </cell>
          <cell r="F161" t="str">
            <v>Kiểm hoá</v>
          </cell>
          <cell r="H161" t="str">
            <v>LT</v>
          </cell>
          <cell r="J161" t="str">
            <v>Ô</v>
          </cell>
          <cell r="K161" t="str">
            <v>Ô</v>
          </cell>
          <cell r="L161" t="str">
            <v>x</v>
          </cell>
          <cell r="M161" t="str">
            <v>x</v>
          </cell>
          <cell r="O161" t="str">
            <v>x</v>
          </cell>
          <cell r="P161" t="str">
            <v>x</v>
          </cell>
          <cell r="Q161" t="str">
            <v>x</v>
          </cell>
          <cell r="R161" t="str">
            <v>x</v>
          </cell>
          <cell r="S161" t="str">
            <v>x</v>
          </cell>
          <cell r="T161" t="str">
            <v>x</v>
          </cell>
          <cell r="V161" t="str">
            <v>x</v>
          </cell>
          <cell r="W161" t="str">
            <v>x</v>
          </cell>
          <cell r="X161" t="str">
            <v>x</v>
          </cell>
          <cell r="Y161" t="str">
            <v>x</v>
          </cell>
          <cell r="Z161" t="str">
            <v>x</v>
          </cell>
          <cell r="AA161" t="str">
            <v>x</v>
          </cell>
          <cell r="AC161" t="str">
            <v>x</v>
          </cell>
          <cell r="AD161" t="str">
            <v>x</v>
          </cell>
          <cell r="AE161" t="str">
            <v>x</v>
          </cell>
          <cell r="AF161" t="str">
            <v>x</v>
          </cell>
          <cell r="AG161" t="str">
            <v>x</v>
          </cell>
          <cell r="AH161" t="str">
            <v>x</v>
          </cell>
          <cell r="AJ161" t="str">
            <v>x</v>
          </cell>
          <cell r="AK161" t="str">
            <v>x</v>
          </cell>
          <cell r="AL161" t="str">
            <v>x</v>
          </cell>
          <cell r="AM161">
            <v>23</v>
          </cell>
          <cell r="AN161">
            <v>0</v>
          </cell>
        </row>
        <row r="162">
          <cell r="C162">
            <v>50565</v>
          </cell>
          <cell r="D162">
            <v>44466</v>
          </cell>
          <cell r="E162">
            <v>44501</v>
          </cell>
          <cell r="F162" t="str">
            <v>Kiểm hoá</v>
          </cell>
          <cell r="H162" t="str">
            <v>LT</v>
          </cell>
          <cell r="J162" t="str">
            <v>x</v>
          </cell>
          <cell r="K162" t="str">
            <v>x</v>
          </cell>
          <cell r="L162" t="str">
            <v>x</v>
          </cell>
          <cell r="M162" t="str">
            <v>x</v>
          </cell>
          <cell r="O162" t="str">
            <v>x</v>
          </cell>
          <cell r="P162" t="str">
            <v>x</v>
          </cell>
          <cell r="Q162" t="str">
            <v>x</v>
          </cell>
          <cell r="R162" t="str">
            <v>x</v>
          </cell>
          <cell r="S162" t="str">
            <v>x</v>
          </cell>
          <cell r="T162" t="str">
            <v>x</v>
          </cell>
          <cell r="U162" t="str">
            <v>x/2</v>
          </cell>
          <cell r="V162" t="str">
            <v>x</v>
          </cell>
          <cell r="W162" t="str">
            <v>x</v>
          </cell>
          <cell r="X162" t="str">
            <v>x</v>
          </cell>
          <cell r="Y162" t="str">
            <v>x</v>
          </cell>
          <cell r="Z162" t="str">
            <v>x</v>
          </cell>
          <cell r="AA162" t="str">
            <v>x</v>
          </cell>
          <cell r="AC162" t="str">
            <v>x</v>
          </cell>
          <cell r="AD162" t="str">
            <v>x</v>
          </cell>
          <cell r="AE162" t="str">
            <v>x</v>
          </cell>
          <cell r="AF162" t="str">
            <v>x</v>
          </cell>
          <cell r="AG162" t="str">
            <v>x</v>
          </cell>
          <cell r="AH162" t="str">
            <v>x</v>
          </cell>
          <cell r="AJ162" t="str">
            <v>x</v>
          </cell>
          <cell r="AK162" t="str">
            <v>x</v>
          </cell>
          <cell r="AL162" t="str">
            <v>x</v>
          </cell>
          <cell r="AM162">
            <v>25</v>
          </cell>
          <cell r="AN162">
            <v>0.5</v>
          </cell>
        </row>
        <row r="163">
          <cell r="C163">
            <v>50581</v>
          </cell>
          <cell r="D163">
            <v>44469</v>
          </cell>
          <cell r="E163">
            <v>44501</v>
          </cell>
          <cell r="F163" t="str">
            <v>Tổ 5</v>
          </cell>
          <cell r="H163" t="str">
            <v>LT</v>
          </cell>
          <cell r="J163" t="str">
            <v>x</v>
          </cell>
          <cell r="K163" t="str">
            <v>x</v>
          </cell>
          <cell r="L163" t="str">
            <v>x</v>
          </cell>
          <cell r="M163" t="str">
            <v>x</v>
          </cell>
          <cell r="O163" t="str">
            <v>x</v>
          </cell>
          <cell r="P163" t="str">
            <v>x</v>
          </cell>
          <cell r="Q163" t="str">
            <v>x</v>
          </cell>
          <cell r="R163" t="str">
            <v>x</v>
          </cell>
          <cell r="S163" t="str">
            <v>x</v>
          </cell>
          <cell r="T163" t="str">
            <v>x</v>
          </cell>
          <cell r="V163" t="str">
            <v>x</v>
          </cell>
          <cell r="W163" t="str">
            <v>x</v>
          </cell>
          <cell r="X163" t="str">
            <v>x</v>
          </cell>
          <cell r="Y163" t="str">
            <v>x</v>
          </cell>
          <cell r="Z163" t="str">
            <v>x</v>
          </cell>
          <cell r="AA163" t="str">
            <v>x</v>
          </cell>
          <cell r="AC163" t="str">
            <v>x</v>
          </cell>
          <cell r="AD163" t="str">
            <v>x</v>
          </cell>
          <cell r="AE163" t="str">
            <v>x</v>
          </cell>
          <cell r="AF163" t="str">
            <v>x</v>
          </cell>
          <cell r="AG163" t="str">
            <v>x</v>
          </cell>
          <cell r="AH163" t="str">
            <v>x</v>
          </cell>
          <cell r="AJ163" t="str">
            <v>x</v>
          </cell>
          <cell r="AK163" t="str">
            <v>x</v>
          </cell>
          <cell r="AL163" t="str">
            <v>x</v>
          </cell>
          <cell r="AM163">
            <v>25</v>
          </cell>
          <cell r="AN163">
            <v>0</v>
          </cell>
        </row>
        <row r="164">
          <cell r="C164">
            <v>50587</v>
          </cell>
          <cell r="D164">
            <v>44473</v>
          </cell>
          <cell r="E164">
            <v>44501</v>
          </cell>
          <cell r="F164" t="str">
            <v>C.điện</v>
          </cell>
          <cell r="G164" t="str">
            <v>CBQX</v>
          </cell>
          <cell r="H164" t="str">
            <v>LT</v>
          </cell>
          <cell r="J164" t="str">
            <v>x</v>
          </cell>
          <cell r="K164" t="str">
            <v>x</v>
          </cell>
          <cell r="L164" t="str">
            <v>x</v>
          </cell>
          <cell r="M164" t="str">
            <v>x</v>
          </cell>
          <cell r="O164" t="str">
            <v>x</v>
          </cell>
          <cell r="P164" t="str">
            <v>x</v>
          </cell>
          <cell r="Q164" t="str">
            <v>x</v>
          </cell>
          <cell r="R164" t="str">
            <v>x</v>
          </cell>
          <cell r="S164" t="str">
            <v>x</v>
          </cell>
          <cell r="T164" t="str">
            <v>x</v>
          </cell>
          <cell r="V164" t="str">
            <v>x</v>
          </cell>
          <cell r="W164" t="str">
            <v>x</v>
          </cell>
          <cell r="X164" t="str">
            <v>x</v>
          </cell>
          <cell r="Y164" t="str">
            <v>x</v>
          </cell>
          <cell r="Z164" t="str">
            <v>x</v>
          </cell>
          <cell r="AA164" t="str">
            <v>x</v>
          </cell>
          <cell r="AB164" t="str">
            <v>x</v>
          </cell>
          <cell r="AC164" t="str">
            <v>x</v>
          </cell>
          <cell r="AD164" t="str">
            <v>x</v>
          </cell>
          <cell r="AE164" t="str">
            <v>x</v>
          </cell>
          <cell r="AF164" t="str">
            <v>x</v>
          </cell>
          <cell r="AG164" t="str">
            <v>x</v>
          </cell>
          <cell r="AH164" t="str">
            <v>x</v>
          </cell>
          <cell r="AJ164" t="str">
            <v>x</v>
          </cell>
          <cell r="AK164" t="str">
            <v>x</v>
          </cell>
          <cell r="AL164" t="str">
            <v>x</v>
          </cell>
          <cell r="AM164">
            <v>25</v>
          </cell>
          <cell r="AN164">
            <v>1</v>
          </cell>
        </row>
        <row r="165">
          <cell r="C165">
            <v>50393</v>
          </cell>
          <cell r="D165">
            <v>44413</v>
          </cell>
          <cell r="E165">
            <v>44531</v>
          </cell>
          <cell r="F165" t="str">
            <v>K.hoạch</v>
          </cell>
          <cell r="H165" t="str">
            <v>LT</v>
          </cell>
          <cell r="J165" t="str">
            <v>x</v>
          </cell>
          <cell r="K165" t="str">
            <v>x</v>
          </cell>
          <cell r="L165" t="str">
            <v>x</v>
          </cell>
          <cell r="M165" t="str">
            <v>x</v>
          </cell>
          <cell r="O165" t="str">
            <v>x</v>
          </cell>
          <cell r="P165" t="str">
            <v>x</v>
          </cell>
          <cell r="Q165" t="str">
            <v>x</v>
          </cell>
          <cell r="R165" t="str">
            <v>x</v>
          </cell>
          <cell r="S165" t="str">
            <v>x</v>
          </cell>
          <cell r="T165" t="str">
            <v>x</v>
          </cell>
          <cell r="V165" t="str">
            <v>x</v>
          </cell>
          <cell r="W165" t="str">
            <v>x</v>
          </cell>
          <cell r="X165" t="str">
            <v>x</v>
          </cell>
          <cell r="Y165" t="str">
            <v>x</v>
          </cell>
          <cell r="Z165" t="str">
            <v>x</v>
          </cell>
          <cell r="AA165" t="str">
            <v>x</v>
          </cell>
          <cell r="AC165" t="str">
            <v>x</v>
          </cell>
          <cell r="AD165" t="str">
            <v>x</v>
          </cell>
          <cell r="AE165" t="str">
            <v>x</v>
          </cell>
          <cell r="AF165" t="str">
            <v>x</v>
          </cell>
          <cell r="AG165" t="str">
            <v>x</v>
          </cell>
          <cell r="AH165" t="str">
            <v>x</v>
          </cell>
          <cell r="AJ165" t="str">
            <v>x</v>
          </cell>
          <cell r="AK165" t="str">
            <v>x</v>
          </cell>
          <cell r="AL165" t="str">
            <v>x</v>
          </cell>
          <cell r="AM165">
            <v>25</v>
          </cell>
          <cell r="AN165">
            <v>0</v>
          </cell>
        </row>
        <row r="166">
          <cell r="C166">
            <v>50467</v>
          </cell>
          <cell r="D166">
            <v>44432</v>
          </cell>
          <cell r="E166">
            <v>44531</v>
          </cell>
          <cell r="F166" t="str">
            <v>K.hoạch</v>
          </cell>
          <cell r="H166" t="str">
            <v>LT</v>
          </cell>
          <cell r="J166" t="str">
            <v>x</v>
          </cell>
          <cell r="K166" t="str">
            <v>x</v>
          </cell>
          <cell r="L166" t="str">
            <v>x</v>
          </cell>
          <cell r="M166" t="str">
            <v>x</v>
          </cell>
          <cell r="O166" t="str">
            <v>x</v>
          </cell>
          <cell r="P166" t="str">
            <v>x</v>
          </cell>
          <cell r="Q166" t="str">
            <v>x</v>
          </cell>
          <cell r="R166" t="str">
            <v>x</v>
          </cell>
          <cell r="S166" t="str">
            <v>x</v>
          </cell>
          <cell r="T166" t="str">
            <v>x</v>
          </cell>
          <cell r="V166" t="str">
            <v>x</v>
          </cell>
          <cell r="W166" t="str">
            <v>x</v>
          </cell>
          <cell r="X166" t="str">
            <v>x</v>
          </cell>
          <cell r="Y166" t="str">
            <v>x</v>
          </cell>
          <cell r="Z166" t="str">
            <v>x</v>
          </cell>
          <cell r="AA166" t="str">
            <v>x</v>
          </cell>
          <cell r="AC166" t="str">
            <v>x</v>
          </cell>
          <cell r="AD166" t="str">
            <v>x</v>
          </cell>
          <cell r="AE166" t="str">
            <v>x</v>
          </cell>
          <cell r="AF166" t="str">
            <v>x</v>
          </cell>
          <cell r="AG166" t="str">
            <v>x</v>
          </cell>
          <cell r="AH166" t="str">
            <v>x</v>
          </cell>
          <cell r="AJ166" t="str">
            <v>x</v>
          </cell>
          <cell r="AK166" t="str">
            <v>x</v>
          </cell>
          <cell r="AL166" t="str">
            <v>x</v>
          </cell>
          <cell r="AM166">
            <v>25</v>
          </cell>
          <cell r="AN166">
            <v>0</v>
          </cell>
        </row>
        <row r="167">
          <cell r="C167">
            <v>50485</v>
          </cell>
          <cell r="D167">
            <v>44435</v>
          </cell>
          <cell r="E167">
            <v>44531</v>
          </cell>
          <cell r="F167" t="str">
            <v>Tổ chi tiết</v>
          </cell>
          <cell r="H167" t="str">
            <v>LT</v>
          </cell>
          <cell r="J167" t="str">
            <v>x</v>
          </cell>
          <cell r="K167" t="str">
            <v>x</v>
          </cell>
          <cell r="L167" t="str">
            <v>x</v>
          </cell>
          <cell r="M167" t="str">
            <v>x</v>
          </cell>
          <cell r="O167" t="str">
            <v>x</v>
          </cell>
          <cell r="P167" t="str">
            <v>x</v>
          </cell>
          <cell r="Q167" t="str">
            <v>x</v>
          </cell>
          <cell r="R167" t="str">
            <v>x</v>
          </cell>
          <cell r="S167" t="str">
            <v>x</v>
          </cell>
          <cell r="T167" t="str">
            <v>x</v>
          </cell>
          <cell r="V167" t="str">
            <v>x</v>
          </cell>
          <cell r="W167" t="str">
            <v>x</v>
          </cell>
          <cell r="X167" t="str">
            <v>x</v>
          </cell>
          <cell r="Y167" t="str">
            <v>x</v>
          </cell>
          <cell r="Z167" t="str">
            <v>x</v>
          </cell>
          <cell r="AA167" t="str">
            <v>x</v>
          </cell>
          <cell r="AC167" t="str">
            <v>x</v>
          </cell>
          <cell r="AD167" t="str">
            <v>x</v>
          </cell>
          <cell r="AE167" t="str">
            <v>x</v>
          </cell>
          <cell r="AF167" t="str">
            <v>x</v>
          </cell>
          <cell r="AG167" t="str">
            <v>x</v>
          </cell>
          <cell r="AH167" t="str">
            <v>x</v>
          </cell>
          <cell r="AJ167" t="str">
            <v>x</v>
          </cell>
          <cell r="AK167" t="str">
            <v>x/2</v>
          </cell>
          <cell r="AL167" t="str">
            <v>x</v>
          </cell>
          <cell r="AM167">
            <v>24.5</v>
          </cell>
          <cell r="AN167">
            <v>0</v>
          </cell>
        </row>
        <row r="168">
          <cell r="C168">
            <v>50521</v>
          </cell>
          <cell r="D168">
            <v>44446</v>
          </cell>
          <cell r="E168">
            <v>44531</v>
          </cell>
          <cell r="F168" t="str">
            <v>Tổ sơ mi 3</v>
          </cell>
          <cell r="H168" t="str">
            <v>LT</v>
          </cell>
          <cell r="J168" t="str">
            <v>x</v>
          </cell>
          <cell r="K168" t="str">
            <v>x</v>
          </cell>
          <cell r="L168" t="str">
            <v>x</v>
          </cell>
          <cell r="M168" t="str">
            <v>x</v>
          </cell>
          <cell r="O168" t="str">
            <v>x</v>
          </cell>
          <cell r="P168" t="str">
            <v>x</v>
          </cell>
          <cell r="Q168" t="str">
            <v>x</v>
          </cell>
          <cell r="R168" t="str">
            <v>x</v>
          </cell>
          <cell r="S168" t="str">
            <v>x</v>
          </cell>
          <cell r="T168" t="str">
            <v>x</v>
          </cell>
          <cell r="V168" t="str">
            <v>x</v>
          </cell>
          <cell r="W168" t="str">
            <v>x</v>
          </cell>
          <cell r="X168" t="str">
            <v>x</v>
          </cell>
          <cell r="Y168" t="str">
            <v>x</v>
          </cell>
          <cell r="Z168" t="str">
            <v>x</v>
          </cell>
          <cell r="AA168" t="str">
            <v>x</v>
          </cell>
          <cell r="AC168" t="str">
            <v>x</v>
          </cell>
          <cell r="AD168" t="str">
            <v>x</v>
          </cell>
          <cell r="AE168" t="str">
            <v>x</v>
          </cell>
          <cell r="AF168" t="str">
            <v>x</v>
          </cell>
          <cell r="AG168" t="str">
            <v>x</v>
          </cell>
          <cell r="AH168" t="str">
            <v>x/2</v>
          </cell>
          <cell r="AJ168" t="str">
            <v>x</v>
          </cell>
          <cell r="AK168" t="str">
            <v>x</v>
          </cell>
          <cell r="AL168" t="str">
            <v>x</v>
          </cell>
          <cell r="AM168">
            <v>24.5</v>
          </cell>
          <cell r="AN168">
            <v>0</v>
          </cell>
        </row>
        <row r="169">
          <cell r="C169">
            <v>50550</v>
          </cell>
          <cell r="D169">
            <v>44459</v>
          </cell>
          <cell r="E169">
            <v>44531</v>
          </cell>
          <cell r="F169" t="str">
            <v>Tổ 5</v>
          </cell>
          <cell r="H169" t="str">
            <v>LT</v>
          </cell>
          <cell r="J169" t="str">
            <v>x</v>
          </cell>
          <cell r="K169" t="str">
            <v>x</v>
          </cell>
          <cell r="L169" t="str">
            <v>x</v>
          </cell>
          <cell r="M169" t="str">
            <v>x</v>
          </cell>
          <cell r="O169" t="str">
            <v>x</v>
          </cell>
          <cell r="P169" t="str">
            <v>x</v>
          </cell>
          <cell r="Q169" t="str">
            <v>x</v>
          </cell>
          <cell r="R169" t="str">
            <v>x</v>
          </cell>
          <cell r="S169" t="str">
            <v>x</v>
          </cell>
          <cell r="T169" t="str">
            <v>x</v>
          </cell>
          <cell r="V169" t="str">
            <v>x</v>
          </cell>
          <cell r="W169" t="str">
            <v>x</v>
          </cell>
          <cell r="X169" t="str">
            <v>x</v>
          </cell>
          <cell r="Y169" t="str">
            <v>x</v>
          </cell>
          <cell r="Z169" t="str">
            <v>x</v>
          </cell>
          <cell r="AA169" t="str">
            <v>x</v>
          </cell>
          <cell r="AC169" t="str">
            <v>x</v>
          </cell>
          <cell r="AD169" t="str">
            <v>x</v>
          </cell>
          <cell r="AE169" t="str">
            <v>x</v>
          </cell>
          <cell r="AF169" t="str">
            <v>x</v>
          </cell>
          <cell r="AG169" t="str">
            <v>x</v>
          </cell>
          <cell r="AH169" t="str">
            <v>x</v>
          </cell>
          <cell r="AJ169" t="str">
            <v>x</v>
          </cell>
          <cell r="AK169" t="str">
            <v>x</v>
          </cell>
          <cell r="AL169" t="str">
            <v>x</v>
          </cell>
          <cell r="AM169">
            <v>25</v>
          </cell>
          <cell r="AN169">
            <v>0</v>
          </cell>
        </row>
        <row r="170">
          <cell r="C170">
            <v>50615</v>
          </cell>
          <cell r="D170">
            <v>44481</v>
          </cell>
          <cell r="E170">
            <v>44531</v>
          </cell>
          <cell r="F170" t="str">
            <v>Tổ sơ mi 1</v>
          </cell>
          <cell r="H170" t="str">
            <v>LT</v>
          </cell>
          <cell r="J170" t="str">
            <v>x</v>
          </cell>
          <cell r="K170" t="str">
            <v>x</v>
          </cell>
          <cell r="L170" t="str">
            <v>x</v>
          </cell>
          <cell r="M170" t="str">
            <v>x</v>
          </cell>
          <cell r="O170" t="str">
            <v>x</v>
          </cell>
          <cell r="P170" t="str">
            <v>x</v>
          </cell>
          <cell r="Q170" t="str">
            <v>x</v>
          </cell>
          <cell r="R170" t="str">
            <v>x</v>
          </cell>
          <cell r="S170" t="str">
            <v>x</v>
          </cell>
          <cell r="T170" t="str">
            <v>x</v>
          </cell>
          <cell r="V170" t="str">
            <v>x</v>
          </cell>
          <cell r="W170" t="str">
            <v>x</v>
          </cell>
          <cell r="X170" t="str">
            <v>x</v>
          </cell>
          <cell r="Y170" t="str">
            <v>x</v>
          </cell>
          <cell r="Z170" t="str">
            <v>x</v>
          </cell>
          <cell r="AA170" t="str">
            <v>x</v>
          </cell>
          <cell r="AC170" t="str">
            <v>x</v>
          </cell>
          <cell r="AD170" t="str">
            <v>x</v>
          </cell>
          <cell r="AE170" t="str">
            <v>x</v>
          </cell>
          <cell r="AF170" t="str">
            <v>x</v>
          </cell>
          <cell r="AG170" t="str">
            <v>x</v>
          </cell>
          <cell r="AH170" t="str">
            <v>x</v>
          </cell>
          <cell r="AJ170" t="str">
            <v>x</v>
          </cell>
          <cell r="AK170" t="str">
            <v>x</v>
          </cell>
          <cell r="AL170" t="str">
            <v>x</v>
          </cell>
          <cell r="AM170">
            <v>25</v>
          </cell>
          <cell r="AN170">
            <v>0</v>
          </cell>
        </row>
        <row r="171">
          <cell r="C171">
            <v>50628</v>
          </cell>
          <cell r="D171">
            <v>44476</v>
          </cell>
          <cell r="E171">
            <v>44531</v>
          </cell>
          <cell r="F171" t="str">
            <v>Tổ Sơ mi 2</v>
          </cell>
          <cell r="H171" t="str">
            <v>LT</v>
          </cell>
          <cell r="J171" t="str">
            <v>x</v>
          </cell>
          <cell r="K171" t="str">
            <v>x</v>
          </cell>
          <cell r="L171" t="str">
            <v>x</v>
          </cell>
          <cell r="M171" t="str">
            <v>x</v>
          </cell>
          <cell r="O171" t="str">
            <v>x</v>
          </cell>
          <cell r="P171" t="str">
            <v>x</v>
          </cell>
          <cell r="Q171" t="str">
            <v>x</v>
          </cell>
          <cell r="R171" t="str">
            <v>x</v>
          </cell>
          <cell r="S171" t="str">
            <v>x</v>
          </cell>
          <cell r="T171" t="str">
            <v>x</v>
          </cell>
          <cell r="V171" t="str">
            <v>x</v>
          </cell>
          <cell r="W171" t="str">
            <v>x</v>
          </cell>
          <cell r="X171" t="str">
            <v>x</v>
          </cell>
          <cell r="Y171" t="str">
            <v>x</v>
          </cell>
          <cell r="Z171" t="str">
            <v>x</v>
          </cell>
          <cell r="AA171" t="str">
            <v>x</v>
          </cell>
          <cell r="AC171" t="str">
            <v>x</v>
          </cell>
          <cell r="AD171" t="str">
            <v>x</v>
          </cell>
          <cell r="AE171" t="str">
            <v>x</v>
          </cell>
          <cell r="AF171" t="str">
            <v>x</v>
          </cell>
          <cell r="AG171" t="str">
            <v>x</v>
          </cell>
          <cell r="AH171" t="str">
            <v>x</v>
          </cell>
          <cell r="AJ171" t="str">
            <v>x</v>
          </cell>
          <cell r="AK171" t="str">
            <v>x</v>
          </cell>
          <cell r="AL171" t="str">
            <v>x</v>
          </cell>
          <cell r="AM171">
            <v>25</v>
          </cell>
          <cell r="AN171">
            <v>0</v>
          </cell>
        </row>
        <row r="172">
          <cell r="C172">
            <v>50631</v>
          </cell>
          <cell r="D172">
            <v>44489</v>
          </cell>
          <cell r="E172">
            <v>44531</v>
          </cell>
          <cell r="F172" t="str">
            <v>In</v>
          </cell>
          <cell r="H172" t="str">
            <v>LT</v>
          </cell>
          <cell r="J172" t="str">
            <v>x</v>
          </cell>
          <cell r="K172" t="str">
            <v>x</v>
          </cell>
          <cell r="L172" t="str">
            <v>x</v>
          </cell>
          <cell r="M172" t="str">
            <v>x</v>
          </cell>
          <cell r="O172" t="str">
            <v>x</v>
          </cell>
          <cell r="P172" t="str">
            <v>x</v>
          </cell>
          <cell r="Q172" t="str">
            <v>x</v>
          </cell>
          <cell r="R172" t="str">
            <v>x</v>
          </cell>
          <cell r="S172" t="str">
            <v>x</v>
          </cell>
          <cell r="T172" t="str">
            <v>x</v>
          </cell>
          <cell r="V172" t="str">
            <v>x</v>
          </cell>
          <cell r="W172" t="str">
            <v>x</v>
          </cell>
          <cell r="X172" t="str">
            <v>x</v>
          </cell>
          <cell r="Y172" t="str">
            <v>x</v>
          </cell>
          <cell r="Z172" t="str">
            <v>x</v>
          </cell>
          <cell r="AA172" t="str">
            <v>x</v>
          </cell>
          <cell r="AC172" t="str">
            <v>x</v>
          </cell>
          <cell r="AD172" t="str">
            <v>x</v>
          </cell>
          <cell r="AE172" t="str">
            <v>x</v>
          </cell>
          <cell r="AF172" t="str">
            <v>x</v>
          </cell>
          <cell r="AG172" t="str">
            <v>x</v>
          </cell>
          <cell r="AH172" t="str">
            <v>x</v>
          </cell>
          <cell r="AJ172" t="str">
            <v>x</v>
          </cell>
          <cell r="AK172" t="str">
            <v>x</v>
          </cell>
          <cell r="AL172" t="str">
            <v>x</v>
          </cell>
          <cell r="AM172">
            <v>25</v>
          </cell>
          <cell r="AN172">
            <v>0</v>
          </cell>
        </row>
        <row r="173">
          <cell r="C173">
            <v>50639</v>
          </cell>
          <cell r="D173">
            <v>44489</v>
          </cell>
          <cell r="E173">
            <v>44531</v>
          </cell>
          <cell r="F173" t="str">
            <v>K.thuật</v>
          </cell>
          <cell r="H173" t="str">
            <v>LT</v>
          </cell>
          <cell r="J173" t="str">
            <v>x</v>
          </cell>
          <cell r="K173" t="str">
            <v>x</v>
          </cell>
          <cell r="L173" t="str">
            <v>x</v>
          </cell>
          <cell r="M173" t="str">
            <v>x</v>
          </cell>
          <cell r="O173" t="str">
            <v>x</v>
          </cell>
          <cell r="P173" t="str">
            <v>x</v>
          </cell>
          <cell r="Q173" t="str">
            <v>x</v>
          </cell>
          <cell r="R173" t="str">
            <v>x</v>
          </cell>
          <cell r="S173" t="str">
            <v>x</v>
          </cell>
          <cell r="T173" t="str">
            <v>x</v>
          </cell>
          <cell r="U173" t="str">
            <v>x/2</v>
          </cell>
          <cell r="V173" t="str">
            <v>x</v>
          </cell>
          <cell r="W173" t="str">
            <v>x</v>
          </cell>
          <cell r="X173" t="str">
            <v>x</v>
          </cell>
          <cell r="Y173" t="str">
            <v>x</v>
          </cell>
          <cell r="Z173" t="str">
            <v>x</v>
          </cell>
          <cell r="AA173" t="str">
            <v>x</v>
          </cell>
          <cell r="AC173" t="str">
            <v>x</v>
          </cell>
          <cell r="AD173" t="str">
            <v>x</v>
          </cell>
          <cell r="AE173" t="str">
            <v>x</v>
          </cell>
          <cell r="AF173" t="str">
            <v>x</v>
          </cell>
          <cell r="AG173" t="str">
            <v>x</v>
          </cell>
          <cell r="AH173" t="str">
            <v>x</v>
          </cell>
          <cell r="AJ173" t="str">
            <v>x</v>
          </cell>
          <cell r="AK173" t="str">
            <v>x</v>
          </cell>
          <cell r="AL173" t="str">
            <v>x</v>
          </cell>
          <cell r="AM173">
            <v>25</v>
          </cell>
          <cell r="AN173">
            <v>0.5</v>
          </cell>
        </row>
        <row r="174">
          <cell r="C174">
            <v>50655</v>
          </cell>
          <cell r="D174">
            <v>44496</v>
          </cell>
          <cell r="E174">
            <v>44531</v>
          </cell>
          <cell r="F174" t="str">
            <v>Nghỉ thai sản</v>
          </cell>
          <cell r="H174" t="str">
            <v>TS</v>
          </cell>
          <cell r="J174" t="str">
            <v>TS</v>
          </cell>
          <cell r="K174" t="str">
            <v>TS</v>
          </cell>
          <cell r="L174" t="str">
            <v>TS</v>
          </cell>
          <cell r="M174" t="str">
            <v>TS</v>
          </cell>
          <cell r="O174" t="str">
            <v>TS</v>
          </cell>
          <cell r="P174" t="str">
            <v>TS</v>
          </cell>
          <cell r="Q174" t="str">
            <v>TS</v>
          </cell>
          <cell r="R174" t="str">
            <v>TS</v>
          </cell>
          <cell r="S174" t="str">
            <v>TS</v>
          </cell>
          <cell r="T174" t="str">
            <v>TS</v>
          </cell>
          <cell r="V174" t="str">
            <v>TS</v>
          </cell>
          <cell r="W174" t="str">
            <v>TS</v>
          </cell>
          <cell r="X174" t="str">
            <v>TS</v>
          </cell>
          <cell r="Y174" t="str">
            <v>TS</v>
          </cell>
          <cell r="Z174" t="str">
            <v>TS</v>
          </cell>
          <cell r="AA174" t="str">
            <v>TS</v>
          </cell>
          <cell r="AC174" t="str">
            <v>TS</v>
          </cell>
          <cell r="AD174" t="str">
            <v>TS</v>
          </cell>
          <cell r="AE174" t="str">
            <v>TS</v>
          </cell>
          <cell r="AF174" t="str">
            <v>TS</v>
          </cell>
          <cell r="AG174" t="str">
            <v>TS</v>
          </cell>
          <cell r="AH174" t="str">
            <v>TS</v>
          </cell>
          <cell r="AJ174" t="str">
            <v>TS</v>
          </cell>
          <cell r="AK174" t="str">
            <v>TS</v>
          </cell>
          <cell r="AL174" t="str">
            <v>TS</v>
          </cell>
          <cell r="AM174">
            <v>0</v>
          </cell>
          <cell r="AN174">
            <v>0</v>
          </cell>
        </row>
        <row r="175">
          <cell r="C175">
            <v>50656</v>
          </cell>
          <cell r="D175">
            <v>44496</v>
          </cell>
          <cell r="E175">
            <v>44531</v>
          </cell>
          <cell r="F175" t="str">
            <v>Cắt</v>
          </cell>
          <cell r="H175" t="str">
            <v>LT</v>
          </cell>
          <cell r="J175" t="str">
            <v>x</v>
          </cell>
          <cell r="K175" t="str">
            <v>x</v>
          </cell>
          <cell r="L175" t="str">
            <v>x</v>
          </cell>
          <cell r="M175" t="str">
            <v>x</v>
          </cell>
          <cell r="O175" t="str">
            <v>x</v>
          </cell>
          <cell r="P175" t="str">
            <v>x</v>
          </cell>
          <cell r="Q175" t="str">
            <v>x</v>
          </cell>
          <cell r="R175" t="str">
            <v>x</v>
          </cell>
          <cell r="S175" t="str">
            <v>x</v>
          </cell>
          <cell r="T175" t="str">
            <v>x</v>
          </cell>
          <cell r="U175" t="str">
            <v>x/2</v>
          </cell>
          <cell r="V175" t="str">
            <v>x</v>
          </cell>
          <cell r="W175" t="str">
            <v>x</v>
          </cell>
          <cell r="X175" t="str">
            <v>x</v>
          </cell>
          <cell r="Y175" t="str">
            <v>x</v>
          </cell>
          <cell r="Z175" t="str">
            <v>x</v>
          </cell>
          <cell r="AA175" t="str">
            <v>x</v>
          </cell>
          <cell r="AC175" t="str">
            <v>x</v>
          </cell>
          <cell r="AD175" t="str">
            <v>x</v>
          </cell>
          <cell r="AE175" t="str">
            <v>x</v>
          </cell>
          <cell r="AF175" t="str">
            <v>x</v>
          </cell>
          <cell r="AG175" t="str">
            <v>x/2</v>
          </cell>
          <cell r="AH175" t="str">
            <v>F</v>
          </cell>
          <cell r="AJ175" t="str">
            <v>F</v>
          </cell>
          <cell r="AK175" t="str">
            <v>x</v>
          </cell>
          <cell r="AL175" t="str">
            <v>x</v>
          </cell>
          <cell r="AM175">
            <v>22.5</v>
          </cell>
          <cell r="AN175">
            <v>0.5</v>
          </cell>
        </row>
        <row r="176">
          <cell r="C176">
            <v>50659</v>
          </cell>
          <cell r="D176">
            <v>44495</v>
          </cell>
          <cell r="E176">
            <v>44531</v>
          </cell>
          <cell r="F176" t="str">
            <v>Bếp ăn</v>
          </cell>
          <cell r="H176" t="str">
            <v>LT</v>
          </cell>
          <cell r="J176" t="str">
            <v>x</v>
          </cell>
          <cell r="K176" t="str">
            <v>x</v>
          </cell>
          <cell r="L176" t="str">
            <v>x</v>
          </cell>
          <cell r="M176" t="str">
            <v>x</v>
          </cell>
          <cell r="O176" t="str">
            <v>x</v>
          </cell>
          <cell r="P176" t="str">
            <v>x</v>
          </cell>
          <cell r="Q176" t="str">
            <v>x</v>
          </cell>
          <cell r="R176" t="str">
            <v>x</v>
          </cell>
          <cell r="S176" t="str">
            <v>x</v>
          </cell>
          <cell r="T176" t="str">
            <v>x</v>
          </cell>
          <cell r="V176" t="str">
            <v>x</v>
          </cell>
          <cell r="W176" t="str">
            <v>x</v>
          </cell>
          <cell r="X176" t="str">
            <v>x</v>
          </cell>
          <cell r="Y176" t="str">
            <v>x</v>
          </cell>
          <cell r="Z176" t="str">
            <v>x</v>
          </cell>
          <cell r="AA176" t="str">
            <v>x</v>
          </cell>
          <cell r="AC176" t="str">
            <v>x</v>
          </cell>
          <cell r="AD176" t="str">
            <v>x</v>
          </cell>
          <cell r="AE176" t="str">
            <v>x</v>
          </cell>
          <cell r="AF176" t="str">
            <v>x</v>
          </cell>
          <cell r="AG176" t="str">
            <v>x</v>
          </cell>
          <cell r="AH176" t="str">
            <v>x</v>
          </cell>
          <cell r="AJ176" t="str">
            <v>x</v>
          </cell>
          <cell r="AK176" t="str">
            <v>F</v>
          </cell>
          <cell r="AL176" t="str">
            <v>x</v>
          </cell>
          <cell r="AM176">
            <v>24</v>
          </cell>
          <cell r="AN176">
            <v>0</v>
          </cell>
        </row>
        <row r="177">
          <cell r="C177">
            <v>50688</v>
          </cell>
          <cell r="D177">
            <v>44504</v>
          </cell>
          <cell r="E177">
            <v>44531</v>
          </cell>
          <cell r="F177" t="str">
            <v>Cắt</v>
          </cell>
          <cell r="H177" t="str">
            <v>LT</v>
          </cell>
          <cell r="J177" t="str">
            <v>x</v>
          </cell>
          <cell r="K177" t="str">
            <v>x</v>
          </cell>
          <cell r="L177" t="str">
            <v>x</v>
          </cell>
          <cell r="M177" t="str">
            <v>x</v>
          </cell>
          <cell r="O177" t="str">
            <v>x</v>
          </cell>
          <cell r="P177" t="str">
            <v>x</v>
          </cell>
          <cell r="Q177" t="str">
            <v>x</v>
          </cell>
          <cell r="R177" t="str">
            <v>x</v>
          </cell>
          <cell r="S177" t="str">
            <v>x</v>
          </cell>
          <cell r="T177" t="str">
            <v>x</v>
          </cell>
          <cell r="U177" t="str">
            <v>x/2</v>
          </cell>
          <cell r="V177" t="str">
            <v>x</v>
          </cell>
          <cell r="W177" t="str">
            <v>x</v>
          </cell>
          <cell r="X177" t="str">
            <v>x</v>
          </cell>
          <cell r="Y177" t="str">
            <v>x</v>
          </cell>
          <cell r="Z177" t="str">
            <v>x</v>
          </cell>
          <cell r="AA177" t="str">
            <v>x</v>
          </cell>
          <cell r="AC177" t="str">
            <v>x</v>
          </cell>
          <cell r="AD177" t="str">
            <v>x</v>
          </cell>
          <cell r="AE177" t="str">
            <v>x</v>
          </cell>
          <cell r="AF177" t="str">
            <v>x</v>
          </cell>
          <cell r="AG177" t="str">
            <v>x</v>
          </cell>
          <cell r="AH177" t="str">
            <v>x</v>
          </cell>
          <cell r="AJ177" t="str">
            <v>x</v>
          </cell>
          <cell r="AK177" t="str">
            <v>x</v>
          </cell>
          <cell r="AL177" t="str">
            <v>x</v>
          </cell>
          <cell r="AM177">
            <v>25</v>
          </cell>
          <cell r="AN177">
            <v>0.5</v>
          </cell>
        </row>
        <row r="178">
          <cell r="C178">
            <v>50689</v>
          </cell>
          <cell r="D178">
            <v>44504</v>
          </cell>
          <cell r="E178">
            <v>44531</v>
          </cell>
          <cell r="F178" t="str">
            <v>Cắt</v>
          </cell>
          <cell r="G178" t="str">
            <v>Mang thai</v>
          </cell>
          <cell r="H178" t="str">
            <v>LT</v>
          </cell>
          <cell r="J178" t="str">
            <v>x</v>
          </cell>
          <cell r="K178" t="str">
            <v>x/2</v>
          </cell>
          <cell r="L178" t="str">
            <v>F</v>
          </cell>
          <cell r="M178" t="str">
            <v>x</v>
          </cell>
          <cell r="O178" t="str">
            <v>x</v>
          </cell>
          <cell r="P178" t="str">
            <v>x</v>
          </cell>
          <cell r="Q178" t="str">
            <v>Ô</v>
          </cell>
          <cell r="R178" t="str">
            <v>Ô</v>
          </cell>
          <cell r="S178" t="str">
            <v>Ô</v>
          </cell>
          <cell r="T178" t="str">
            <v>Ô</v>
          </cell>
          <cell r="V178" t="str">
            <v>Ô</v>
          </cell>
          <cell r="W178" t="str">
            <v>x</v>
          </cell>
          <cell r="X178" t="str">
            <v>x</v>
          </cell>
          <cell r="Y178" t="str">
            <v>x</v>
          </cell>
          <cell r="Z178" t="str">
            <v>x</v>
          </cell>
          <cell r="AA178" t="str">
            <v>x</v>
          </cell>
          <cell r="AC178" t="str">
            <v>x</v>
          </cell>
          <cell r="AD178" t="str">
            <v>x</v>
          </cell>
          <cell r="AE178" t="str">
            <v>x</v>
          </cell>
          <cell r="AF178" t="str">
            <v>x</v>
          </cell>
          <cell r="AG178" t="str">
            <v>x</v>
          </cell>
          <cell r="AH178" t="str">
            <v>x</v>
          </cell>
          <cell r="AJ178" t="str">
            <v>x</v>
          </cell>
          <cell r="AK178" t="str">
            <v>x</v>
          </cell>
          <cell r="AL178" t="str">
            <v>x</v>
          </cell>
          <cell r="AM178">
            <v>18.5</v>
          </cell>
          <cell r="AN178">
            <v>0</v>
          </cell>
        </row>
        <row r="179">
          <cell r="C179">
            <v>50703</v>
          </cell>
          <cell r="D179">
            <v>44379</v>
          </cell>
          <cell r="E179">
            <v>44531</v>
          </cell>
          <cell r="F179" t="str">
            <v>Tổ 15</v>
          </cell>
          <cell r="G179" t="str">
            <v>Con nhỏ</v>
          </cell>
          <cell r="H179" t="str">
            <v>LT</v>
          </cell>
          <cell r="J179" t="str">
            <v>x</v>
          </cell>
          <cell r="K179" t="str">
            <v>x</v>
          </cell>
          <cell r="L179" t="str">
            <v>x</v>
          </cell>
          <cell r="M179" t="str">
            <v>x</v>
          </cell>
          <cell r="O179" t="str">
            <v>x</v>
          </cell>
          <cell r="P179" t="str">
            <v>x</v>
          </cell>
          <cell r="Q179" t="str">
            <v>x</v>
          </cell>
          <cell r="R179" t="str">
            <v>x</v>
          </cell>
          <cell r="S179" t="str">
            <v>x</v>
          </cell>
          <cell r="T179" t="str">
            <v>x</v>
          </cell>
          <cell r="V179" t="str">
            <v>x</v>
          </cell>
          <cell r="W179" t="str">
            <v>x</v>
          </cell>
          <cell r="X179" t="str">
            <v>x</v>
          </cell>
          <cell r="Y179" t="str">
            <v>F</v>
          </cell>
          <cell r="Z179" t="str">
            <v>x</v>
          </cell>
          <cell r="AA179" t="str">
            <v>x</v>
          </cell>
          <cell r="AC179" t="str">
            <v>x</v>
          </cell>
          <cell r="AD179" t="str">
            <v>x</v>
          </cell>
          <cell r="AE179" t="str">
            <v>x</v>
          </cell>
          <cell r="AF179" t="str">
            <v>x</v>
          </cell>
          <cell r="AG179" t="str">
            <v>x</v>
          </cell>
          <cell r="AH179" t="str">
            <v>x</v>
          </cell>
          <cell r="AJ179" t="str">
            <v>x</v>
          </cell>
          <cell r="AK179" t="str">
            <v>x</v>
          </cell>
          <cell r="AL179" t="str">
            <v>x</v>
          </cell>
          <cell r="AM179">
            <v>24</v>
          </cell>
          <cell r="AN179">
            <v>0</v>
          </cell>
        </row>
        <row r="180">
          <cell r="C180">
            <v>50404</v>
          </cell>
          <cell r="D180">
            <v>44417</v>
          </cell>
          <cell r="E180">
            <v>44562</v>
          </cell>
          <cell r="F180" t="str">
            <v>Tổ chi tiết</v>
          </cell>
          <cell r="H180" t="str">
            <v>LT</v>
          </cell>
          <cell r="J180" t="str">
            <v>x</v>
          </cell>
          <cell r="K180" t="str">
            <v>x</v>
          </cell>
          <cell r="L180" t="str">
            <v>x</v>
          </cell>
          <cell r="M180" t="str">
            <v>x/2</v>
          </cell>
          <cell r="O180" t="str">
            <v>x</v>
          </cell>
          <cell r="P180" t="str">
            <v>x</v>
          </cell>
          <cell r="Q180" t="str">
            <v>x</v>
          </cell>
          <cell r="R180" t="str">
            <v>x</v>
          </cell>
          <cell r="S180" t="str">
            <v>x</v>
          </cell>
          <cell r="T180" t="str">
            <v>x</v>
          </cell>
          <cell r="V180" t="str">
            <v>x</v>
          </cell>
          <cell r="W180" t="str">
            <v>x</v>
          </cell>
          <cell r="X180" t="str">
            <v>x</v>
          </cell>
          <cell r="Y180" t="str">
            <v>x</v>
          </cell>
          <cell r="Z180" t="str">
            <v>x</v>
          </cell>
          <cell r="AA180" t="str">
            <v>x</v>
          </cell>
          <cell r="AC180" t="str">
            <v>x</v>
          </cell>
          <cell r="AD180" t="str">
            <v>x</v>
          </cell>
          <cell r="AE180" t="str">
            <v>x</v>
          </cell>
          <cell r="AF180" t="str">
            <v>x</v>
          </cell>
          <cell r="AG180" t="str">
            <v>x</v>
          </cell>
          <cell r="AH180" t="str">
            <v>x</v>
          </cell>
          <cell r="AJ180" t="str">
            <v>x</v>
          </cell>
          <cell r="AK180" t="str">
            <v>x</v>
          </cell>
          <cell r="AL180" t="str">
            <v>x</v>
          </cell>
          <cell r="AM180">
            <v>24.5</v>
          </cell>
          <cell r="AN180">
            <v>0</v>
          </cell>
        </row>
        <row r="181">
          <cell r="C181">
            <v>50613</v>
          </cell>
          <cell r="D181">
            <v>44480</v>
          </cell>
          <cell r="E181">
            <v>44562</v>
          </cell>
          <cell r="F181" t="str">
            <v xml:space="preserve">Tổ 6 </v>
          </cell>
          <cell r="H181" t="str">
            <v>LT</v>
          </cell>
          <cell r="J181" t="str">
            <v>x</v>
          </cell>
          <cell r="K181" t="str">
            <v>x</v>
          </cell>
          <cell r="L181" t="str">
            <v>x</v>
          </cell>
          <cell r="M181" t="str">
            <v>x</v>
          </cell>
          <cell r="O181" t="str">
            <v>x</v>
          </cell>
          <cell r="P181" t="str">
            <v>x</v>
          </cell>
          <cell r="Q181" t="str">
            <v>x</v>
          </cell>
          <cell r="R181" t="str">
            <v>x</v>
          </cell>
          <cell r="S181" t="str">
            <v>x</v>
          </cell>
          <cell r="T181" t="str">
            <v>x</v>
          </cell>
          <cell r="U181" t="str">
            <v>x/2</v>
          </cell>
          <cell r="V181" t="str">
            <v>x</v>
          </cell>
          <cell r="W181" t="str">
            <v>x/2</v>
          </cell>
          <cell r="X181" t="str">
            <v>x</v>
          </cell>
          <cell r="Y181" t="str">
            <v>x</v>
          </cell>
          <cell r="Z181" t="str">
            <v>x</v>
          </cell>
          <cell r="AA181" t="str">
            <v>x</v>
          </cell>
          <cell r="AC181" t="str">
            <v>x</v>
          </cell>
          <cell r="AD181" t="str">
            <v>x</v>
          </cell>
          <cell r="AE181" t="str">
            <v>x</v>
          </cell>
          <cell r="AF181" t="str">
            <v>x</v>
          </cell>
          <cell r="AG181" t="str">
            <v>x</v>
          </cell>
          <cell r="AH181" t="str">
            <v>x</v>
          </cell>
          <cell r="AJ181" t="str">
            <v>x</v>
          </cell>
          <cell r="AK181" t="str">
            <v>x</v>
          </cell>
          <cell r="AL181" t="str">
            <v>x</v>
          </cell>
          <cell r="AM181">
            <v>24.5</v>
          </cell>
          <cell r="AN181">
            <v>0.5</v>
          </cell>
        </row>
        <row r="182">
          <cell r="C182">
            <v>50616</v>
          </cell>
          <cell r="D182">
            <v>44481</v>
          </cell>
          <cell r="E182">
            <v>44562</v>
          </cell>
          <cell r="F182" t="str">
            <v xml:space="preserve">Tổ 7 </v>
          </cell>
          <cell r="H182" t="str">
            <v>LT</v>
          </cell>
          <cell r="J182" t="str">
            <v>x</v>
          </cell>
          <cell r="K182" t="str">
            <v>x</v>
          </cell>
          <cell r="L182" t="str">
            <v>x</v>
          </cell>
          <cell r="M182" t="str">
            <v>x</v>
          </cell>
          <cell r="O182" t="str">
            <v>x</v>
          </cell>
          <cell r="P182" t="str">
            <v>x</v>
          </cell>
          <cell r="Q182" t="str">
            <v>x</v>
          </cell>
          <cell r="R182" t="str">
            <v>x</v>
          </cell>
          <cell r="S182" t="str">
            <v>x</v>
          </cell>
          <cell r="T182" t="str">
            <v>x</v>
          </cell>
          <cell r="V182" t="str">
            <v>x</v>
          </cell>
          <cell r="W182" t="str">
            <v>x</v>
          </cell>
          <cell r="X182" t="str">
            <v>x</v>
          </cell>
          <cell r="Y182" t="str">
            <v>x</v>
          </cell>
          <cell r="Z182" t="str">
            <v>x</v>
          </cell>
          <cell r="AA182" t="str">
            <v>x</v>
          </cell>
          <cell r="AC182" t="str">
            <v>x</v>
          </cell>
          <cell r="AD182" t="str">
            <v>x</v>
          </cell>
          <cell r="AE182" t="str">
            <v>x</v>
          </cell>
          <cell r="AF182" t="str">
            <v>x</v>
          </cell>
          <cell r="AG182" t="str">
            <v>x</v>
          </cell>
          <cell r="AH182" t="str">
            <v>x</v>
          </cell>
          <cell r="AJ182" t="str">
            <v>x</v>
          </cell>
          <cell r="AK182" t="str">
            <v>x</v>
          </cell>
          <cell r="AL182" t="str">
            <v>x</v>
          </cell>
          <cell r="AM182">
            <v>25</v>
          </cell>
          <cell r="AN182">
            <v>0</v>
          </cell>
        </row>
        <row r="183">
          <cell r="C183">
            <v>50618</v>
          </cell>
          <cell r="D183">
            <v>44480</v>
          </cell>
          <cell r="E183">
            <v>44562</v>
          </cell>
          <cell r="F183" t="str">
            <v>Nghỉ thai sản</v>
          </cell>
          <cell r="H183" t="str">
            <v>TS</v>
          </cell>
          <cell r="J183" t="str">
            <v>TS</v>
          </cell>
          <cell r="K183" t="str">
            <v>TS</v>
          </cell>
          <cell r="L183" t="str">
            <v>TS</v>
          </cell>
          <cell r="M183" t="str">
            <v>TS</v>
          </cell>
          <cell r="O183" t="str">
            <v>TS</v>
          </cell>
          <cell r="P183" t="str">
            <v>TS</v>
          </cell>
          <cell r="Q183" t="str">
            <v>TS</v>
          </cell>
          <cell r="R183" t="str">
            <v>TS</v>
          </cell>
          <cell r="S183" t="str">
            <v>TS</v>
          </cell>
          <cell r="T183" t="str">
            <v>TS</v>
          </cell>
          <cell r="V183" t="str">
            <v>TS</v>
          </cell>
          <cell r="W183" t="str">
            <v>TS</v>
          </cell>
          <cell r="X183" t="str">
            <v>TS</v>
          </cell>
          <cell r="Y183" t="str">
            <v>TS</v>
          </cell>
          <cell r="Z183" t="str">
            <v>TS</v>
          </cell>
          <cell r="AA183" t="str">
            <v>TS</v>
          </cell>
          <cell r="AC183" t="str">
            <v>TS</v>
          </cell>
          <cell r="AD183" t="str">
            <v>TS</v>
          </cell>
          <cell r="AE183" t="str">
            <v>TS</v>
          </cell>
          <cell r="AF183" t="str">
            <v>TS</v>
          </cell>
          <cell r="AG183" t="str">
            <v>TS</v>
          </cell>
          <cell r="AH183" t="str">
            <v>TS</v>
          </cell>
          <cell r="AJ183" t="str">
            <v>TS</v>
          </cell>
          <cell r="AK183" t="str">
            <v>TS</v>
          </cell>
          <cell r="AL183" t="str">
            <v>TS</v>
          </cell>
          <cell r="AM183">
            <v>0</v>
          </cell>
          <cell r="AN183">
            <v>0</v>
          </cell>
        </row>
        <row r="184">
          <cell r="C184">
            <v>50654</v>
          </cell>
          <cell r="D184">
            <v>44442</v>
          </cell>
          <cell r="E184">
            <v>44562</v>
          </cell>
          <cell r="F184" t="str">
            <v>Nghỉ thai sản</v>
          </cell>
          <cell r="H184" t="str">
            <v>TS</v>
          </cell>
          <cell r="J184" t="str">
            <v>TS</v>
          </cell>
          <cell r="K184" t="str">
            <v>TS</v>
          </cell>
          <cell r="L184" t="str">
            <v>TS</v>
          </cell>
          <cell r="M184" t="str">
            <v>TS</v>
          </cell>
          <cell r="O184" t="str">
            <v>TS</v>
          </cell>
          <cell r="P184" t="str">
            <v>TS</v>
          </cell>
          <cell r="Q184" t="str">
            <v>TS</v>
          </cell>
          <cell r="R184" t="str">
            <v>TS</v>
          </cell>
          <cell r="S184" t="str">
            <v>TS</v>
          </cell>
          <cell r="T184" t="str">
            <v>TS</v>
          </cell>
          <cell r="V184" t="str">
            <v>TS</v>
          </cell>
          <cell r="W184" t="str">
            <v>TS</v>
          </cell>
          <cell r="X184" t="str">
            <v>TS</v>
          </cell>
          <cell r="Y184" t="str">
            <v>TS</v>
          </cell>
          <cell r="Z184" t="str">
            <v>TS</v>
          </cell>
          <cell r="AA184" t="str">
            <v>TS</v>
          </cell>
          <cell r="AC184" t="str">
            <v>TS</v>
          </cell>
          <cell r="AD184" t="str">
            <v>TS</v>
          </cell>
          <cell r="AE184" t="str">
            <v>TS</v>
          </cell>
          <cell r="AF184" t="str">
            <v>TS</v>
          </cell>
          <cell r="AG184" t="str">
            <v>TS</v>
          </cell>
          <cell r="AH184" t="str">
            <v>TS</v>
          </cell>
          <cell r="AJ184" t="str">
            <v>TS</v>
          </cell>
          <cell r="AK184" t="str">
            <v>TS</v>
          </cell>
          <cell r="AL184" t="str">
            <v>TS</v>
          </cell>
          <cell r="AM184">
            <v>0</v>
          </cell>
          <cell r="AN184">
            <v>0</v>
          </cell>
        </row>
        <row r="185">
          <cell r="C185">
            <v>50697</v>
          </cell>
          <cell r="D185">
            <v>44513</v>
          </cell>
          <cell r="E185">
            <v>44562</v>
          </cell>
          <cell r="F185" t="str">
            <v xml:space="preserve">Tổ 7 </v>
          </cell>
          <cell r="H185" t="str">
            <v>LT</v>
          </cell>
          <cell r="J185" t="str">
            <v>x</v>
          </cell>
          <cell r="K185" t="str">
            <v>x</v>
          </cell>
          <cell r="L185" t="str">
            <v>x</v>
          </cell>
          <cell r="M185" t="str">
            <v>x</v>
          </cell>
          <cell r="O185" t="str">
            <v>x</v>
          </cell>
          <cell r="P185" t="str">
            <v>x</v>
          </cell>
          <cell r="Q185" t="str">
            <v>x</v>
          </cell>
          <cell r="R185" t="str">
            <v>x</v>
          </cell>
          <cell r="S185" t="str">
            <v>x</v>
          </cell>
          <cell r="T185" t="str">
            <v>x</v>
          </cell>
          <cell r="V185" t="str">
            <v>x</v>
          </cell>
          <cell r="W185" t="str">
            <v>x</v>
          </cell>
          <cell r="X185" t="str">
            <v>x</v>
          </cell>
          <cell r="Y185" t="str">
            <v>x</v>
          </cell>
          <cell r="Z185" t="str">
            <v>x</v>
          </cell>
          <cell r="AA185" t="str">
            <v>x</v>
          </cell>
          <cell r="AC185" t="str">
            <v>x</v>
          </cell>
          <cell r="AD185" t="str">
            <v>x</v>
          </cell>
          <cell r="AE185" t="str">
            <v>x</v>
          </cell>
          <cell r="AF185" t="str">
            <v>x</v>
          </cell>
          <cell r="AG185" t="str">
            <v>x</v>
          </cell>
          <cell r="AH185" t="str">
            <v>F</v>
          </cell>
          <cell r="AJ185" t="str">
            <v>x</v>
          </cell>
          <cell r="AK185" t="str">
            <v>x</v>
          </cell>
          <cell r="AL185" t="str">
            <v>x</v>
          </cell>
          <cell r="AM185">
            <v>24</v>
          </cell>
          <cell r="AN185">
            <v>0</v>
          </cell>
        </row>
        <row r="186">
          <cell r="C186">
            <v>50723</v>
          </cell>
          <cell r="D186">
            <v>44531</v>
          </cell>
          <cell r="E186">
            <v>44562</v>
          </cell>
          <cell r="F186" t="str">
            <v>Tổ Sơ mi 4</v>
          </cell>
          <cell r="H186" t="str">
            <v>LT</v>
          </cell>
          <cell r="J186" t="str">
            <v>x</v>
          </cell>
          <cell r="K186" t="str">
            <v>x</v>
          </cell>
          <cell r="L186" t="str">
            <v>x</v>
          </cell>
          <cell r="M186" t="str">
            <v>x</v>
          </cell>
          <cell r="O186" t="str">
            <v>x</v>
          </cell>
          <cell r="P186" t="str">
            <v>x</v>
          </cell>
          <cell r="Q186" t="str">
            <v>x</v>
          </cell>
          <cell r="R186" t="str">
            <v>x</v>
          </cell>
          <cell r="S186" t="str">
            <v>x</v>
          </cell>
          <cell r="T186" t="str">
            <v>x</v>
          </cell>
          <cell r="V186" t="str">
            <v>x</v>
          </cell>
          <cell r="W186" t="str">
            <v>x</v>
          </cell>
          <cell r="X186" t="str">
            <v>x</v>
          </cell>
          <cell r="Y186" t="str">
            <v>x</v>
          </cell>
          <cell r="Z186" t="str">
            <v>x</v>
          </cell>
          <cell r="AA186" t="str">
            <v>x</v>
          </cell>
          <cell r="AC186" t="str">
            <v>x</v>
          </cell>
          <cell r="AD186" t="str">
            <v>x</v>
          </cell>
          <cell r="AE186" t="str">
            <v>x</v>
          </cell>
          <cell r="AF186" t="str">
            <v>x</v>
          </cell>
          <cell r="AG186" t="str">
            <v>x</v>
          </cell>
          <cell r="AH186" t="str">
            <v>x</v>
          </cell>
          <cell r="AJ186" t="str">
            <v>x</v>
          </cell>
          <cell r="AK186" t="str">
            <v>x</v>
          </cell>
          <cell r="AL186" t="str">
            <v>x</v>
          </cell>
          <cell r="AM186">
            <v>25</v>
          </cell>
          <cell r="AN186">
            <v>0</v>
          </cell>
        </row>
        <row r="187">
          <cell r="C187">
            <v>50736</v>
          </cell>
          <cell r="D187">
            <v>44539</v>
          </cell>
          <cell r="E187">
            <v>44562</v>
          </cell>
          <cell r="F187" t="str">
            <v>Bảo Vệ</v>
          </cell>
          <cell r="AM187">
            <v>0</v>
          </cell>
          <cell r="AN187">
            <v>0</v>
          </cell>
        </row>
        <row r="188">
          <cell r="C188">
            <v>50753</v>
          </cell>
          <cell r="D188">
            <v>44406</v>
          </cell>
          <cell r="E188">
            <v>44562</v>
          </cell>
          <cell r="F188" t="str">
            <v xml:space="preserve">Tổ 7 </v>
          </cell>
          <cell r="H188" t="str">
            <v>LT</v>
          </cell>
          <cell r="J188" t="str">
            <v>x</v>
          </cell>
          <cell r="K188" t="str">
            <v>x</v>
          </cell>
          <cell r="L188" t="str">
            <v>x</v>
          </cell>
          <cell r="M188" t="str">
            <v>x</v>
          </cell>
          <cell r="O188" t="str">
            <v>x</v>
          </cell>
          <cell r="P188" t="str">
            <v>x</v>
          </cell>
          <cell r="Q188" t="str">
            <v>x</v>
          </cell>
          <cell r="R188" t="str">
            <v>x</v>
          </cell>
          <cell r="S188" t="str">
            <v>x</v>
          </cell>
          <cell r="T188" t="str">
            <v>x</v>
          </cell>
          <cell r="V188" t="str">
            <v>x</v>
          </cell>
          <cell r="W188" t="str">
            <v>x</v>
          </cell>
          <cell r="X188" t="str">
            <v>x</v>
          </cell>
          <cell r="Y188" t="str">
            <v>x</v>
          </cell>
          <cell r="Z188" t="str">
            <v>x</v>
          </cell>
          <cell r="AA188" t="str">
            <v>x</v>
          </cell>
          <cell r="AC188" t="str">
            <v>x</v>
          </cell>
          <cell r="AD188" t="str">
            <v>x</v>
          </cell>
          <cell r="AE188" t="str">
            <v>x</v>
          </cell>
          <cell r="AF188" t="str">
            <v>x</v>
          </cell>
          <cell r="AG188" t="str">
            <v>x</v>
          </cell>
          <cell r="AH188" t="str">
            <v>x</v>
          </cell>
          <cell r="AJ188" t="str">
            <v>x</v>
          </cell>
          <cell r="AK188" t="str">
            <v>x</v>
          </cell>
          <cell r="AL188" t="str">
            <v>x</v>
          </cell>
          <cell r="AM188">
            <v>25</v>
          </cell>
          <cell r="AN188">
            <v>0</v>
          </cell>
        </row>
        <row r="189">
          <cell r="C189">
            <v>50610</v>
          </cell>
          <cell r="D189">
            <v>44476</v>
          </cell>
          <cell r="E189">
            <v>44621</v>
          </cell>
          <cell r="F189" t="str">
            <v>Cắt</v>
          </cell>
          <cell r="H189" t="str">
            <v>LT</v>
          </cell>
          <cell r="J189" t="str">
            <v>x</v>
          </cell>
          <cell r="K189" t="str">
            <v>x</v>
          </cell>
          <cell r="L189" t="str">
            <v>x</v>
          </cell>
          <cell r="M189" t="str">
            <v>x</v>
          </cell>
          <cell r="O189" t="str">
            <v>x</v>
          </cell>
          <cell r="P189" t="str">
            <v>x</v>
          </cell>
          <cell r="Q189" t="str">
            <v>x</v>
          </cell>
          <cell r="R189" t="str">
            <v>x</v>
          </cell>
          <cell r="S189" t="str">
            <v>x</v>
          </cell>
          <cell r="T189" t="str">
            <v>x</v>
          </cell>
          <cell r="U189" t="str">
            <v>x/2</v>
          </cell>
          <cell r="V189" t="str">
            <v>x</v>
          </cell>
          <cell r="W189" t="str">
            <v>x</v>
          </cell>
          <cell r="X189" t="str">
            <v>x</v>
          </cell>
          <cell r="Y189" t="str">
            <v>x</v>
          </cell>
          <cell r="Z189" t="str">
            <v>x</v>
          </cell>
          <cell r="AA189" t="str">
            <v>x</v>
          </cell>
          <cell r="AC189" t="str">
            <v>x</v>
          </cell>
          <cell r="AD189" t="str">
            <v>x</v>
          </cell>
          <cell r="AE189" t="str">
            <v>x</v>
          </cell>
          <cell r="AF189" t="str">
            <v>x</v>
          </cell>
          <cell r="AG189" t="str">
            <v>x</v>
          </cell>
          <cell r="AH189" t="str">
            <v>x</v>
          </cell>
          <cell r="AJ189" t="str">
            <v>x</v>
          </cell>
          <cell r="AK189" t="str">
            <v>x</v>
          </cell>
          <cell r="AL189" t="str">
            <v>x</v>
          </cell>
          <cell r="AM189">
            <v>25</v>
          </cell>
          <cell r="AN189">
            <v>0.5</v>
          </cell>
        </row>
        <row r="190">
          <cell r="C190">
            <v>50645</v>
          </cell>
          <cell r="D190">
            <v>44410</v>
          </cell>
          <cell r="E190">
            <v>44621</v>
          </cell>
          <cell r="F190" t="str">
            <v>Tổ 5</v>
          </cell>
          <cell r="H190" t="str">
            <v>LT</v>
          </cell>
          <cell r="J190" t="str">
            <v>x</v>
          </cell>
          <cell r="K190" t="str">
            <v>x</v>
          </cell>
          <cell r="L190" t="str">
            <v>x</v>
          </cell>
          <cell r="M190" t="str">
            <v>x</v>
          </cell>
          <cell r="O190" t="str">
            <v>x</v>
          </cell>
          <cell r="P190" t="str">
            <v>F</v>
          </cell>
          <cell r="Q190" t="str">
            <v>x</v>
          </cell>
          <cell r="R190" t="str">
            <v>x</v>
          </cell>
          <cell r="S190" t="str">
            <v>x</v>
          </cell>
          <cell r="T190" t="str">
            <v>x</v>
          </cell>
          <cell r="V190" t="str">
            <v>x</v>
          </cell>
          <cell r="W190" t="str">
            <v>x</v>
          </cell>
          <cell r="X190" t="str">
            <v>x</v>
          </cell>
          <cell r="Y190" t="str">
            <v>x</v>
          </cell>
          <cell r="Z190" t="str">
            <v>x/2</v>
          </cell>
          <cell r="AA190" t="str">
            <v>x</v>
          </cell>
          <cell r="AC190" t="str">
            <v>x</v>
          </cell>
          <cell r="AD190" t="str">
            <v>x</v>
          </cell>
          <cell r="AE190" t="str">
            <v>x</v>
          </cell>
          <cell r="AF190" t="str">
            <v>x</v>
          </cell>
          <cell r="AG190" t="str">
            <v>x</v>
          </cell>
          <cell r="AH190" t="str">
            <v>x</v>
          </cell>
          <cell r="AJ190" t="str">
            <v>x</v>
          </cell>
          <cell r="AK190" t="str">
            <v>x</v>
          </cell>
          <cell r="AL190" t="str">
            <v>x</v>
          </cell>
          <cell r="AM190">
            <v>23.5</v>
          </cell>
          <cell r="AN190">
            <v>0</v>
          </cell>
        </row>
        <row r="191">
          <cell r="C191">
            <v>50650</v>
          </cell>
          <cell r="D191">
            <v>44421</v>
          </cell>
          <cell r="E191">
            <v>44621</v>
          </cell>
          <cell r="F191" t="str">
            <v>Tổ 5</v>
          </cell>
          <cell r="H191" t="str">
            <v>LT</v>
          </cell>
          <cell r="J191" t="str">
            <v>x</v>
          </cell>
          <cell r="K191" t="str">
            <v>x</v>
          </cell>
          <cell r="L191" t="str">
            <v>x</v>
          </cell>
          <cell r="M191" t="str">
            <v>x</v>
          </cell>
          <cell r="O191" t="str">
            <v>x</v>
          </cell>
          <cell r="P191" t="str">
            <v>x</v>
          </cell>
          <cell r="Q191" t="str">
            <v>x</v>
          </cell>
          <cell r="R191" t="str">
            <v>x</v>
          </cell>
          <cell r="S191" t="str">
            <v>x</v>
          </cell>
          <cell r="T191" t="str">
            <v>x</v>
          </cell>
          <cell r="V191" t="str">
            <v>x</v>
          </cell>
          <cell r="W191" t="str">
            <v>x</v>
          </cell>
          <cell r="X191" t="str">
            <v>x</v>
          </cell>
          <cell r="Y191" t="str">
            <v>x</v>
          </cell>
          <cell r="Z191" t="str">
            <v>x</v>
          </cell>
          <cell r="AA191" t="str">
            <v>x</v>
          </cell>
          <cell r="AC191" t="str">
            <v>x</v>
          </cell>
          <cell r="AD191" t="str">
            <v>x</v>
          </cell>
          <cell r="AE191" t="str">
            <v>x</v>
          </cell>
          <cell r="AF191" t="str">
            <v>x</v>
          </cell>
          <cell r="AG191" t="str">
            <v>x</v>
          </cell>
          <cell r="AH191" t="str">
            <v>x</v>
          </cell>
          <cell r="AI191" t="str">
            <v>x/2</v>
          </cell>
          <cell r="AJ191" t="str">
            <v>x</v>
          </cell>
          <cell r="AK191" t="str">
            <v>x</v>
          </cell>
          <cell r="AL191" t="str">
            <v>x</v>
          </cell>
          <cell r="AM191">
            <v>25</v>
          </cell>
          <cell r="AN191">
            <v>0.5</v>
          </cell>
        </row>
        <row r="192">
          <cell r="C192">
            <v>50705</v>
          </cell>
          <cell r="D192">
            <v>44473</v>
          </cell>
          <cell r="E192">
            <v>44621</v>
          </cell>
          <cell r="F192" t="str">
            <v>Tổ sơ mi 4</v>
          </cell>
          <cell r="H192" t="str">
            <v>LT</v>
          </cell>
          <cell r="J192" t="str">
            <v>x</v>
          </cell>
          <cell r="K192" t="str">
            <v>x</v>
          </cell>
          <cell r="L192" t="str">
            <v>x</v>
          </cell>
          <cell r="M192" t="str">
            <v>x</v>
          </cell>
          <cell r="O192" t="str">
            <v>x</v>
          </cell>
          <cell r="P192" t="str">
            <v>x</v>
          </cell>
          <cell r="Q192" t="str">
            <v>x</v>
          </cell>
          <cell r="R192" t="str">
            <v>x</v>
          </cell>
          <cell r="S192" t="str">
            <v>x</v>
          </cell>
          <cell r="T192" t="str">
            <v>x</v>
          </cell>
          <cell r="V192" t="str">
            <v>x</v>
          </cell>
          <cell r="W192" t="str">
            <v>x</v>
          </cell>
          <cell r="X192" t="str">
            <v>x</v>
          </cell>
          <cell r="Y192" t="str">
            <v>x</v>
          </cell>
          <cell r="Z192" t="str">
            <v>x</v>
          </cell>
          <cell r="AA192" t="str">
            <v>x</v>
          </cell>
          <cell r="AC192" t="str">
            <v>x</v>
          </cell>
          <cell r="AD192" t="str">
            <v>x</v>
          </cell>
          <cell r="AE192" t="str">
            <v>x</v>
          </cell>
          <cell r="AF192" t="str">
            <v>x</v>
          </cell>
          <cell r="AG192" t="str">
            <v>x</v>
          </cell>
          <cell r="AH192" t="str">
            <v>x</v>
          </cell>
          <cell r="AJ192" t="str">
            <v>F</v>
          </cell>
          <cell r="AK192" t="str">
            <v>x</v>
          </cell>
          <cell r="AL192" t="str">
            <v>x</v>
          </cell>
          <cell r="AM192">
            <v>24</v>
          </cell>
          <cell r="AN192">
            <v>0</v>
          </cell>
        </row>
        <row r="193">
          <cell r="C193">
            <v>50719</v>
          </cell>
          <cell r="D193">
            <v>44526</v>
          </cell>
          <cell r="E193">
            <v>44621</v>
          </cell>
          <cell r="F193" t="str">
            <v>Cắt</v>
          </cell>
          <cell r="H193" t="str">
            <v>LT</v>
          </cell>
          <cell r="J193" t="str">
            <v>x</v>
          </cell>
          <cell r="K193" t="str">
            <v>x</v>
          </cell>
          <cell r="L193" t="str">
            <v>x</v>
          </cell>
          <cell r="M193" t="str">
            <v>x</v>
          </cell>
          <cell r="O193" t="str">
            <v>x</v>
          </cell>
          <cell r="P193" t="str">
            <v>x</v>
          </cell>
          <cell r="Q193" t="str">
            <v>x</v>
          </cell>
          <cell r="R193" t="str">
            <v>x</v>
          </cell>
          <cell r="S193" t="str">
            <v>x</v>
          </cell>
          <cell r="T193" t="str">
            <v>x</v>
          </cell>
          <cell r="U193" t="str">
            <v>x/2</v>
          </cell>
          <cell r="V193" t="str">
            <v>x</v>
          </cell>
          <cell r="W193" t="str">
            <v>x</v>
          </cell>
          <cell r="X193" t="str">
            <v>x</v>
          </cell>
          <cell r="Y193" t="str">
            <v>x</v>
          </cell>
          <cell r="Z193" t="str">
            <v>x/2</v>
          </cell>
          <cell r="AA193" t="str">
            <v>x</v>
          </cell>
          <cell r="AC193" t="str">
            <v>x</v>
          </cell>
          <cell r="AD193" t="str">
            <v>x</v>
          </cell>
          <cell r="AE193" t="str">
            <v>x</v>
          </cell>
          <cell r="AF193" t="str">
            <v>x</v>
          </cell>
          <cell r="AG193" t="str">
            <v>x</v>
          </cell>
          <cell r="AH193" t="str">
            <v>x</v>
          </cell>
          <cell r="AJ193" t="str">
            <v>x</v>
          </cell>
          <cell r="AK193" t="str">
            <v>x</v>
          </cell>
          <cell r="AL193" t="str">
            <v>x</v>
          </cell>
          <cell r="AM193">
            <v>24.5</v>
          </cell>
          <cell r="AN193">
            <v>0.5</v>
          </cell>
        </row>
        <row r="194">
          <cell r="C194">
            <v>50735</v>
          </cell>
          <cell r="D194">
            <v>44538</v>
          </cell>
          <cell r="E194">
            <v>44621</v>
          </cell>
          <cell r="F194" t="str">
            <v>Tổ 9+10</v>
          </cell>
          <cell r="H194" t="str">
            <v>LT</v>
          </cell>
          <cell r="J194" t="str">
            <v>x</v>
          </cell>
          <cell r="K194" t="str">
            <v>x</v>
          </cell>
          <cell r="L194" t="str">
            <v>x</v>
          </cell>
          <cell r="M194" t="str">
            <v>x</v>
          </cell>
          <cell r="O194" t="str">
            <v>F</v>
          </cell>
          <cell r="P194" t="str">
            <v>x</v>
          </cell>
          <cell r="Q194" t="str">
            <v>x</v>
          </cell>
          <cell r="R194" t="str">
            <v>x</v>
          </cell>
          <cell r="S194" t="str">
            <v>x</v>
          </cell>
          <cell r="T194" t="str">
            <v>x</v>
          </cell>
          <cell r="V194" t="str">
            <v>x</v>
          </cell>
          <cell r="W194" t="str">
            <v>x</v>
          </cell>
          <cell r="X194" t="str">
            <v>x</v>
          </cell>
          <cell r="Y194" t="str">
            <v>x</v>
          </cell>
          <cell r="Z194" t="str">
            <v>x</v>
          </cell>
          <cell r="AA194" t="str">
            <v>x</v>
          </cell>
          <cell r="AC194" t="str">
            <v>x</v>
          </cell>
          <cell r="AD194" t="str">
            <v>x</v>
          </cell>
          <cell r="AE194" t="str">
            <v>x</v>
          </cell>
          <cell r="AF194" t="str">
            <v>x</v>
          </cell>
          <cell r="AG194" t="str">
            <v>x</v>
          </cell>
          <cell r="AH194" t="str">
            <v>x</v>
          </cell>
          <cell r="AJ194" t="str">
            <v>x</v>
          </cell>
          <cell r="AK194" t="str">
            <v>x</v>
          </cell>
          <cell r="AL194" t="str">
            <v>x</v>
          </cell>
          <cell r="AM194">
            <v>24</v>
          </cell>
          <cell r="AN194">
            <v>0</v>
          </cell>
        </row>
        <row r="195">
          <cell r="C195">
            <v>50741</v>
          </cell>
          <cell r="D195">
            <v>44543</v>
          </cell>
          <cell r="E195">
            <v>44621</v>
          </cell>
          <cell r="F195" t="str">
            <v>Tổ sơ mi 2</v>
          </cell>
          <cell r="H195" t="str">
            <v>LT</v>
          </cell>
          <cell r="J195" t="str">
            <v>x</v>
          </cell>
          <cell r="K195" t="str">
            <v>x</v>
          </cell>
          <cell r="L195" t="str">
            <v>x</v>
          </cell>
          <cell r="M195" t="str">
            <v>x</v>
          </cell>
          <cell r="O195" t="str">
            <v>x</v>
          </cell>
          <cell r="P195" t="str">
            <v>x</v>
          </cell>
          <cell r="Q195" t="str">
            <v>x/2</v>
          </cell>
          <cell r="R195" t="str">
            <v>x</v>
          </cell>
          <cell r="S195" t="str">
            <v>x</v>
          </cell>
          <cell r="T195" t="str">
            <v>x</v>
          </cell>
          <cell r="V195" t="str">
            <v>x</v>
          </cell>
          <cell r="W195" t="str">
            <v>x</v>
          </cell>
          <cell r="X195" t="str">
            <v>x</v>
          </cell>
          <cell r="Y195" t="str">
            <v>F</v>
          </cell>
          <cell r="Z195" t="str">
            <v>x</v>
          </cell>
          <cell r="AA195" t="str">
            <v>x</v>
          </cell>
          <cell r="AC195" t="str">
            <v>x/2</v>
          </cell>
          <cell r="AD195" t="str">
            <v>x</v>
          </cell>
          <cell r="AE195" t="str">
            <v>x</v>
          </cell>
          <cell r="AF195" t="str">
            <v>x</v>
          </cell>
          <cell r="AG195" t="str">
            <v>x</v>
          </cell>
          <cell r="AH195" t="str">
            <v>x</v>
          </cell>
          <cell r="AJ195" t="str">
            <v>Ô</v>
          </cell>
          <cell r="AK195" t="str">
            <v>Ô</v>
          </cell>
          <cell r="AL195" t="str">
            <v>Ô</v>
          </cell>
          <cell r="AM195">
            <v>20</v>
          </cell>
          <cell r="AN195">
            <v>0</v>
          </cell>
        </row>
        <row r="196">
          <cell r="C196">
            <v>50757</v>
          </cell>
          <cell r="D196">
            <v>44559</v>
          </cell>
          <cell r="E196">
            <v>44621</v>
          </cell>
          <cell r="F196" t="str">
            <v>Tổ 5</v>
          </cell>
          <cell r="G196" t="str">
            <v>Mang thai</v>
          </cell>
          <cell r="H196" t="str">
            <v>LT</v>
          </cell>
          <cell r="J196" t="str">
            <v>x</v>
          </cell>
          <cell r="K196" t="str">
            <v>x</v>
          </cell>
          <cell r="L196" t="str">
            <v>x</v>
          </cell>
          <cell r="M196" t="str">
            <v>x</v>
          </cell>
          <cell r="O196" t="str">
            <v>x</v>
          </cell>
          <cell r="P196" t="str">
            <v>x</v>
          </cell>
          <cell r="Q196" t="str">
            <v>x</v>
          </cell>
          <cell r="R196" t="str">
            <v>x</v>
          </cell>
          <cell r="S196" t="str">
            <v>x</v>
          </cell>
          <cell r="T196" t="str">
            <v>x</v>
          </cell>
          <cell r="V196" t="str">
            <v>x</v>
          </cell>
          <cell r="W196" t="str">
            <v>x</v>
          </cell>
          <cell r="X196" t="str">
            <v>x</v>
          </cell>
          <cell r="Y196" t="str">
            <v>x</v>
          </cell>
          <cell r="Z196" t="str">
            <v>x</v>
          </cell>
          <cell r="AA196" t="str">
            <v>x</v>
          </cell>
          <cell r="AC196" t="str">
            <v>x</v>
          </cell>
          <cell r="AD196" t="str">
            <v>x</v>
          </cell>
          <cell r="AE196" t="str">
            <v>x</v>
          </cell>
          <cell r="AF196" t="str">
            <v>x</v>
          </cell>
          <cell r="AG196" t="str">
            <v>x</v>
          </cell>
          <cell r="AH196" t="str">
            <v>x</v>
          </cell>
          <cell r="AJ196" t="str">
            <v>x</v>
          </cell>
          <cell r="AK196" t="str">
            <v>x</v>
          </cell>
          <cell r="AL196" t="str">
            <v>x</v>
          </cell>
          <cell r="AM196">
            <v>25</v>
          </cell>
          <cell r="AN196">
            <v>0</v>
          </cell>
        </row>
        <row r="197">
          <cell r="C197">
            <v>50761</v>
          </cell>
          <cell r="D197">
            <v>44585</v>
          </cell>
          <cell r="E197">
            <v>44621</v>
          </cell>
          <cell r="F197" t="str">
            <v>In</v>
          </cell>
          <cell r="H197" t="str">
            <v>LT</v>
          </cell>
          <cell r="J197" t="str">
            <v>x</v>
          </cell>
          <cell r="K197" t="str">
            <v>x</v>
          </cell>
          <cell r="L197" t="str">
            <v>x</v>
          </cell>
          <cell r="M197" t="str">
            <v>x</v>
          </cell>
          <cell r="O197" t="str">
            <v>x</v>
          </cell>
          <cell r="P197" t="str">
            <v>x</v>
          </cell>
          <cell r="Q197" t="str">
            <v>x</v>
          </cell>
          <cell r="R197" t="str">
            <v>x</v>
          </cell>
          <cell r="S197" t="str">
            <v>x</v>
          </cell>
          <cell r="T197" t="str">
            <v>x</v>
          </cell>
          <cell r="V197" t="str">
            <v>x</v>
          </cell>
          <cell r="W197" t="str">
            <v>x</v>
          </cell>
          <cell r="X197" t="str">
            <v>x</v>
          </cell>
          <cell r="Y197" t="str">
            <v>x</v>
          </cell>
          <cell r="Z197" t="str">
            <v>x</v>
          </cell>
          <cell r="AA197" t="str">
            <v>x</v>
          </cell>
          <cell r="AC197" t="str">
            <v>x</v>
          </cell>
          <cell r="AD197" t="str">
            <v>x</v>
          </cell>
          <cell r="AE197" t="str">
            <v>x</v>
          </cell>
          <cell r="AF197" t="str">
            <v>x</v>
          </cell>
          <cell r="AG197" t="str">
            <v>x</v>
          </cell>
          <cell r="AH197" t="str">
            <v>x</v>
          </cell>
          <cell r="AJ197" t="str">
            <v>x</v>
          </cell>
          <cell r="AK197" t="str">
            <v>x</v>
          </cell>
          <cell r="AL197" t="str">
            <v>x</v>
          </cell>
          <cell r="AM197">
            <v>25</v>
          </cell>
          <cell r="AN197">
            <v>0</v>
          </cell>
        </row>
        <row r="198">
          <cell r="C198">
            <v>50762</v>
          </cell>
          <cell r="D198">
            <v>44494</v>
          </cell>
          <cell r="E198">
            <v>44621</v>
          </cell>
          <cell r="F198" t="str">
            <v>Cắt</v>
          </cell>
          <cell r="H198" t="str">
            <v>LT</v>
          </cell>
          <cell r="J198" t="str">
            <v>x</v>
          </cell>
          <cell r="K198" t="str">
            <v>x</v>
          </cell>
          <cell r="L198" t="str">
            <v>x</v>
          </cell>
          <cell r="M198" t="str">
            <v>x</v>
          </cell>
          <cell r="O198" t="str">
            <v>Ô</v>
          </cell>
          <cell r="P198" t="str">
            <v>Ô</v>
          </cell>
          <cell r="Q198" t="str">
            <v>Ô</v>
          </cell>
          <cell r="R198" t="str">
            <v>Ô</v>
          </cell>
          <cell r="S198" t="str">
            <v>Ô</v>
          </cell>
          <cell r="T198" t="str">
            <v>Ô</v>
          </cell>
          <cell r="V198" t="str">
            <v>x</v>
          </cell>
          <cell r="W198" t="str">
            <v>x</v>
          </cell>
          <cell r="X198" t="str">
            <v>x</v>
          </cell>
          <cell r="Y198" t="str">
            <v>Ô</v>
          </cell>
          <cell r="Z198" t="str">
            <v>Ô</v>
          </cell>
          <cell r="AA198" t="str">
            <v>x</v>
          </cell>
          <cell r="AC198" t="str">
            <v>x</v>
          </cell>
          <cell r="AD198" t="str">
            <v>x</v>
          </cell>
          <cell r="AE198" t="str">
            <v>x</v>
          </cell>
          <cell r="AF198" t="str">
            <v>x</v>
          </cell>
          <cell r="AG198" t="str">
            <v>x</v>
          </cell>
          <cell r="AH198" t="str">
            <v>x</v>
          </cell>
          <cell r="AJ198" t="str">
            <v>F</v>
          </cell>
          <cell r="AK198" t="str">
            <v>x</v>
          </cell>
          <cell r="AL198" t="str">
            <v>x</v>
          </cell>
          <cell r="AM198">
            <v>16</v>
          </cell>
          <cell r="AN198">
            <v>0</v>
          </cell>
        </row>
        <row r="199">
          <cell r="C199">
            <v>50764</v>
          </cell>
          <cell r="D199">
            <v>44494</v>
          </cell>
          <cell r="E199">
            <v>44621</v>
          </cell>
          <cell r="F199" t="str">
            <v>Cắt</v>
          </cell>
          <cell r="G199" t="str">
            <v>Mang thai</v>
          </cell>
          <cell r="H199" t="str">
            <v>LT</v>
          </cell>
          <cell r="J199" t="str">
            <v>x</v>
          </cell>
          <cell r="K199" t="str">
            <v>x</v>
          </cell>
          <cell r="L199" t="str">
            <v>x</v>
          </cell>
          <cell r="M199" t="str">
            <v>x</v>
          </cell>
          <cell r="O199" t="str">
            <v>F</v>
          </cell>
          <cell r="P199" t="str">
            <v>x</v>
          </cell>
          <cell r="Q199" t="str">
            <v>x</v>
          </cell>
          <cell r="R199" t="str">
            <v>Ô</v>
          </cell>
          <cell r="S199" t="str">
            <v>Ô</v>
          </cell>
          <cell r="T199" t="str">
            <v>Ô</v>
          </cell>
          <cell r="V199" t="str">
            <v>x</v>
          </cell>
          <cell r="W199" t="str">
            <v>x</v>
          </cell>
          <cell r="X199" t="str">
            <v>x</v>
          </cell>
          <cell r="Y199" t="str">
            <v>x</v>
          </cell>
          <cell r="Z199" t="str">
            <v>x</v>
          </cell>
          <cell r="AA199" t="str">
            <v>x</v>
          </cell>
          <cell r="AC199" t="str">
            <v>x</v>
          </cell>
          <cell r="AD199" t="str">
            <v>x</v>
          </cell>
          <cell r="AE199" t="str">
            <v>x</v>
          </cell>
          <cell r="AF199" t="str">
            <v>x</v>
          </cell>
          <cell r="AG199" t="str">
            <v>x</v>
          </cell>
          <cell r="AH199" t="str">
            <v>x</v>
          </cell>
          <cell r="AJ199" t="str">
            <v>x</v>
          </cell>
          <cell r="AK199" t="str">
            <v>x</v>
          </cell>
          <cell r="AL199" t="str">
            <v>x</v>
          </cell>
          <cell r="AM199">
            <v>21</v>
          </cell>
          <cell r="AN199">
            <v>0</v>
          </cell>
        </row>
        <row r="200">
          <cell r="C200">
            <v>50767</v>
          </cell>
          <cell r="D200">
            <v>44217</v>
          </cell>
          <cell r="E200">
            <v>44621</v>
          </cell>
          <cell r="F200" t="str">
            <v>Công vụ</v>
          </cell>
          <cell r="H200" t="str">
            <v>LT</v>
          </cell>
          <cell r="J200" t="str">
            <v>x</v>
          </cell>
          <cell r="K200" t="str">
            <v>x</v>
          </cell>
          <cell r="L200" t="str">
            <v>x</v>
          </cell>
          <cell r="M200" t="str">
            <v>x</v>
          </cell>
          <cell r="O200" t="str">
            <v>x</v>
          </cell>
          <cell r="P200" t="str">
            <v>x</v>
          </cell>
          <cell r="Q200" t="str">
            <v>x</v>
          </cell>
          <cell r="R200" t="str">
            <v>x</v>
          </cell>
          <cell r="S200" t="str">
            <v>x</v>
          </cell>
          <cell r="T200" t="str">
            <v>x</v>
          </cell>
          <cell r="V200" t="str">
            <v>x</v>
          </cell>
          <cell r="W200" t="str">
            <v>x</v>
          </cell>
          <cell r="X200" t="str">
            <v>x</v>
          </cell>
          <cell r="Y200" t="str">
            <v>x</v>
          </cell>
          <cell r="Z200" t="str">
            <v>x</v>
          </cell>
          <cell r="AA200" t="str">
            <v>x</v>
          </cell>
          <cell r="AC200" t="str">
            <v>x</v>
          </cell>
          <cell r="AD200" t="str">
            <v>x</v>
          </cell>
          <cell r="AE200" t="str">
            <v>x</v>
          </cell>
          <cell r="AF200" t="str">
            <v>x</v>
          </cell>
          <cell r="AG200" t="str">
            <v>x</v>
          </cell>
          <cell r="AH200" t="str">
            <v>x</v>
          </cell>
          <cell r="AJ200" t="str">
            <v>x</v>
          </cell>
          <cell r="AK200" t="str">
            <v>x</v>
          </cell>
          <cell r="AL200" t="str">
            <v>x</v>
          </cell>
          <cell r="AM200">
            <v>25</v>
          </cell>
          <cell r="AN200">
            <v>0</v>
          </cell>
        </row>
        <row r="201">
          <cell r="C201">
            <v>50781</v>
          </cell>
          <cell r="D201">
            <v>44603</v>
          </cell>
          <cell r="E201">
            <v>44621</v>
          </cell>
          <cell r="F201" t="str">
            <v>Kiểm hoá</v>
          </cell>
          <cell r="H201" t="str">
            <v>LT</v>
          </cell>
          <cell r="J201" t="str">
            <v>x</v>
          </cell>
          <cell r="K201" t="str">
            <v>x</v>
          </cell>
          <cell r="L201" t="str">
            <v>x</v>
          </cell>
          <cell r="M201" t="str">
            <v>x</v>
          </cell>
          <cell r="O201" t="str">
            <v>x</v>
          </cell>
          <cell r="P201" t="str">
            <v>x</v>
          </cell>
          <cell r="Q201" t="str">
            <v>x</v>
          </cell>
          <cell r="R201" t="str">
            <v>x</v>
          </cell>
          <cell r="S201" t="str">
            <v>x</v>
          </cell>
          <cell r="T201" t="str">
            <v>x</v>
          </cell>
          <cell r="V201" t="str">
            <v>x</v>
          </cell>
          <cell r="W201" t="str">
            <v>x</v>
          </cell>
          <cell r="X201" t="str">
            <v>x</v>
          </cell>
          <cell r="Y201" t="str">
            <v>x</v>
          </cell>
          <cell r="Z201" t="str">
            <v>x</v>
          </cell>
          <cell r="AA201" t="str">
            <v>x</v>
          </cell>
          <cell r="AC201" t="str">
            <v>x</v>
          </cell>
          <cell r="AD201" t="str">
            <v>x</v>
          </cell>
          <cell r="AE201" t="str">
            <v>x</v>
          </cell>
          <cell r="AF201" t="str">
            <v>x</v>
          </cell>
          <cell r="AG201" t="str">
            <v>x</v>
          </cell>
          <cell r="AH201" t="str">
            <v>x</v>
          </cell>
          <cell r="AJ201" t="str">
            <v>x</v>
          </cell>
          <cell r="AK201" t="str">
            <v>x</v>
          </cell>
          <cell r="AL201" t="str">
            <v>x</v>
          </cell>
          <cell r="AM201">
            <v>25</v>
          </cell>
          <cell r="AN201">
            <v>0</v>
          </cell>
        </row>
        <row r="202">
          <cell r="C202">
            <v>50793</v>
          </cell>
          <cell r="D202">
            <v>44606</v>
          </cell>
          <cell r="E202">
            <v>44621</v>
          </cell>
          <cell r="F202" t="str">
            <v>Cắt</v>
          </cell>
          <cell r="H202" t="str">
            <v>LT</v>
          </cell>
          <cell r="J202" t="str">
            <v>x</v>
          </cell>
          <cell r="K202" t="str">
            <v>x</v>
          </cell>
          <cell r="L202" t="str">
            <v>x</v>
          </cell>
          <cell r="M202" t="str">
            <v>x</v>
          </cell>
          <cell r="O202" t="str">
            <v>x</v>
          </cell>
          <cell r="P202" t="str">
            <v>x</v>
          </cell>
          <cell r="Q202" t="str">
            <v>x</v>
          </cell>
          <cell r="R202" t="str">
            <v>x</v>
          </cell>
          <cell r="S202" t="str">
            <v>x</v>
          </cell>
          <cell r="T202" t="str">
            <v>x</v>
          </cell>
          <cell r="V202" t="str">
            <v>x</v>
          </cell>
          <cell r="W202" t="str">
            <v>x</v>
          </cell>
          <cell r="X202" t="str">
            <v>x</v>
          </cell>
          <cell r="Y202" t="str">
            <v>x</v>
          </cell>
          <cell r="Z202" t="str">
            <v>x</v>
          </cell>
          <cell r="AA202" t="str">
            <v>x</v>
          </cell>
          <cell r="AC202" t="str">
            <v>x</v>
          </cell>
          <cell r="AD202" t="str">
            <v>x</v>
          </cell>
          <cell r="AE202" t="str">
            <v>x</v>
          </cell>
          <cell r="AF202" t="str">
            <v>x</v>
          </cell>
          <cell r="AG202" t="str">
            <v>x</v>
          </cell>
          <cell r="AH202" t="str">
            <v>x</v>
          </cell>
          <cell r="AJ202" t="str">
            <v>x</v>
          </cell>
          <cell r="AK202" t="str">
            <v>x</v>
          </cell>
          <cell r="AL202" t="str">
            <v>x</v>
          </cell>
          <cell r="AM202">
            <v>25</v>
          </cell>
          <cell r="AN202">
            <v>0</v>
          </cell>
        </row>
        <row r="203">
          <cell r="C203">
            <v>50794</v>
          </cell>
          <cell r="D203">
            <v>44606</v>
          </cell>
          <cell r="E203">
            <v>44621</v>
          </cell>
          <cell r="F203" t="str">
            <v>In</v>
          </cell>
          <cell r="H203" t="str">
            <v>LT</v>
          </cell>
          <cell r="J203" t="str">
            <v>x</v>
          </cell>
          <cell r="K203" t="str">
            <v>x</v>
          </cell>
          <cell r="L203" t="str">
            <v>x</v>
          </cell>
          <cell r="M203" t="str">
            <v>x</v>
          </cell>
          <cell r="O203" t="str">
            <v>x</v>
          </cell>
          <cell r="P203" t="str">
            <v>x</v>
          </cell>
          <cell r="Q203" t="str">
            <v>x</v>
          </cell>
          <cell r="R203" t="str">
            <v>x</v>
          </cell>
          <cell r="S203" t="str">
            <v>x</v>
          </cell>
          <cell r="T203" t="str">
            <v>x</v>
          </cell>
          <cell r="V203" t="str">
            <v>x</v>
          </cell>
          <cell r="W203" t="str">
            <v>x</v>
          </cell>
          <cell r="X203" t="str">
            <v>x</v>
          </cell>
          <cell r="Y203" t="str">
            <v>x</v>
          </cell>
          <cell r="Z203" t="str">
            <v>x</v>
          </cell>
          <cell r="AA203" t="str">
            <v>x</v>
          </cell>
          <cell r="AC203" t="str">
            <v>x</v>
          </cell>
          <cell r="AD203" t="str">
            <v>x</v>
          </cell>
          <cell r="AE203" t="str">
            <v>x</v>
          </cell>
          <cell r="AF203" t="str">
            <v>x</v>
          </cell>
          <cell r="AG203" t="str">
            <v>x</v>
          </cell>
          <cell r="AH203" t="str">
            <v>x</v>
          </cell>
          <cell r="AJ203" t="str">
            <v>x</v>
          </cell>
          <cell r="AK203" t="str">
            <v>x</v>
          </cell>
          <cell r="AL203" t="str">
            <v>x</v>
          </cell>
          <cell r="AM203">
            <v>25</v>
          </cell>
          <cell r="AN203">
            <v>0</v>
          </cell>
        </row>
        <row r="204">
          <cell r="C204">
            <v>50845</v>
          </cell>
          <cell r="D204">
            <v>44476</v>
          </cell>
          <cell r="E204">
            <v>44621</v>
          </cell>
          <cell r="F204" t="str">
            <v>Nghỉ thai sản</v>
          </cell>
          <cell r="H204" t="str">
            <v>TS</v>
          </cell>
          <cell r="J204" t="str">
            <v>TS</v>
          </cell>
          <cell r="K204" t="str">
            <v>TS</v>
          </cell>
          <cell r="L204" t="str">
            <v>TS</v>
          </cell>
          <cell r="M204" t="str">
            <v>TS</v>
          </cell>
          <cell r="O204" t="str">
            <v>TS</v>
          </cell>
          <cell r="P204" t="str">
            <v>TS</v>
          </cell>
          <cell r="Q204" t="str">
            <v>TS</v>
          </cell>
          <cell r="R204" t="str">
            <v>TS</v>
          </cell>
          <cell r="S204" t="str">
            <v>TS</v>
          </cell>
          <cell r="T204" t="str">
            <v>TS</v>
          </cell>
          <cell r="V204" t="str">
            <v>TS</v>
          </cell>
          <cell r="W204" t="str">
            <v>TS</v>
          </cell>
          <cell r="X204" t="str">
            <v>TS</v>
          </cell>
          <cell r="Y204" t="str">
            <v>TS</v>
          </cell>
          <cell r="Z204" t="str">
            <v>TS</v>
          </cell>
          <cell r="AA204" t="str">
            <v>TS</v>
          </cell>
          <cell r="AC204" t="str">
            <v>TS</v>
          </cell>
          <cell r="AD204" t="str">
            <v>TS</v>
          </cell>
          <cell r="AE204" t="str">
            <v>TS</v>
          </cell>
          <cell r="AF204" t="str">
            <v>TS</v>
          </cell>
          <cell r="AG204" t="str">
            <v>TS</v>
          </cell>
          <cell r="AH204" t="str">
            <v>TS</v>
          </cell>
          <cell r="AJ204" t="str">
            <v>TS</v>
          </cell>
          <cell r="AK204" t="str">
            <v>TS</v>
          </cell>
          <cell r="AL204" t="str">
            <v>TS</v>
          </cell>
          <cell r="AM204">
            <v>0</v>
          </cell>
          <cell r="AN204">
            <v>0</v>
          </cell>
        </row>
        <row r="205">
          <cell r="C205">
            <v>50785</v>
          </cell>
          <cell r="D205">
            <v>44606</v>
          </cell>
          <cell r="E205">
            <v>44652</v>
          </cell>
          <cell r="F205" t="str">
            <v>K.hoạch</v>
          </cell>
          <cell r="H205" t="str">
            <v>LT</v>
          </cell>
          <cell r="J205" t="str">
            <v>x</v>
          </cell>
          <cell r="K205" t="str">
            <v>x</v>
          </cell>
          <cell r="L205" t="str">
            <v>x</v>
          </cell>
          <cell r="M205" t="str">
            <v>x</v>
          </cell>
          <cell r="O205" t="str">
            <v>x</v>
          </cell>
          <cell r="P205" t="str">
            <v>x</v>
          </cell>
          <cell r="Q205" t="str">
            <v>x</v>
          </cell>
          <cell r="R205" t="str">
            <v>x</v>
          </cell>
          <cell r="S205" t="str">
            <v>x</v>
          </cell>
          <cell r="T205" t="str">
            <v>x</v>
          </cell>
          <cell r="V205" t="str">
            <v>x</v>
          </cell>
          <cell r="W205" t="str">
            <v>x</v>
          </cell>
          <cell r="X205" t="str">
            <v>x</v>
          </cell>
          <cell r="Y205" t="str">
            <v>x</v>
          </cell>
          <cell r="Z205" t="str">
            <v>x</v>
          </cell>
          <cell r="AA205" t="str">
            <v>x</v>
          </cell>
          <cell r="AC205" t="str">
            <v>x</v>
          </cell>
          <cell r="AD205" t="str">
            <v>x</v>
          </cell>
          <cell r="AE205" t="str">
            <v>x</v>
          </cell>
          <cell r="AF205" t="str">
            <v>x</v>
          </cell>
          <cell r="AG205" t="str">
            <v>x</v>
          </cell>
          <cell r="AH205" t="str">
            <v>x</v>
          </cell>
          <cell r="AJ205" t="str">
            <v>x</v>
          </cell>
          <cell r="AK205" t="str">
            <v>x</v>
          </cell>
          <cell r="AL205" t="str">
            <v>x</v>
          </cell>
          <cell r="AM205">
            <v>25</v>
          </cell>
          <cell r="AN205">
            <v>0</v>
          </cell>
        </row>
        <row r="206">
          <cell r="C206">
            <v>50786</v>
          </cell>
          <cell r="D206">
            <v>44604</v>
          </cell>
          <cell r="E206">
            <v>44652</v>
          </cell>
          <cell r="F206" t="str">
            <v>Tổ 9+10</v>
          </cell>
          <cell r="H206" t="str">
            <v>LT</v>
          </cell>
          <cell r="J206" t="str">
            <v>x</v>
          </cell>
          <cell r="K206" t="str">
            <v>x</v>
          </cell>
          <cell r="L206" t="str">
            <v>x</v>
          </cell>
          <cell r="M206" t="str">
            <v>x</v>
          </cell>
          <cell r="O206" t="str">
            <v>x</v>
          </cell>
          <cell r="P206" t="str">
            <v>x</v>
          </cell>
          <cell r="Q206" t="str">
            <v>x</v>
          </cell>
          <cell r="R206" t="str">
            <v>x</v>
          </cell>
          <cell r="S206" t="str">
            <v>x</v>
          </cell>
          <cell r="T206" t="str">
            <v>x</v>
          </cell>
          <cell r="V206" t="str">
            <v>x</v>
          </cell>
          <cell r="W206" t="str">
            <v>x</v>
          </cell>
          <cell r="X206" t="str">
            <v>x</v>
          </cell>
          <cell r="Y206" t="str">
            <v>x</v>
          </cell>
          <cell r="Z206" t="str">
            <v>x</v>
          </cell>
          <cell r="AA206" t="str">
            <v>x</v>
          </cell>
          <cell r="AC206" t="str">
            <v>x</v>
          </cell>
          <cell r="AD206" t="str">
            <v>x</v>
          </cell>
          <cell r="AE206" t="str">
            <v>x</v>
          </cell>
          <cell r="AF206" t="str">
            <v>x</v>
          </cell>
          <cell r="AG206" t="str">
            <v>x</v>
          </cell>
          <cell r="AH206" t="str">
            <v>x</v>
          </cell>
          <cell r="AJ206" t="str">
            <v>x</v>
          </cell>
          <cell r="AK206" t="str">
            <v>x</v>
          </cell>
          <cell r="AL206" t="str">
            <v>x</v>
          </cell>
          <cell r="AM206">
            <v>25</v>
          </cell>
          <cell r="AN206">
            <v>0</v>
          </cell>
        </row>
        <row r="207">
          <cell r="C207">
            <v>50788</v>
          </cell>
          <cell r="D207">
            <v>44606</v>
          </cell>
          <cell r="E207">
            <v>44652</v>
          </cell>
          <cell r="F207" t="str">
            <v>Tổ Sơ mi 2</v>
          </cell>
          <cell r="H207" t="str">
            <v>LT</v>
          </cell>
          <cell r="J207" t="str">
            <v>x</v>
          </cell>
          <cell r="K207" t="str">
            <v>x</v>
          </cell>
          <cell r="L207" t="str">
            <v>x</v>
          </cell>
          <cell r="M207" t="str">
            <v>x</v>
          </cell>
          <cell r="O207" t="str">
            <v>x</v>
          </cell>
          <cell r="P207" t="str">
            <v>x</v>
          </cell>
          <cell r="Q207" t="str">
            <v>x</v>
          </cell>
          <cell r="R207" t="str">
            <v>x</v>
          </cell>
          <cell r="S207" t="str">
            <v>x</v>
          </cell>
          <cell r="T207" t="str">
            <v>x</v>
          </cell>
          <cell r="V207" t="str">
            <v>x</v>
          </cell>
          <cell r="W207" t="str">
            <v>x</v>
          </cell>
          <cell r="X207" t="str">
            <v>x</v>
          </cell>
          <cell r="Y207" t="str">
            <v>x</v>
          </cell>
          <cell r="Z207" t="str">
            <v>x</v>
          </cell>
          <cell r="AA207" t="str">
            <v>x</v>
          </cell>
          <cell r="AC207" t="str">
            <v>x</v>
          </cell>
          <cell r="AD207" t="str">
            <v>x</v>
          </cell>
          <cell r="AE207" t="str">
            <v>x</v>
          </cell>
          <cell r="AF207" t="str">
            <v>x</v>
          </cell>
          <cell r="AG207" t="str">
            <v>x</v>
          </cell>
          <cell r="AH207" t="str">
            <v>x</v>
          </cell>
          <cell r="AJ207" t="str">
            <v>x</v>
          </cell>
          <cell r="AK207" t="str">
            <v>x</v>
          </cell>
          <cell r="AL207" t="str">
            <v>x</v>
          </cell>
          <cell r="AM207">
            <v>25</v>
          </cell>
          <cell r="AN207">
            <v>0</v>
          </cell>
        </row>
        <row r="208">
          <cell r="C208">
            <v>50796</v>
          </cell>
          <cell r="D208">
            <v>44607</v>
          </cell>
          <cell r="E208">
            <v>44652</v>
          </cell>
          <cell r="F208" t="str">
            <v>Tổ 9+10</v>
          </cell>
          <cell r="H208" t="str">
            <v>LT</v>
          </cell>
          <cell r="J208" t="str">
            <v>x</v>
          </cell>
          <cell r="K208" t="str">
            <v>x</v>
          </cell>
          <cell r="L208" t="str">
            <v>x</v>
          </cell>
          <cell r="M208" t="str">
            <v>x</v>
          </cell>
          <cell r="O208" t="str">
            <v>x</v>
          </cell>
          <cell r="P208" t="str">
            <v>x</v>
          </cell>
          <cell r="Q208" t="str">
            <v>x</v>
          </cell>
          <cell r="R208" t="str">
            <v>x</v>
          </cell>
          <cell r="S208" t="str">
            <v>x</v>
          </cell>
          <cell r="T208" t="str">
            <v>x</v>
          </cell>
          <cell r="V208" t="str">
            <v>x</v>
          </cell>
          <cell r="W208" t="str">
            <v>x</v>
          </cell>
          <cell r="X208" t="str">
            <v>x</v>
          </cell>
          <cell r="Y208" t="str">
            <v>x</v>
          </cell>
          <cell r="Z208" t="str">
            <v>x</v>
          </cell>
          <cell r="AA208" t="str">
            <v>x</v>
          </cell>
          <cell r="AC208" t="str">
            <v>x</v>
          </cell>
          <cell r="AD208" t="str">
            <v>x</v>
          </cell>
          <cell r="AE208" t="str">
            <v>x</v>
          </cell>
          <cell r="AF208" t="str">
            <v>x</v>
          </cell>
          <cell r="AG208" t="str">
            <v>x</v>
          </cell>
          <cell r="AH208" t="str">
            <v>x</v>
          </cell>
          <cell r="AJ208" t="str">
            <v>Ô</v>
          </cell>
          <cell r="AK208" t="str">
            <v>x</v>
          </cell>
          <cell r="AL208" t="str">
            <v>x</v>
          </cell>
          <cell r="AM208">
            <v>24</v>
          </cell>
          <cell r="AN208">
            <v>0</v>
          </cell>
        </row>
        <row r="209">
          <cell r="C209">
            <v>50805</v>
          </cell>
          <cell r="D209">
            <v>44609</v>
          </cell>
          <cell r="E209">
            <v>44652</v>
          </cell>
          <cell r="F209" t="str">
            <v>Tổ 9+10</v>
          </cell>
          <cell r="H209" t="str">
            <v>LT</v>
          </cell>
          <cell r="J209" t="str">
            <v>x</v>
          </cell>
          <cell r="K209" t="str">
            <v>x</v>
          </cell>
          <cell r="L209" t="str">
            <v>x/2</v>
          </cell>
          <cell r="M209" t="str">
            <v>x</v>
          </cell>
          <cell r="O209" t="str">
            <v>x</v>
          </cell>
          <cell r="P209" t="str">
            <v>x</v>
          </cell>
          <cell r="Q209" t="str">
            <v>x</v>
          </cell>
          <cell r="R209" t="str">
            <v>x</v>
          </cell>
          <cell r="S209" t="str">
            <v>Ro</v>
          </cell>
          <cell r="T209" t="str">
            <v>Ro</v>
          </cell>
          <cell r="V209" t="str">
            <v>x</v>
          </cell>
          <cell r="W209" t="str">
            <v>Ro</v>
          </cell>
          <cell r="X209" t="str">
            <v>Ro</v>
          </cell>
          <cell r="Y209" t="str">
            <v>Ro</v>
          </cell>
          <cell r="Z209" t="str">
            <v>Ro</v>
          </cell>
          <cell r="AA209" t="str">
            <v>Ro</v>
          </cell>
          <cell r="AB209" t="str">
            <v>Ro</v>
          </cell>
          <cell r="AC209" t="str">
            <v>Ro</v>
          </cell>
          <cell r="AD209" t="str">
            <v>Ro</v>
          </cell>
          <cell r="AE209" t="str">
            <v>Ro</v>
          </cell>
          <cell r="AF209" t="str">
            <v>Ro</v>
          </cell>
          <cell r="AG209" t="str">
            <v>Ro</v>
          </cell>
          <cell r="AH209" t="str">
            <v>Ro</v>
          </cell>
          <cell r="AJ209" t="str">
            <v>Ro</v>
          </cell>
          <cell r="AK209" t="str">
            <v>Ro</v>
          </cell>
          <cell r="AL209" t="str">
            <v>Ro</v>
          </cell>
          <cell r="AM209">
            <v>8.5</v>
          </cell>
          <cell r="AN209">
            <v>0</v>
          </cell>
        </row>
        <row r="210">
          <cell r="C210">
            <v>50808</v>
          </cell>
          <cell r="D210">
            <v>44613</v>
          </cell>
          <cell r="E210">
            <v>44652</v>
          </cell>
          <cell r="F210" t="str">
            <v xml:space="preserve">Tổ 7 </v>
          </cell>
          <cell r="G210" t="str">
            <v>Mang thai</v>
          </cell>
          <cell r="H210" t="str">
            <v>LT</v>
          </cell>
          <cell r="J210" t="str">
            <v>x</v>
          </cell>
          <cell r="K210" t="str">
            <v>x</v>
          </cell>
          <cell r="L210" t="str">
            <v>x</v>
          </cell>
          <cell r="M210" t="str">
            <v>x</v>
          </cell>
          <cell r="O210" t="str">
            <v>x</v>
          </cell>
          <cell r="P210" t="str">
            <v>x</v>
          </cell>
          <cell r="Q210" t="str">
            <v>x</v>
          </cell>
          <cell r="R210" t="str">
            <v>x</v>
          </cell>
          <cell r="S210" t="str">
            <v>x</v>
          </cell>
          <cell r="T210" t="str">
            <v>x</v>
          </cell>
          <cell r="V210" t="str">
            <v>x</v>
          </cell>
          <cell r="W210" t="str">
            <v>x</v>
          </cell>
          <cell r="X210" t="str">
            <v>x</v>
          </cell>
          <cell r="Y210" t="str">
            <v>x</v>
          </cell>
          <cell r="Z210" t="str">
            <v>x</v>
          </cell>
          <cell r="AA210" t="str">
            <v>x</v>
          </cell>
          <cell r="AC210" t="str">
            <v>x</v>
          </cell>
          <cell r="AD210" t="str">
            <v>x</v>
          </cell>
          <cell r="AE210" t="str">
            <v>x</v>
          </cell>
          <cell r="AF210" t="str">
            <v>x</v>
          </cell>
          <cell r="AG210" t="str">
            <v>x</v>
          </cell>
          <cell r="AH210" t="str">
            <v>x</v>
          </cell>
          <cell r="AJ210" t="str">
            <v>x</v>
          </cell>
          <cell r="AK210" t="str">
            <v>x</v>
          </cell>
          <cell r="AL210" t="str">
            <v>x</v>
          </cell>
          <cell r="AM210">
            <v>25</v>
          </cell>
          <cell r="AN210">
            <v>0</v>
          </cell>
        </row>
        <row r="211">
          <cell r="C211">
            <v>50813</v>
          </cell>
          <cell r="D211">
            <v>44614</v>
          </cell>
          <cell r="E211">
            <v>44652</v>
          </cell>
          <cell r="F211" t="str">
            <v>Công vụ</v>
          </cell>
          <cell r="H211" t="str">
            <v>LT</v>
          </cell>
          <cell r="J211" t="str">
            <v>x</v>
          </cell>
          <cell r="K211" t="str">
            <v>x</v>
          </cell>
          <cell r="L211" t="str">
            <v>x</v>
          </cell>
          <cell r="M211" t="str">
            <v>x</v>
          </cell>
          <cell r="O211" t="str">
            <v>x</v>
          </cell>
          <cell r="P211" t="str">
            <v>x</v>
          </cell>
          <cell r="Q211" t="str">
            <v>x</v>
          </cell>
          <cell r="R211" t="str">
            <v>x</v>
          </cell>
          <cell r="S211" t="str">
            <v>x</v>
          </cell>
          <cell r="T211" t="str">
            <v>x</v>
          </cell>
          <cell r="V211" t="str">
            <v>x</v>
          </cell>
          <cell r="W211" t="str">
            <v>x</v>
          </cell>
          <cell r="X211" t="str">
            <v>x</v>
          </cell>
          <cell r="Y211" t="str">
            <v>x</v>
          </cell>
          <cell r="Z211" t="str">
            <v>x</v>
          </cell>
          <cell r="AA211" t="str">
            <v>x</v>
          </cell>
          <cell r="AC211" t="str">
            <v>x</v>
          </cell>
          <cell r="AD211" t="str">
            <v>x</v>
          </cell>
          <cell r="AE211" t="str">
            <v>x</v>
          </cell>
          <cell r="AF211" t="str">
            <v>x</v>
          </cell>
          <cell r="AG211" t="str">
            <v>x</v>
          </cell>
          <cell r="AH211" t="str">
            <v>x</v>
          </cell>
          <cell r="AJ211" t="str">
            <v>x</v>
          </cell>
          <cell r="AK211" t="str">
            <v>x</v>
          </cell>
          <cell r="AL211" t="str">
            <v>x</v>
          </cell>
          <cell r="AM211">
            <v>25</v>
          </cell>
          <cell r="AN211">
            <v>0</v>
          </cell>
        </row>
        <row r="212">
          <cell r="C212">
            <v>50814</v>
          </cell>
          <cell r="D212">
            <v>44610</v>
          </cell>
          <cell r="E212">
            <v>44652</v>
          </cell>
          <cell r="F212" t="str">
            <v>K.thuật</v>
          </cell>
          <cell r="G212" t="str">
            <v>Mang thai</v>
          </cell>
          <cell r="H212" t="str">
            <v>LT</v>
          </cell>
          <cell r="J212" t="str">
            <v>x</v>
          </cell>
          <cell r="K212" t="str">
            <v>x</v>
          </cell>
          <cell r="L212" t="str">
            <v>x</v>
          </cell>
          <cell r="M212" t="str">
            <v>x</v>
          </cell>
          <cell r="O212" t="str">
            <v>x</v>
          </cell>
          <cell r="P212" t="str">
            <v>x</v>
          </cell>
          <cell r="Q212" t="str">
            <v>x</v>
          </cell>
          <cell r="R212" t="str">
            <v>x</v>
          </cell>
          <cell r="S212" t="str">
            <v>x</v>
          </cell>
          <cell r="T212" t="str">
            <v>x</v>
          </cell>
          <cell r="U212" t="str">
            <v>x/2</v>
          </cell>
          <cell r="V212" t="str">
            <v>x</v>
          </cell>
          <cell r="W212" t="str">
            <v>x</v>
          </cell>
          <cell r="X212" t="str">
            <v>x</v>
          </cell>
          <cell r="Y212" t="str">
            <v>x</v>
          </cell>
          <cell r="Z212" t="str">
            <v>x</v>
          </cell>
          <cell r="AA212" t="str">
            <v>x</v>
          </cell>
          <cell r="AC212" t="str">
            <v>x</v>
          </cell>
          <cell r="AD212" t="str">
            <v>x</v>
          </cell>
          <cell r="AE212" t="str">
            <v>x</v>
          </cell>
          <cell r="AF212" t="str">
            <v>x</v>
          </cell>
          <cell r="AG212" t="str">
            <v>x</v>
          </cell>
          <cell r="AH212" t="str">
            <v>x</v>
          </cell>
          <cell r="AJ212" t="str">
            <v>x</v>
          </cell>
          <cell r="AK212" t="str">
            <v>x</v>
          </cell>
          <cell r="AL212" t="str">
            <v>x</v>
          </cell>
          <cell r="AM212">
            <v>25</v>
          </cell>
          <cell r="AN212">
            <v>0.5</v>
          </cell>
        </row>
        <row r="213">
          <cell r="C213">
            <v>50829</v>
          </cell>
          <cell r="D213">
            <v>44610</v>
          </cell>
          <cell r="E213">
            <v>44652</v>
          </cell>
          <cell r="F213" t="str">
            <v xml:space="preserve">Tổ 7 </v>
          </cell>
          <cell r="H213" t="str">
            <v>LT</v>
          </cell>
          <cell r="J213" t="str">
            <v>x</v>
          </cell>
          <cell r="K213" t="str">
            <v>x</v>
          </cell>
          <cell r="L213" t="str">
            <v>x</v>
          </cell>
          <cell r="M213" t="str">
            <v>x</v>
          </cell>
          <cell r="O213" t="str">
            <v>x</v>
          </cell>
          <cell r="P213" t="str">
            <v>x</v>
          </cell>
          <cell r="Q213" t="str">
            <v>x</v>
          </cell>
          <cell r="R213" t="str">
            <v>x</v>
          </cell>
          <cell r="S213" t="str">
            <v>x</v>
          </cell>
          <cell r="T213" t="str">
            <v>x</v>
          </cell>
          <cell r="V213" t="str">
            <v>x</v>
          </cell>
          <cell r="W213" t="str">
            <v>x</v>
          </cell>
          <cell r="X213" t="str">
            <v>x</v>
          </cell>
          <cell r="Y213" t="str">
            <v>x</v>
          </cell>
          <cell r="Z213" t="str">
            <v>x</v>
          </cell>
          <cell r="AA213" t="str">
            <v>x</v>
          </cell>
          <cell r="AC213" t="str">
            <v>x</v>
          </cell>
          <cell r="AD213" t="str">
            <v>x</v>
          </cell>
          <cell r="AE213" t="str">
            <v>x</v>
          </cell>
          <cell r="AF213" t="str">
            <v>x</v>
          </cell>
          <cell r="AG213" t="str">
            <v>x</v>
          </cell>
          <cell r="AH213" t="str">
            <v>x</v>
          </cell>
          <cell r="AJ213" t="str">
            <v>x</v>
          </cell>
          <cell r="AK213" t="str">
            <v>x</v>
          </cell>
          <cell r="AL213" t="str">
            <v>x</v>
          </cell>
          <cell r="AM213">
            <v>25</v>
          </cell>
          <cell r="AN213">
            <v>0</v>
          </cell>
        </row>
        <row r="214">
          <cell r="C214">
            <v>50831</v>
          </cell>
          <cell r="D214">
            <v>44615</v>
          </cell>
          <cell r="E214">
            <v>44652</v>
          </cell>
          <cell r="F214" t="str">
            <v>Tổ Sơ mi 2</v>
          </cell>
          <cell r="H214" t="str">
            <v>LT</v>
          </cell>
          <cell r="J214" t="str">
            <v>x</v>
          </cell>
          <cell r="K214" t="str">
            <v>x</v>
          </cell>
          <cell r="L214" t="str">
            <v>x</v>
          </cell>
          <cell r="M214" t="str">
            <v>x</v>
          </cell>
          <cell r="O214" t="str">
            <v>x/2</v>
          </cell>
          <cell r="P214" t="str">
            <v>x</v>
          </cell>
          <cell r="Q214" t="str">
            <v>x</v>
          </cell>
          <cell r="R214" t="str">
            <v>x</v>
          </cell>
          <cell r="S214" t="str">
            <v>x</v>
          </cell>
          <cell r="T214" t="str">
            <v>x</v>
          </cell>
          <cell r="V214" t="str">
            <v>x</v>
          </cell>
          <cell r="W214" t="str">
            <v>x</v>
          </cell>
          <cell r="X214" t="str">
            <v>x</v>
          </cell>
          <cell r="Y214" t="str">
            <v>x</v>
          </cell>
          <cell r="Z214" t="str">
            <v>x</v>
          </cell>
          <cell r="AA214" t="str">
            <v>x</v>
          </cell>
          <cell r="AC214" t="str">
            <v>x</v>
          </cell>
          <cell r="AD214" t="str">
            <v>x</v>
          </cell>
          <cell r="AE214" t="str">
            <v>x</v>
          </cell>
          <cell r="AF214" t="str">
            <v>x</v>
          </cell>
          <cell r="AG214" t="str">
            <v>x</v>
          </cell>
          <cell r="AH214" t="str">
            <v>x</v>
          </cell>
          <cell r="AJ214" t="str">
            <v>x</v>
          </cell>
          <cell r="AK214" t="str">
            <v>x</v>
          </cell>
          <cell r="AL214" t="str">
            <v>x</v>
          </cell>
          <cell r="AM214">
            <v>24.5</v>
          </cell>
          <cell r="AN214">
            <v>0</v>
          </cell>
        </row>
        <row r="215">
          <cell r="C215">
            <v>50832</v>
          </cell>
          <cell r="D215">
            <v>44609</v>
          </cell>
          <cell r="E215">
            <v>44652</v>
          </cell>
          <cell r="F215" t="str">
            <v xml:space="preserve">Tổ 7 </v>
          </cell>
          <cell r="H215" t="str">
            <v>LT</v>
          </cell>
          <cell r="J215" t="str">
            <v>x</v>
          </cell>
          <cell r="K215" t="str">
            <v>x</v>
          </cell>
          <cell r="L215" t="str">
            <v>x</v>
          </cell>
          <cell r="M215" t="str">
            <v>x</v>
          </cell>
          <cell r="O215" t="str">
            <v>x</v>
          </cell>
          <cell r="P215" t="str">
            <v>x</v>
          </cell>
          <cell r="Q215" t="str">
            <v>x</v>
          </cell>
          <cell r="R215" t="str">
            <v>x</v>
          </cell>
          <cell r="S215" t="str">
            <v>x</v>
          </cell>
          <cell r="T215" t="str">
            <v>x</v>
          </cell>
          <cell r="V215" t="str">
            <v>x</v>
          </cell>
          <cell r="W215" t="str">
            <v>x</v>
          </cell>
          <cell r="X215" t="str">
            <v>x</v>
          </cell>
          <cell r="Y215" t="str">
            <v>x</v>
          </cell>
          <cell r="Z215" t="str">
            <v>x</v>
          </cell>
          <cell r="AA215" t="str">
            <v>x</v>
          </cell>
          <cell r="AC215" t="str">
            <v>x</v>
          </cell>
          <cell r="AD215" t="str">
            <v>x</v>
          </cell>
          <cell r="AE215" t="str">
            <v>x</v>
          </cell>
          <cell r="AF215" t="str">
            <v>x</v>
          </cell>
          <cell r="AG215" t="str">
            <v>x</v>
          </cell>
          <cell r="AH215" t="str">
            <v>x</v>
          </cell>
          <cell r="AJ215" t="str">
            <v>x</v>
          </cell>
          <cell r="AK215" t="str">
            <v>x</v>
          </cell>
          <cell r="AL215" t="str">
            <v>x</v>
          </cell>
          <cell r="AM215">
            <v>25</v>
          </cell>
          <cell r="AN215">
            <v>0</v>
          </cell>
        </row>
        <row r="216">
          <cell r="C216">
            <v>50847</v>
          </cell>
          <cell r="D216">
            <v>44628</v>
          </cell>
          <cell r="E216">
            <v>44652</v>
          </cell>
          <cell r="F216" t="str">
            <v>In</v>
          </cell>
          <cell r="H216" t="str">
            <v>LT</v>
          </cell>
          <cell r="J216" t="str">
            <v>x</v>
          </cell>
          <cell r="K216" t="str">
            <v>x</v>
          </cell>
          <cell r="L216" t="str">
            <v>x</v>
          </cell>
          <cell r="M216" t="str">
            <v>x</v>
          </cell>
          <cell r="O216" t="str">
            <v>x</v>
          </cell>
          <cell r="P216" t="str">
            <v>x</v>
          </cell>
          <cell r="Q216" t="str">
            <v>x</v>
          </cell>
          <cell r="R216" t="str">
            <v>x</v>
          </cell>
          <cell r="S216" t="str">
            <v>x/2</v>
          </cell>
          <cell r="T216" t="str">
            <v>x</v>
          </cell>
          <cell r="V216" t="str">
            <v>x</v>
          </cell>
          <cell r="W216" t="str">
            <v>x</v>
          </cell>
          <cell r="X216" t="str">
            <v>x</v>
          </cell>
          <cell r="Y216" t="str">
            <v>x</v>
          </cell>
          <cell r="Z216" t="str">
            <v>x</v>
          </cell>
          <cell r="AA216" t="str">
            <v>x</v>
          </cell>
          <cell r="AC216" t="str">
            <v>x</v>
          </cell>
          <cell r="AD216" t="str">
            <v>x</v>
          </cell>
          <cell r="AE216" t="str">
            <v>x</v>
          </cell>
          <cell r="AF216" t="str">
            <v>x</v>
          </cell>
          <cell r="AG216" t="str">
            <v>x</v>
          </cell>
          <cell r="AH216" t="str">
            <v>x</v>
          </cell>
          <cell r="AJ216" t="str">
            <v>x</v>
          </cell>
          <cell r="AK216" t="str">
            <v>x</v>
          </cell>
          <cell r="AL216" t="str">
            <v>x</v>
          </cell>
          <cell r="AM216">
            <v>24.5</v>
          </cell>
          <cell r="AN216">
            <v>0</v>
          </cell>
        </row>
        <row r="217">
          <cell r="C217">
            <v>50468</v>
          </cell>
          <cell r="D217">
            <v>44432</v>
          </cell>
          <cell r="E217">
            <v>44682</v>
          </cell>
          <cell r="F217" t="str">
            <v>Bảo vệ</v>
          </cell>
          <cell r="AM217">
            <v>0</v>
          </cell>
          <cell r="AN217">
            <v>0</v>
          </cell>
        </row>
        <row r="218">
          <cell r="C218">
            <v>50658</v>
          </cell>
          <cell r="D218">
            <v>44494</v>
          </cell>
          <cell r="E218">
            <v>44682</v>
          </cell>
          <cell r="F218" t="str">
            <v>In</v>
          </cell>
          <cell r="H218" t="str">
            <v>LT</v>
          </cell>
          <cell r="J218" t="str">
            <v>x</v>
          </cell>
          <cell r="K218" t="str">
            <v>x</v>
          </cell>
          <cell r="L218" t="str">
            <v>x</v>
          </cell>
          <cell r="M218" t="str">
            <v>x</v>
          </cell>
          <cell r="O218" t="str">
            <v>x</v>
          </cell>
          <cell r="P218" t="str">
            <v>x</v>
          </cell>
          <cell r="Q218" t="str">
            <v>x</v>
          </cell>
          <cell r="R218" t="str">
            <v>x</v>
          </cell>
          <cell r="S218" t="str">
            <v>x</v>
          </cell>
          <cell r="T218" t="str">
            <v>x</v>
          </cell>
          <cell r="V218" t="str">
            <v>x</v>
          </cell>
          <cell r="W218" t="str">
            <v>x</v>
          </cell>
          <cell r="X218" t="str">
            <v>x</v>
          </cell>
          <cell r="Y218" t="str">
            <v>x</v>
          </cell>
          <cell r="Z218" t="str">
            <v>x</v>
          </cell>
          <cell r="AA218" t="str">
            <v>x</v>
          </cell>
          <cell r="AC218" t="str">
            <v>x</v>
          </cell>
          <cell r="AD218" t="str">
            <v>x</v>
          </cell>
          <cell r="AE218" t="str">
            <v>x</v>
          </cell>
          <cell r="AF218" t="str">
            <v>x</v>
          </cell>
          <cell r="AG218" t="str">
            <v>x</v>
          </cell>
          <cell r="AH218" t="str">
            <v>x</v>
          </cell>
          <cell r="AJ218" t="str">
            <v>x</v>
          </cell>
          <cell r="AK218" t="str">
            <v>x</v>
          </cell>
          <cell r="AL218" t="str">
            <v>x</v>
          </cell>
          <cell r="AM218">
            <v>25</v>
          </cell>
          <cell r="AN218">
            <v>0</v>
          </cell>
        </row>
        <row r="219">
          <cell r="C219">
            <v>50760</v>
          </cell>
          <cell r="D219">
            <v>44569</v>
          </cell>
          <cell r="E219">
            <v>44682</v>
          </cell>
          <cell r="F219" t="str">
            <v xml:space="preserve">Tổ 6 </v>
          </cell>
          <cell r="H219" t="str">
            <v>LT</v>
          </cell>
          <cell r="J219" t="str">
            <v>x</v>
          </cell>
          <cell r="K219" t="str">
            <v>x</v>
          </cell>
          <cell r="L219" t="str">
            <v>x</v>
          </cell>
          <cell r="M219" t="str">
            <v>x</v>
          </cell>
          <cell r="O219" t="str">
            <v>x</v>
          </cell>
          <cell r="P219" t="str">
            <v>x</v>
          </cell>
          <cell r="Q219" t="str">
            <v>x</v>
          </cell>
          <cell r="R219" t="str">
            <v>x</v>
          </cell>
          <cell r="S219" t="str">
            <v>x</v>
          </cell>
          <cell r="T219" t="str">
            <v>x</v>
          </cell>
          <cell r="V219" t="str">
            <v>x</v>
          </cell>
          <cell r="W219" t="str">
            <v>x</v>
          </cell>
          <cell r="X219" t="str">
            <v>x</v>
          </cell>
          <cell r="Y219" t="str">
            <v>x</v>
          </cell>
          <cell r="Z219" t="str">
            <v>x</v>
          </cell>
          <cell r="AA219" t="str">
            <v>x</v>
          </cell>
          <cell r="AC219" t="str">
            <v>x</v>
          </cell>
          <cell r="AD219" t="str">
            <v>x</v>
          </cell>
          <cell r="AE219" t="str">
            <v>x</v>
          </cell>
          <cell r="AF219" t="str">
            <v>x</v>
          </cell>
          <cell r="AG219" t="str">
            <v>x</v>
          </cell>
          <cell r="AH219" t="str">
            <v>x</v>
          </cell>
          <cell r="AJ219" t="str">
            <v>x</v>
          </cell>
          <cell r="AK219" t="str">
            <v>x</v>
          </cell>
          <cell r="AL219" t="str">
            <v>x</v>
          </cell>
          <cell r="AM219">
            <v>25</v>
          </cell>
          <cell r="AN219">
            <v>0</v>
          </cell>
        </row>
        <row r="220">
          <cell r="C220">
            <v>50773</v>
          </cell>
          <cell r="D220">
            <v>44601</v>
          </cell>
          <cell r="E220">
            <v>44682</v>
          </cell>
          <cell r="F220" t="str">
            <v>Tổ chi tiết</v>
          </cell>
          <cell r="H220" t="str">
            <v>LT</v>
          </cell>
          <cell r="J220" t="str">
            <v>x</v>
          </cell>
          <cell r="K220" t="str">
            <v>x</v>
          </cell>
          <cell r="L220" t="str">
            <v>x</v>
          </cell>
          <cell r="M220" t="str">
            <v>x</v>
          </cell>
          <cell r="O220" t="str">
            <v>x</v>
          </cell>
          <cell r="P220" t="str">
            <v>x</v>
          </cell>
          <cell r="Q220" t="str">
            <v>x</v>
          </cell>
          <cell r="R220" t="str">
            <v>x</v>
          </cell>
          <cell r="S220" t="str">
            <v>x</v>
          </cell>
          <cell r="T220" t="str">
            <v>x</v>
          </cell>
          <cell r="V220" t="str">
            <v>x</v>
          </cell>
          <cell r="W220" t="str">
            <v>x</v>
          </cell>
          <cell r="X220" t="str">
            <v>x</v>
          </cell>
          <cell r="Y220" t="str">
            <v>x</v>
          </cell>
          <cell r="Z220" t="str">
            <v>x</v>
          </cell>
          <cell r="AA220" t="str">
            <v>x</v>
          </cell>
          <cell r="AC220" t="str">
            <v>x</v>
          </cell>
          <cell r="AD220" t="str">
            <v>x</v>
          </cell>
          <cell r="AE220" t="str">
            <v>x</v>
          </cell>
          <cell r="AF220" t="str">
            <v>x</v>
          </cell>
          <cell r="AG220" t="str">
            <v>x</v>
          </cell>
          <cell r="AH220" t="str">
            <v>x</v>
          </cell>
          <cell r="AJ220" t="str">
            <v>x</v>
          </cell>
          <cell r="AK220" t="str">
            <v>x</v>
          </cell>
          <cell r="AL220" t="str">
            <v>x</v>
          </cell>
          <cell r="AM220">
            <v>25</v>
          </cell>
          <cell r="AN220">
            <v>0</v>
          </cell>
        </row>
        <row r="221">
          <cell r="C221">
            <v>50777</v>
          </cell>
          <cell r="D221">
            <v>44602</v>
          </cell>
          <cell r="E221">
            <v>44682</v>
          </cell>
          <cell r="F221" t="str">
            <v>Tổ chi tiết</v>
          </cell>
          <cell r="H221" t="str">
            <v>LT</v>
          </cell>
          <cell r="J221" t="str">
            <v>x</v>
          </cell>
          <cell r="K221" t="str">
            <v>x</v>
          </cell>
          <cell r="L221" t="str">
            <v>x</v>
          </cell>
          <cell r="M221" t="str">
            <v>x</v>
          </cell>
          <cell r="O221" t="str">
            <v>x</v>
          </cell>
          <cell r="P221" t="str">
            <v>x</v>
          </cell>
          <cell r="Q221" t="str">
            <v>x</v>
          </cell>
          <cell r="R221" t="str">
            <v>x</v>
          </cell>
          <cell r="S221" t="str">
            <v>x</v>
          </cell>
          <cell r="T221" t="str">
            <v>x</v>
          </cell>
          <cell r="V221" t="str">
            <v>x</v>
          </cell>
          <cell r="W221" t="str">
            <v>x</v>
          </cell>
          <cell r="X221" t="str">
            <v>x</v>
          </cell>
          <cell r="Y221" t="str">
            <v>x</v>
          </cell>
          <cell r="Z221" t="str">
            <v>x</v>
          </cell>
          <cell r="AA221" t="str">
            <v>x</v>
          </cell>
          <cell r="AC221" t="str">
            <v>x</v>
          </cell>
          <cell r="AD221" t="str">
            <v>x</v>
          </cell>
          <cell r="AE221" t="str">
            <v>x</v>
          </cell>
          <cell r="AF221" t="str">
            <v>x</v>
          </cell>
          <cell r="AG221" t="str">
            <v>x</v>
          </cell>
          <cell r="AH221" t="str">
            <v>x</v>
          </cell>
          <cell r="AJ221" t="str">
            <v>x</v>
          </cell>
          <cell r="AK221" t="str">
            <v>x</v>
          </cell>
          <cell r="AL221" t="str">
            <v>x</v>
          </cell>
          <cell r="AM221">
            <v>25</v>
          </cell>
          <cell r="AN221">
            <v>0</v>
          </cell>
        </row>
        <row r="222">
          <cell r="C222">
            <v>50780</v>
          </cell>
          <cell r="D222">
            <v>44596</v>
          </cell>
          <cell r="E222">
            <v>44682</v>
          </cell>
          <cell r="F222" t="str">
            <v>LÀ TP</v>
          </cell>
          <cell r="H222" t="str">
            <v>LT</v>
          </cell>
          <cell r="J222" t="str">
            <v>x</v>
          </cell>
          <cell r="K222" t="str">
            <v>x</v>
          </cell>
          <cell r="L222" t="str">
            <v>x</v>
          </cell>
          <cell r="M222" t="str">
            <v>x</v>
          </cell>
          <cell r="O222" t="str">
            <v>x/2</v>
          </cell>
          <cell r="P222" t="str">
            <v>x</v>
          </cell>
          <cell r="Q222" t="str">
            <v>Ro</v>
          </cell>
          <cell r="R222" t="str">
            <v>Ro</v>
          </cell>
          <cell r="S222" t="str">
            <v>Ro</v>
          </cell>
          <cell r="T222" t="str">
            <v>x</v>
          </cell>
          <cell r="V222" t="str">
            <v>x</v>
          </cell>
          <cell r="W222" t="str">
            <v>x</v>
          </cell>
          <cell r="X222" t="str">
            <v>x</v>
          </cell>
          <cell r="Y222" t="str">
            <v>x</v>
          </cell>
          <cell r="Z222" t="str">
            <v>x</v>
          </cell>
          <cell r="AA222" t="str">
            <v>F</v>
          </cell>
          <cell r="AC222" t="str">
            <v>x</v>
          </cell>
          <cell r="AD222" t="str">
            <v>x</v>
          </cell>
          <cell r="AE222" t="str">
            <v>x</v>
          </cell>
          <cell r="AF222" t="str">
            <v>x</v>
          </cell>
          <cell r="AG222" t="str">
            <v>Ro</v>
          </cell>
          <cell r="AH222" t="str">
            <v>x</v>
          </cell>
          <cell r="AJ222" t="str">
            <v>x</v>
          </cell>
          <cell r="AK222" t="str">
            <v>x</v>
          </cell>
          <cell r="AL222" t="str">
            <v>x</v>
          </cell>
          <cell r="AM222">
            <v>19.5</v>
          </cell>
          <cell r="AN222">
            <v>0</v>
          </cell>
        </row>
        <row r="223">
          <cell r="C223">
            <v>50783</v>
          </cell>
          <cell r="D223">
            <v>44603</v>
          </cell>
          <cell r="E223">
            <v>44682</v>
          </cell>
          <cell r="F223" t="str">
            <v>Tổ chi tiết</v>
          </cell>
          <cell r="H223" t="str">
            <v>LT</v>
          </cell>
          <cell r="J223" t="str">
            <v>x</v>
          </cell>
          <cell r="K223" t="str">
            <v>x</v>
          </cell>
          <cell r="L223" t="str">
            <v>x</v>
          </cell>
          <cell r="M223" t="str">
            <v>x</v>
          </cell>
          <cell r="O223" t="str">
            <v>x</v>
          </cell>
          <cell r="P223" t="str">
            <v>x</v>
          </cell>
          <cell r="Q223" t="str">
            <v>x</v>
          </cell>
          <cell r="R223" t="str">
            <v>x</v>
          </cell>
          <cell r="S223" t="str">
            <v>x</v>
          </cell>
          <cell r="T223" t="str">
            <v>x</v>
          </cell>
          <cell r="V223" t="str">
            <v>x</v>
          </cell>
          <cell r="W223" t="str">
            <v>x</v>
          </cell>
          <cell r="X223" t="str">
            <v>x</v>
          </cell>
          <cell r="Y223" t="str">
            <v>x</v>
          </cell>
          <cell r="Z223" t="str">
            <v>x</v>
          </cell>
          <cell r="AA223" t="str">
            <v>x</v>
          </cell>
          <cell r="AC223" t="str">
            <v>x</v>
          </cell>
          <cell r="AD223" t="str">
            <v>x</v>
          </cell>
          <cell r="AE223" t="str">
            <v>x</v>
          </cell>
          <cell r="AF223" t="str">
            <v>x</v>
          </cell>
          <cell r="AG223" t="str">
            <v>x</v>
          </cell>
          <cell r="AH223" t="str">
            <v>x</v>
          </cell>
          <cell r="AJ223" t="str">
            <v>x</v>
          </cell>
          <cell r="AK223" t="str">
            <v>x</v>
          </cell>
          <cell r="AL223" t="str">
            <v>x</v>
          </cell>
          <cell r="AM223">
            <v>25</v>
          </cell>
          <cell r="AN223">
            <v>0</v>
          </cell>
        </row>
        <row r="224">
          <cell r="C224">
            <v>50787</v>
          </cell>
          <cell r="D224">
            <v>44606</v>
          </cell>
          <cell r="E224">
            <v>44682</v>
          </cell>
          <cell r="F224" t="str">
            <v>Tổ Sơ mi 1</v>
          </cell>
          <cell r="H224" t="str">
            <v>LT</v>
          </cell>
          <cell r="J224" t="str">
            <v>x</v>
          </cell>
          <cell r="K224" t="str">
            <v>x</v>
          </cell>
          <cell r="L224" t="str">
            <v>x</v>
          </cell>
          <cell r="M224" t="str">
            <v>x</v>
          </cell>
          <cell r="O224" t="str">
            <v>x</v>
          </cell>
          <cell r="P224" t="str">
            <v>x</v>
          </cell>
          <cell r="Q224" t="str">
            <v>x</v>
          </cell>
          <cell r="R224" t="str">
            <v>x</v>
          </cell>
          <cell r="S224" t="str">
            <v>x</v>
          </cell>
          <cell r="T224" t="str">
            <v>x</v>
          </cell>
          <cell r="V224" t="str">
            <v>x</v>
          </cell>
          <cell r="W224" t="str">
            <v>x</v>
          </cell>
          <cell r="X224" t="str">
            <v>x</v>
          </cell>
          <cell r="Y224" t="str">
            <v>x</v>
          </cell>
          <cell r="Z224" t="str">
            <v>x</v>
          </cell>
          <cell r="AA224" t="str">
            <v>x</v>
          </cell>
          <cell r="AC224" t="str">
            <v>x</v>
          </cell>
          <cell r="AD224" t="str">
            <v>x</v>
          </cell>
          <cell r="AE224" t="str">
            <v>x</v>
          </cell>
          <cell r="AF224" t="str">
            <v>x</v>
          </cell>
          <cell r="AG224" t="str">
            <v>x</v>
          </cell>
          <cell r="AH224" t="str">
            <v>x</v>
          </cell>
          <cell r="AJ224" t="str">
            <v>x</v>
          </cell>
          <cell r="AK224" t="str">
            <v>x</v>
          </cell>
          <cell r="AL224" t="str">
            <v>x</v>
          </cell>
          <cell r="AM224">
            <v>25</v>
          </cell>
          <cell r="AN224">
            <v>0</v>
          </cell>
        </row>
        <row r="225">
          <cell r="C225">
            <v>50791</v>
          </cell>
          <cell r="D225">
            <v>44606</v>
          </cell>
          <cell r="E225">
            <v>44682</v>
          </cell>
          <cell r="F225" t="str">
            <v>H.thiện</v>
          </cell>
          <cell r="H225" t="str">
            <v>LT</v>
          </cell>
          <cell r="J225" t="str">
            <v>x</v>
          </cell>
          <cell r="K225" t="str">
            <v>x</v>
          </cell>
          <cell r="L225" t="str">
            <v>x</v>
          </cell>
          <cell r="M225" t="str">
            <v>x</v>
          </cell>
          <cell r="O225" t="str">
            <v>x</v>
          </cell>
          <cell r="P225" t="str">
            <v>x</v>
          </cell>
          <cell r="Q225" t="str">
            <v>x</v>
          </cell>
          <cell r="R225" t="str">
            <v>x</v>
          </cell>
          <cell r="S225" t="str">
            <v>x</v>
          </cell>
          <cell r="T225" t="str">
            <v>x</v>
          </cell>
          <cell r="U225" t="str">
            <v>x/2</v>
          </cell>
          <cell r="V225" t="str">
            <v>x</v>
          </cell>
          <cell r="W225" t="str">
            <v>x</v>
          </cell>
          <cell r="X225" t="str">
            <v>x</v>
          </cell>
          <cell r="Y225" t="str">
            <v>x</v>
          </cell>
          <cell r="Z225" t="str">
            <v>x</v>
          </cell>
          <cell r="AA225" t="str">
            <v>x</v>
          </cell>
          <cell r="AC225" t="str">
            <v>x</v>
          </cell>
          <cell r="AD225" t="str">
            <v>x</v>
          </cell>
          <cell r="AE225" t="str">
            <v>x</v>
          </cell>
          <cell r="AF225" t="str">
            <v>x</v>
          </cell>
          <cell r="AG225" t="str">
            <v>x</v>
          </cell>
          <cell r="AH225" t="str">
            <v>x</v>
          </cell>
          <cell r="AJ225" t="str">
            <v>x</v>
          </cell>
          <cell r="AK225" t="str">
            <v>x</v>
          </cell>
          <cell r="AL225" t="str">
            <v>x</v>
          </cell>
          <cell r="AM225">
            <v>25</v>
          </cell>
          <cell r="AN225">
            <v>0.5</v>
          </cell>
        </row>
        <row r="226">
          <cell r="C226">
            <v>50804</v>
          </cell>
          <cell r="D226">
            <v>44613</v>
          </cell>
          <cell r="E226">
            <v>44682</v>
          </cell>
          <cell r="F226" t="str">
            <v>Tổ sơ mi 1</v>
          </cell>
          <cell r="G226" t="str">
            <v>Mang thai</v>
          </cell>
          <cell r="H226" t="str">
            <v>LT</v>
          </cell>
          <cell r="J226" t="str">
            <v>x</v>
          </cell>
          <cell r="K226" t="str">
            <v>x</v>
          </cell>
          <cell r="L226" t="str">
            <v>x/2</v>
          </cell>
          <cell r="M226" t="str">
            <v>x</v>
          </cell>
          <cell r="O226" t="str">
            <v>F</v>
          </cell>
          <cell r="P226" t="str">
            <v>F</v>
          </cell>
          <cell r="Q226" t="str">
            <v>F</v>
          </cell>
          <cell r="R226" t="str">
            <v>x</v>
          </cell>
          <cell r="S226" t="str">
            <v>x</v>
          </cell>
          <cell r="T226" t="str">
            <v>x</v>
          </cell>
          <cell r="V226" t="str">
            <v>x</v>
          </cell>
          <cell r="W226" t="str">
            <v>x</v>
          </cell>
          <cell r="X226" t="str">
            <v>x</v>
          </cell>
          <cell r="Y226" t="str">
            <v>x</v>
          </cell>
          <cell r="Z226" t="str">
            <v>x</v>
          </cell>
          <cell r="AA226" t="str">
            <v>x</v>
          </cell>
          <cell r="AC226" t="str">
            <v>x</v>
          </cell>
          <cell r="AD226" t="str">
            <v>x</v>
          </cell>
          <cell r="AE226" t="str">
            <v>x</v>
          </cell>
          <cell r="AF226" t="str">
            <v>x</v>
          </cell>
          <cell r="AG226" t="str">
            <v>x</v>
          </cell>
          <cell r="AH226" t="str">
            <v>x</v>
          </cell>
          <cell r="AJ226" t="str">
            <v>F</v>
          </cell>
          <cell r="AK226" t="str">
            <v>x</v>
          </cell>
          <cell r="AL226" t="str">
            <v>x</v>
          </cell>
          <cell r="AM226">
            <v>20.5</v>
          </cell>
          <cell r="AN226">
            <v>0</v>
          </cell>
        </row>
        <row r="227">
          <cell r="C227">
            <v>50812</v>
          </cell>
          <cell r="D227">
            <v>44610</v>
          </cell>
          <cell r="E227">
            <v>44682</v>
          </cell>
          <cell r="F227" t="str">
            <v>Tổ 14</v>
          </cell>
          <cell r="H227" t="str">
            <v>LT</v>
          </cell>
          <cell r="J227" t="str">
            <v>F</v>
          </cell>
          <cell r="K227" t="str">
            <v>x</v>
          </cell>
          <cell r="L227" t="str">
            <v>F</v>
          </cell>
          <cell r="M227" t="str">
            <v>x</v>
          </cell>
          <cell r="O227" t="str">
            <v>x</v>
          </cell>
          <cell r="P227" t="str">
            <v>x</v>
          </cell>
          <cell r="Q227" t="str">
            <v>x</v>
          </cell>
          <cell r="R227" t="str">
            <v>x</v>
          </cell>
          <cell r="S227" t="str">
            <v>x</v>
          </cell>
          <cell r="T227" t="str">
            <v>x</v>
          </cell>
          <cell r="V227" t="str">
            <v>x</v>
          </cell>
          <cell r="W227" t="str">
            <v>x</v>
          </cell>
          <cell r="X227" t="str">
            <v>x</v>
          </cell>
          <cell r="Y227" t="str">
            <v>x</v>
          </cell>
          <cell r="Z227" t="str">
            <v>x</v>
          </cell>
          <cell r="AA227" t="str">
            <v>x</v>
          </cell>
          <cell r="AC227" t="str">
            <v>x</v>
          </cell>
          <cell r="AD227" t="str">
            <v>x</v>
          </cell>
          <cell r="AE227" t="str">
            <v>x</v>
          </cell>
          <cell r="AF227" t="str">
            <v>x</v>
          </cell>
          <cell r="AG227" t="str">
            <v>x</v>
          </cell>
          <cell r="AH227" t="str">
            <v>x</v>
          </cell>
          <cell r="AJ227" t="str">
            <v>x</v>
          </cell>
          <cell r="AK227" t="str">
            <v>x</v>
          </cell>
          <cell r="AL227" t="str">
            <v>x</v>
          </cell>
          <cell r="AM227">
            <v>23</v>
          </cell>
          <cell r="AN227">
            <v>0</v>
          </cell>
        </row>
        <row r="228">
          <cell r="C228">
            <v>50834</v>
          </cell>
          <cell r="D228">
            <v>44627</v>
          </cell>
          <cell r="E228">
            <v>44682</v>
          </cell>
          <cell r="F228" t="str">
            <v>Tổ sơ mi 4</v>
          </cell>
          <cell r="H228" t="str">
            <v>LT</v>
          </cell>
          <cell r="J228" t="str">
            <v>x</v>
          </cell>
          <cell r="K228" t="str">
            <v>x</v>
          </cell>
          <cell r="L228" t="str">
            <v>x</v>
          </cell>
          <cell r="M228" t="str">
            <v>x</v>
          </cell>
          <cell r="O228" t="str">
            <v>x</v>
          </cell>
          <cell r="P228" t="str">
            <v>x</v>
          </cell>
          <cell r="Q228" t="str">
            <v>x</v>
          </cell>
          <cell r="R228" t="str">
            <v>x</v>
          </cell>
          <cell r="S228" t="str">
            <v>x</v>
          </cell>
          <cell r="T228" t="str">
            <v>x</v>
          </cell>
          <cell r="V228" t="str">
            <v>x</v>
          </cell>
          <cell r="W228" t="str">
            <v>x</v>
          </cell>
          <cell r="X228" t="str">
            <v>x</v>
          </cell>
          <cell r="Y228" t="str">
            <v>x</v>
          </cell>
          <cell r="Z228" t="str">
            <v>x</v>
          </cell>
          <cell r="AA228" t="str">
            <v>x</v>
          </cell>
          <cell r="AC228" t="str">
            <v>x</v>
          </cell>
          <cell r="AD228" t="str">
            <v>x</v>
          </cell>
          <cell r="AE228" t="str">
            <v>x</v>
          </cell>
          <cell r="AF228" t="str">
            <v>x</v>
          </cell>
          <cell r="AG228" t="str">
            <v>x</v>
          </cell>
          <cell r="AH228" t="str">
            <v>x</v>
          </cell>
          <cell r="AJ228" t="str">
            <v>x</v>
          </cell>
          <cell r="AK228" t="str">
            <v>x</v>
          </cell>
          <cell r="AL228" t="str">
            <v>x</v>
          </cell>
          <cell r="AM228">
            <v>25</v>
          </cell>
          <cell r="AN228">
            <v>0</v>
          </cell>
        </row>
        <row r="229">
          <cell r="C229">
            <v>50840</v>
          </cell>
          <cell r="D229">
            <v>44628</v>
          </cell>
          <cell r="E229">
            <v>44682</v>
          </cell>
          <cell r="F229" t="str">
            <v>Cắt</v>
          </cell>
          <cell r="H229" t="str">
            <v>LT</v>
          </cell>
          <cell r="J229" t="str">
            <v>x</v>
          </cell>
          <cell r="K229" t="str">
            <v>x</v>
          </cell>
          <cell r="L229" t="str">
            <v>x</v>
          </cell>
          <cell r="M229" t="str">
            <v>x</v>
          </cell>
          <cell r="O229" t="str">
            <v>x</v>
          </cell>
          <cell r="P229" t="str">
            <v>x</v>
          </cell>
          <cell r="Q229" t="str">
            <v>x</v>
          </cell>
          <cell r="R229" t="str">
            <v>x</v>
          </cell>
          <cell r="S229" t="str">
            <v>x</v>
          </cell>
          <cell r="T229" t="str">
            <v>x</v>
          </cell>
          <cell r="U229" t="str">
            <v>x/2</v>
          </cell>
          <cell r="V229" t="str">
            <v>x</v>
          </cell>
          <cell r="W229" t="str">
            <v>x</v>
          </cell>
          <cell r="X229" t="str">
            <v>x</v>
          </cell>
          <cell r="Y229" t="str">
            <v>x</v>
          </cell>
          <cell r="Z229" t="str">
            <v>x</v>
          </cell>
          <cell r="AA229" t="str">
            <v>x</v>
          </cell>
          <cell r="AC229" t="str">
            <v>x</v>
          </cell>
          <cell r="AD229" t="str">
            <v>x</v>
          </cell>
          <cell r="AE229" t="str">
            <v>x</v>
          </cell>
          <cell r="AF229" t="str">
            <v>x</v>
          </cell>
          <cell r="AG229" t="str">
            <v>x</v>
          </cell>
          <cell r="AH229" t="str">
            <v>x</v>
          </cell>
          <cell r="AJ229" t="str">
            <v>x</v>
          </cell>
          <cell r="AK229" t="str">
            <v>x</v>
          </cell>
          <cell r="AL229" t="str">
            <v>x</v>
          </cell>
          <cell r="AM229">
            <v>25</v>
          </cell>
          <cell r="AN229">
            <v>0.5</v>
          </cell>
        </row>
        <row r="230">
          <cell r="C230">
            <v>50842</v>
          </cell>
          <cell r="D230">
            <v>44628</v>
          </cell>
          <cell r="E230">
            <v>44682</v>
          </cell>
          <cell r="F230" t="str">
            <v>C.Điện</v>
          </cell>
          <cell r="H230" t="str">
            <v>LT</v>
          </cell>
          <cell r="J230" t="str">
            <v>x</v>
          </cell>
          <cell r="K230" t="str">
            <v>x</v>
          </cell>
          <cell r="L230" t="str">
            <v>x</v>
          </cell>
          <cell r="M230" t="str">
            <v>x</v>
          </cell>
          <cell r="O230" t="str">
            <v>x</v>
          </cell>
          <cell r="P230" t="str">
            <v>x</v>
          </cell>
          <cell r="Q230" t="str">
            <v>x</v>
          </cell>
          <cell r="R230" t="str">
            <v>x</v>
          </cell>
          <cell r="S230" t="str">
            <v>x</v>
          </cell>
          <cell r="T230" t="str">
            <v>x</v>
          </cell>
          <cell r="V230" t="str">
            <v>x</v>
          </cell>
          <cell r="W230" t="str">
            <v>x</v>
          </cell>
          <cell r="X230" t="str">
            <v>x</v>
          </cell>
          <cell r="Y230" t="str">
            <v>x</v>
          </cell>
          <cell r="Z230" t="str">
            <v>x</v>
          </cell>
          <cell r="AA230" t="str">
            <v>x</v>
          </cell>
          <cell r="AB230" t="str">
            <v>x</v>
          </cell>
          <cell r="AC230" t="str">
            <v>F</v>
          </cell>
          <cell r="AD230" t="str">
            <v>x</v>
          </cell>
          <cell r="AE230" t="str">
            <v>x</v>
          </cell>
          <cell r="AF230" t="str">
            <v>x</v>
          </cell>
          <cell r="AG230" t="str">
            <v>x</v>
          </cell>
          <cell r="AH230" t="str">
            <v>x</v>
          </cell>
          <cell r="AJ230" t="str">
            <v>F</v>
          </cell>
          <cell r="AK230" t="str">
            <v>x</v>
          </cell>
          <cell r="AL230" t="str">
            <v>x</v>
          </cell>
          <cell r="AM230">
            <v>23</v>
          </cell>
          <cell r="AN230">
            <v>1</v>
          </cell>
        </row>
        <row r="231">
          <cell r="C231">
            <v>50843</v>
          </cell>
          <cell r="D231">
            <v>44628</v>
          </cell>
          <cell r="E231">
            <v>44682</v>
          </cell>
          <cell r="F231" t="str">
            <v>LÀ TP</v>
          </cell>
          <cell r="H231" t="str">
            <v>LT</v>
          </cell>
          <cell r="J231" t="str">
            <v>x</v>
          </cell>
          <cell r="K231" t="str">
            <v>x</v>
          </cell>
          <cell r="L231" t="str">
            <v>x</v>
          </cell>
          <cell r="M231" t="str">
            <v>x</v>
          </cell>
          <cell r="O231" t="str">
            <v>x</v>
          </cell>
          <cell r="P231" t="str">
            <v>x</v>
          </cell>
          <cell r="Q231" t="str">
            <v>x</v>
          </cell>
          <cell r="R231" t="str">
            <v>x</v>
          </cell>
          <cell r="S231" t="str">
            <v>x</v>
          </cell>
          <cell r="T231" t="str">
            <v>x</v>
          </cell>
          <cell r="V231" t="str">
            <v>x</v>
          </cell>
          <cell r="W231" t="str">
            <v>x</v>
          </cell>
          <cell r="X231" t="str">
            <v>x</v>
          </cell>
          <cell r="Y231" t="str">
            <v>x</v>
          </cell>
          <cell r="Z231" t="str">
            <v>x</v>
          </cell>
          <cell r="AA231" t="str">
            <v>x</v>
          </cell>
          <cell r="AC231" t="str">
            <v>x</v>
          </cell>
          <cell r="AD231" t="str">
            <v>x</v>
          </cell>
          <cell r="AE231" t="str">
            <v>x</v>
          </cell>
          <cell r="AF231" t="str">
            <v>x</v>
          </cell>
          <cell r="AG231" t="str">
            <v>x/2</v>
          </cell>
          <cell r="AH231" t="str">
            <v>x</v>
          </cell>
          <cell r="AJ231" t="str">
            <v>Ro</v>
          </cell>
          <cell r="AK231" t="str">
            <v>Ro</v>
          </cell>
          <cell r="AL231" t="str">
            <v>Ro</v>
          </cell>
          <cell r="AM231">
            <v>21.5</v>
          </cell>
          <cell r="AN231">
            <v>0</v>
          </cell>
        </row>
        <row r="232">
          <cell r="C232">
            <v>50849</v>
          </cell>
          <cell r="D232">
            <v>44634</v>
          </cell>
          <cell r="E232">
            <v>44682</v>
          </cell>
          <cell r="F232" t="str">
            <v>Kiểm hoá</v>
          </cell>
          <cell r="G232" t="str">
            <v>Mang thai</v>
          </cell>
          <cell r="H232" t="str">
            <v>LT</v>
          </cell>
          <cell r="J232" t="str">
            <v>x</v>
          </cell>
          <cell r="K232" t="str">
            <v>x</v>
          </cell>
          <cell r="L232" t="str">
            <v>x</v>
          </cell>
          <cell r="M232" t="str">
            <v>x</v>
          </cell>
          <cell r="O232" t="str">
            <v>x</v>
          </cell>
          <cell r="P232" t="str">
            <v>x</v>
          </cell>
          <cell r="Q232" t="str">
            <v>x</v>
          </cell>
          <cell r="R232" t="str">
            <v>x</v>
          </cell>
          <cell r="S232" t="str">
            <v>x</v>
          </cell>
          <cell r="T232" t="str">
            <v>x</v>
          </cell>
          <cell r="V232" t="str">
            <v>x</v>
          </cell>
          <cell r="W232" t="str">
            <v>x</v>
          </cell>
          <cell r="X232" t="str">
            <v>x</v>
          </cell>
          <cell r="Y232" t="str">
            <v>x</v>
          </cell>
          <cell r="Z232" t="str">
            <v>x</v>
          </cell>
          <cell r="AA232" t="str">
            <v>x</v>
          </cell>
          <cell r="AC232" t="str">
            <v>x</v>
          </cell>
          <cell r="AD232" t="str">
            <v>x</v>
          </cell>
          <cell r="AE232" t="str">
            <v>x</v>
          </cell>
          <cell r="AF232" t="str">
            <v>x</v>
          </cell>
          <cell r="AG232" t="str">
            <v>x</v>
          </cell>
          <cell r="AH232" t="str">
            <v>x</v>
          </cell>
          <cell r="AJ232" t="str">
            <v>x</v>
          </cell>
          <cell r="AK232" t="str">
            <v>x</v>
          </cell>
          <cell r="AL232" t="str">
            <v>x</v>
          </cell>
          <cell r="AM232">
            <v>25</v>
          </cell>
          <cell r="AN232">
            <v>0</v>
          </cell>
        </row>
        <row r="233">
          <cell r="C233">
            <v>50851</v>
          </cell>
          <cell r="D233">
            <v>44634</v>
          </cell>
          <cell r="E233">
            <v>44682</v>
          </cell>
          <cell r="F233" t="str">
            <v>Nghỉ thai sản</v>
          </cell>
          <cell r="H233" t="str">
            <v>TS</v>
          </cell>
          <cell r="J233" t="str">
            <v>TS</v>
          </cell>
          <cell r="K233" t="str">
            <v>TS</v>
          </cell>
          <cell r="L233" t="str">
            <v>TS</v>
          </cell>
          <cell r="M233" t="str">
            <v>TS</v>
          </cell>
          <cell r="O233" t="str">
            <v>TS</v>
          </cell>
          <cell r="P233" t="str">
            <v>TS</v>
          </cell>
          <cell r="Q233" t="str">
            <v>TS</v>
          </cell>
          <cell r="R233" t="str">
            <v>TS</v>
          </cell>
          <cell r="S233" t="str">
            <v>TS</v>
          </cell>
          <cell r="T233" t="str">
            <v>TS</v>
          </cell>
          <cell r="V233" t="str">
            <v>TS</v>
          </cell>
          <cell r="W233" t="str">
            <v>TS</v>
          </cell>
          <cell r="X233" t="str">
            <v>TS</v>
          </cell>
          <cell r="Y233" t="str">
            <v>TS</v>
          </cell>
          <cell r="Z233" t="str">
            <v>TS</v>
          </cell>
          <cell r="AA233" t="str">
            <v>TS</v>
          </cell>
          <cell r="AC233" t="str">
            <v>TS</v>
          </cell>
          <cell r="AD233" t="str">
            <v>TS</v>
          </cell>
          <cell r="AE233" t="str">
            <v>TS</v>
          </cell>
          <cell r="AF233" t="str">
            <v>TS</v>
          </cell>
          <cell r="AG233" t="str">
            <v>TS</v>
          </cell>
          <cell r="AH233" t="str">
            <v>TS</v>
          </cell>
          <cell r="AJ233" t="str">
            <v>TS</v>
          </cell>
          <cell r="AK233" t="str">
            <v>TS</v>
          </cell>
          <cell r="AL233" t="str">
            <v>TS</v>
          </cell>
          <cell r="AM233">
            <v>0</v>
          </cell>
          <cell r="AN233">
            <v>0</v>
          </cell>
        </row>
        <row r="234">
          <cell r="C234">
            <v>50852</v>
          </cell>
          <cell r="D234">
            <v>44634</v>
          </cell>
          <cell r="E234">
            <v>44682</v>
          </cell>
          <cell r="F234" t="str">
            <v>Nghỉ không lương</v>
          </cell>
          <cell r="H234" t="str">
            <v>TS</v>
          </cell>
          <cell r="J234" t="str">
            <v>TS</v>
          </cell>
          <cell r="K234" t="str">
            <v>TS</v>
          </cell>
          <cell r="L234" t="str">
            <v>TS</v>
          </cell>
          <cell r="M234" t="str">
            <v>TS</v>
          </cell>
          <cell r="O234" t="str">
            <v>TS</v>
          </cell>
          <cell r="P234" t="str">
            <v>TS</v>
          </cell>
          <cell r="Q234" t="str">
            <v>TS</v>
          </cell>
          <cell r="R234" t="str">
            <v>TS</v>
          </cell>
          <cell r="S234" t="str">
            <v>TS</v>
          </cell>
          <cell r="T234" t="str">
            <v>TS</v>
          </cell>
          <cell r="V234" t="str">
            <v>TS</v>
          </cell>
          <cell r="W234" t="str">
            <v>TS</v>
          </cell>
          <cell r="X234" t="str">
            <v>TS</v>
          </cell>
          <cell r="Y234" t="str">
            <v>TS</v>
          </cell>
          <cell r="Z234" t="str">
            <v>TS</v>
          </cell>
          <cell r="AA234" t="str">
            <v>TS</v>
          </cell>
          <cell r="AC234" t="str">
            <v>TS</v>
          </cell>
          <cell r="AD234" t="str">
            <v>TS</v>
          </cell>
          <cell r="AE234" t="str">
            <v>TS</v>
          </cell>
          <cell r="AF234" t="str">
            <v>TS</v>
          </cell>
          <cell r="AG234" t="str">
            <v>TS</v>
          </cell>
          <cell r="AH234" t="str">
            <v>TS</v>
          </cell>
          <cell r="AJ234" t="str">
            <v>TS</v>
          </cell>
          <cell r="AK234" t="str">
            <v>TS</v>
          </cell>
          <cell r="AL234" t="str">
            <v>TS</v>
          </cell>
          <cell r="AM234">
            <v>0</v>
          </cell>
          <cell r="AN234">
            <v>0</v>
          </cell>
        </row>
        <row r="235">
          <cell r="C235">
            <v>50854</v>
          </cell>
          <cell r="D235">
            <v>44635</v>
          </cell>
          <cell r="E235">
            <v>44682</v>
          </cell>
          <cell r="F235" t="str">
            <v>K.thuật</v>
          </cell>
          <cell r="H235" t="str">
            <v>TS</v>
          </cell>
          <cell r="J235" t="str">
            <v>TS</v>
          </cell>
          <cell r="K235" t="str">
            <v>TS</v>
          </cell>
          <cell r="L235" t="str">
            <v>TS</v>
          </cell>
          <cell r="M235" t="str">
            <v>TS</v>
          </cell>
          <cell r="O235" t="str">
            <v>TS</v>
          </cell>
          <cell r="P235" t="str">
            <v>TS</v>
          </cell>
          <cell r="Q235" t="str">
            <v>TS</v>
          </cell>
          <cell r="R235" t="str">
            <v>TS</v>
          </cell>
          <cell r="S235" t="str">
            <v>TS</v>
          </cell>
          <cell r="T235" t="str">
            <v>TS</v>
          </cell>
          <cell r="V235" t="str">
            <v>TS</v>
          </cell>
          <cell r="W235" t="str">
            <v>TS</v>
          </cell>
          <cell r="X235" t="str">
            <v>TS</v>
          </cell>
          <cell r="Y235" t="str">
            <v>TS</v>
          </cell>
          <cell r="Z235" t="str">
            <v>TS</v>
          </cell>
          <cell r="AA235" t="str">
            <v>TS</v>
          </cell>
          <cell r="AC235" t="str">
            <v>TS</v>
          </cell>
          <cell r="AD235" t="str">
            <v>TS</v>
          </cell>
          <cell r="AE235" t="str">
            <v>TS</v>
          </cell>
          <cell r="AF235" t="str">
            <v>TS</v>
          </cell>
          <cell r="AG235" t="str">
            <v>TS</v>
          </cell>
          <cell r="AH235" t="str">
            <v>TS</v>
          </cell>
          <cell r="AJ235" t="str">
            <v>TS</v>
          </cell>
          <cell r="AK235" t="str">
            <v>TS</v>
          </cell>
          <cell r="AL235" t="str">
            <v>TS</v>
          </cell>
          <cell r="AM235">
            <v>0</v>
          </cell>
          <cell r="AN235">
            <v>0</v>
          </cell>
        </row>
        <row r="236">
          <cell r="C236">
            <v>50858</v>
          </cell>
          <cell r="D236">
            <v>44636</v>
          </cell>
          <cell r="E236">
            <v>44682</v>
          </cell>
          <cell r="F236" t="str">
            <v>K.thuật</v>
          </cell>
          <cell r="H236" t="str">
            <v>LT</v>
          </cell>
          <cell r="J236" t="str">
            <v>x</v>
          </cell>
          <cell r="K236" t="str">
            <v>x</v>
          </cell>
          <cell r="L236" t="str">
            <v>x</v>
          </cell>
          <cell r="M236" t="str">
            <v>x</v>
          </cell>
          <cell r="O236" t="str">
            <v>x</v>
          </cell>
          <cell r="P236" t="str">
            <v>x</v>
          </cell>
          <cell r="Q236" t="str">
            <v>x</v>
          </cell>
          <cell r="R236" t="str">
            <v>x</v>
          </cell>
          <cell r="S236" t="str">
            <v>x</v>
          </cell>
          <cell r="T236" t="str">
            <v>x</v>
          </cell>
          <cell r="U236" t="str">
            <v>x/2</v>
          </cell>
          <cell r="V236" t="str">
            <v>x</v>
          </cell>
          <cell r="W236" t="str">
            <v>x</v>
          </cell>
          <cell r="X236" t="str">
            <v>x</v>
          </cell>
          <cell r="Y236" t="str">
            <v>x</v>
          </cell>
          <cell r="Z236" t="str">
            <v>x</v>
          </cell>
          <cell r="AA236" t="str">
            <v>x</v>
          </cell>
          <cell r="AC236" t="str">
            <v>x</v>
          </cell>
          <cell r="AD236" t="str">
            <v>x</v>
          </cell>
          <cell r="AE236" t="str">
            <v>x</v>
          </cell>
          <cell r="AF236" t="str">
            <v>x</v>
          </cell>
          <cell r="AG236" t="str">
            <v>x</v>
          </cell>
          <cell r="AH236" t="str">
            <v>F</v>
          </cell>
          <cell r="AJ236" t="str">
            <v>F</v>
          </cell>
          <cell r="AK236" t="str">
            <v>x</v>
          </cell>
          <cell r="AL236" t="str">
            <v>x</v>
          </cell>
          <cell r="AM236">
            <v>23</v>
          </cell>
          <cell r="AN236">
            <v>0.5</v>
          </cell>
        </row>
        <row r="237">
          <cell r="C237">
            <v>50863</v>
          </cell>
          <cell r="D237">
            <v>44637</v>
          </cell>
          <cell r="E237">
            <v>44682</v>
          </cell>
          <cell r="F237" t="str">
            <v>Tổ Sơ mi 2</v>
          </cell>
          <cell r="H237" t="str">
            <v>LT</v>
          </cell>
          <cell r="J237" t="str">
            <v>x</v>
          </cell>
          <cell r="K237" t="str">
            <v>x</v>
          </cell>
          <cell r="L237" t="str">
            <v>x</v>
          </cell>
          <cell r="M237" t="str">
            <v>x</v>
          </cell>
          <cell r="O237" t="str">
            <v>x</v>
          </cell>
          <cell r="P237" t="str">
            <v>x</v>
          </cell>
          <cell r="Q237" t="str">
            <v>x</v>
          </cell>
          <cell r="R237" t="str">
            <v>x</v>
          </cell>
          <cell r="S237" t="str">
            <v>x</v>
          </cell>
          <cell r="T237" t="str">
            <v>x</v>
          </cell>
          <cell r="V237" t="str">
            <v>x</v>
          </cell>
          <cell r="W237" t="str">
            <v>x</v>
          </cell>
          <cell r="X237" t="str">
            <v>x</v>
          </cell>
          <cell r="Y237" t="str">
            <v>x</v>
          </cell>
          <cell r="Z237" t="str">
            <v>x</v>
          </cell>
          <cell r="AA237" t="str">
            <v>x</v>
          </cell>
          <cell r="AC237" t="str">
            <v>x</v>
          </cell>
          <cell r="AD237" t="str">
            <v>x</v>
          </cell>
          <cell r="AE237" t="str">
            <v>x</v>
          </cell>
          <cell r="AF237" t="str">
            <v>x</v>
          </cell>
          <cell r="AG237" t="str">
            <v>x</v>
          </cell>
          <cell r="AH237" t="str">
            <v>x</v>
          </cell>
          <cell r="AJ237" t="str">
            <v>x</v>
          </cell>
          <cell r="AK237" t="str">
            <v>x</v>
          </cell>
          <cell r="AL237" t="str">
            <v>x</v>
          </cell>
          <cell r="AM237">
            <v>25</v>
          </cell>
          <cell r="AN237">
            <v>0</v>
          </cell>
        </row>
        <row r="238">
          <cell r="C238">
            <v>50864</v>
          </cell>
          <cell r="D238">
            <v>44636</v>
          </cell>
          <cell r="E238">
            <v>44682</v>
          </cell>
          <cell r="F238" t="str">
            <v>Tổ 5</v>
          </cell>
          <cell r="H238" t="str">
            <v>LT</v>
          </cell>
          <cell r="J238" t="str">
            <v>x</v>
          </cell>
          <cell r="K238" t="str">
            <v>x</v>
          </cell>
          <cell r="L238" t="str">
            <v>x</v>
          </cell>
          <cell r="M238" t="str">
            <v>x</v>
          </cell>
          <cell r="O238" t="str">
            <v>x</v>
          </cell>
          <cell r="P238" t="str">
            <v>x</v>
          </cell>
          <cell r="Q238" t="str">
            <v>x</v>
          </cell>
          <cell r="R238" t="str">
            <v>x</v>
          </cell>
          <cell r="S238" t="str">
            <v>x</v>
          </cell>
          <cell r="T238" t="str">
            <v>x</v>
          </cell>
          <cell r="V238" t="str">
            <v>x</v>
          </cell>
          <cell r="W238" t="str">
            <v>x</v>
          </cell>
          <cell r="X238" t="str">
            <v>x</v>
          </cell>
          <cell r="Y238" t="str">
            <v>x</v>
          </cell>
          <cell r="Z238" t="str">
            <v>x</v>
          </cell>
          <cell r="AA238" t="str">
            <v>x</v>
          </cell>
          <cell r="AC238" t="str">
            <v>x</v>
          </cell>
          <cell r="AD238" t="str">
            <v>x</v>
          </cell>
          <cell r="AE238" t="str">
            <v>x</v>
          </cell>
          <cell r="AF238" t="str">
            <v>x</v>
          </cell>
          <cell r="AG238" t="str">
            <v>x</v>
          </cell>
          <cell r="AH238" t="str">
            <v>x</v>
          </cell>
          <cell r="AJ238" t="str">
            <v>x</v>
          </cell>
          <cell r="AK238" t="str">
            <v>x</v>
          </cell>
          <cell r="AL238" t="str">
            <v>x</v>
          </cell>
          <cell r="AM238">
            <v>25</v>
          </cell>
          <cell r="AN238">
            <v>0</v>
          </cell>
        </row>
        <row r="239">
          <cell r="C239">
            <v>50866</v>
          </cell>
          <cell r="D239">
            <v>44641</v>
          </cell>
          <cell r="E239">
            <v>44682</v>
          </cell>
          <cell r="F239" t="str">
            <v>LÀ TP</v>
          </cell>
          <cell r="H239" t="str">
            <v>LT</v>
          </cell>
          <cell r="J239" t="str">
            <v>x</v>
          </cell>
          <cell r="K239" t="str">
            <v>x</v>
          </cell>
          <cell r="L239" t="str">
            <v>x</v>
          </cell>
          <cell r="M239" t="str">
            <v>x</v>
          </cell>
          <cell r="O239" t="str">
            <v>x</v>
          </cell>
          <cell r="P239" t="str">
            <v>x</v>
          </cell>
          <cell r="Q239" t="str">
            <v>x</v>
          </cell>
          <cell r="R239" t="str">
            <v>x</v>
          </cell>
          <cell r="S239" t="str">
            <v>x</v>
          </cell>
          <cell r="T239" t="str">
            <v>x</v>
          </cell>
          <cell r="V239" t="str">
            <v>x</v>
          </cell>
          <cell r="W239" t="str">
            <v>x</v>
          </cell>
          <cell r="X239" t="str">
            <v>x</v>
          </cell>
          <cell r="Y239" t="str">
            <v>x</v>
          </cell>
          <cell r="Z239" t="str">
            <v>x</v>
          </cell>
          <cell r="AA239" t="str">
            <v>x</v>
          </cell>
          <cell r="AC239" t="str">
            <v>x</v>
          </cell>
          <cell r="AD239" t="str">
            <v>x</v>
          </cell>
          <cell r="AE239" t="str">
            <v>x</v>
          </cell>
          <cell r="AF239" t="str">
            <v>x</v>
          </cell>
          <cell r="AG239" t="str">
            <v>x</v>
          </cell>
          <cell r="AH239" t="str">
            <v>x</v>
          </cell>
          <cell r="AJ239" t="str">
            <v>x</v>
          </cell>
          <cell r="AK239" t="str">
            <v>x</v>
          </cell>
          <cell r="AL239" t="str">
            <v>x</v>
          </cell>
          <cell r="AM239">
            <v>25</v>
          </cell>
          <cell r="AN239">
            <v>0</v>
          </cell>
        </row>
        <row r="240">
          <cell r="C240">
            <v>50868</v>
          </cell>
          <cell r="D240">
            <v>44642</v>
          </cell>
          <cell r="E240">
            <v>44682</v>
          </cell>
          <cell r="F240" t="str">
            <v>C.điện</v>
          </cell>
          <cell r="H240" t="str">
            <v>LT</v>
          </cell>
          <cell r="J240" t="str">
            <v>x</v>
          </cell>
          <cell r="K240" t="str">
            <v>x</v>
          </cell>
          <cell r="L240" t="str">
            <v>x/2</v>
          </cell>
          <cell r="M240" t="str">
            <v>x</v>
          </cell>
          <cell r="O240" t="str">
            <v>x</v>
          </cell>
          <cell r="P240" t="str">
            <v>x</v>
          </cell>
          <cell r="Q240" t="str">
            <v>x</v>
          </cell>
          <cell r="R240" t="str">
            <v>x</v>
          </cell>
          <cell r="S240" t="str">
            <v>x</v>
          </cell>
          <cell r="T240" t="str">
            <v>x</v>
          </cell>
          <cell r="V240" t="str">
            <v>x</v>
          </cell>
          <cell r="W240" t="str">
            <v>x</v>
          </cell>
          <cell r="X240" t="str">
            <v>x</v>
          </cell>
          <cell r="Y240" t="str">
            <v>x</v>
          </cell>
          <cell r="Z240" t="str">
            <v>x</v>
          </cell>
          <cell r="AA240" t="str">
            <v>x</v>
          </cell>
          <cell r="AB240" t="str">
            <v>x</v>
          </cell>
          <cell r="AC240" t="str">
            <v>x</v>
          </cell>
          <cell r="AD240" t="str">
            <v>x</v>
          </cell>
          <cell r="AE240" t="str">
            <v>x</v>
          </cell>
          <cell r="AF240" t="str">
            <v>x</v>
          </cell>
          <cell r="AG240" t="str">
            <v>x</v>
          </cell>
          <cell r="AH240" t="str">
            <v>x</v>
          </cell>
          <cell r="AJ240" t="str">
            <v>x</v>
          </cell>
          <cell r="AK240" t="str">
            <v>x</v>
          </cell>
          <cell r="AL240" t="str">
            <v>x</v>
          </cell>
          <cell r="AM240">
            <v>24.5</v>
          </cell>
          <cell r="AN240">
            <v>1</v>
          </cell>
        </row>
        <row r="241">
          <cell r="C241">
            <v>50871</v>
          </cell>
          <cell r="D241">
            <v>44643</v>
          </cell>
          <cell r="E241">
            <v>44682</v>
          </cell>
          <cell r="F241" t="str">
            <v>Tổ sơ mi 4</v>
          </cell>
          <cell r="H241" t="str">
            <v>LT</v>
          </cell>
          <cell r="J241" t="str">
            <v>x</v>
          </cell>
          <cell r="K241" t="str">
            <v>x</v>
          </cell>
          <cell r="L241" t="str">
            <v>x</v>
          </cell>
          <cell r="M241" t="str">
            <v>x</v>
          </cell>
          <cell r="O241" t="str">
            <v>x</v>
          </cell>
          <cell r="P241" t="str">
            <v>x</v>
          </cell>
          <cell r="Q241" t="str">
            <v>x</v>
          </cell>
          <cell r="R241" t="str">
            <v>x</v>
          </cell>
          <cell r="S241" t="str">
            <v>x/2</v>
          </cell>
          <cell r="T241" t="str">
            <v>x</v>
          </cell>
          <cell r="V241" t="str">
            <v>x</v>
          </cell>
          <cell r="W241" t="str">
            <v>x</v>
          </cell>
          <cell r="X241" t="str">
            <v>x</v>
          </cell>
          <cell r="Y241" t="str">
            <v>x</v>
          </cell>
          <cell r="Z241" t="str">
            <v>x</v>
          </cell>
          <cell r="AA241" t="str">
            <v>x</v>
          </cell>
          <cell r="AC241" t="str">
            <v>F</v>
          </cell>
          <cell r="AD241" t="str">
            <v>F</v>
          </cell>
          <cell r="AE241" t="str">
            <v>x</v>
          </cell>
          <cell r="AF241" t="str">
            <v>x</v>
          </cell>
          <cell r="AG241" t="str">
            <v>x</v>
          </cell>
          <cell r="AH241" t="str">
            <v>x</v>
          </cell>
          <cell r="AJ241" t="str">
            <v>x</v>
          </cell>
          <cell r="AK241" t="str">
            <v>x</v>
          </cell>
          <cell r="AL241" t="str">
            <v>x</v>
          </cell>
          <cell r="AM241">
            <v>22.5</v>
          </cell>
          <cell r="AN241">
            <v>0</v>
          </cell>
        </row>
        <row r="242">
          <cell r="C242">
            <v>50872</v>
          </cell>
          <cell r="D242">
            <v>44645</v>
          </cell>
          <cell r="E242">
            <v>44682</v>
          </cell>
          <cell r="F242" t="str">
            <v>LÀ TP</v>
          </cell>
          <cell r="H242" t="str">
            <v>LT</v>
          </cell>
          <cell r="J242" t="str">
            <v>x</v>
          </cell>
          <cell r="K242" t="str">
            <v>x</v>
          </cell>
          <cell r="L242" t="str">
            <v>x</v>
          </cell>
          <cell r="M242" t="str">
            <v>x</v>
          </cell>
          <cell r="O242" t="str">
            <v>x</v>
          </cell>
          <cell r="P242" t="str">
            <v>x</v>
          </cell>
          <cell r="Q242" t="str">
            <v>x</v>
          </cell>
          <cell r="R242" t="str">
            <v>x</v>
          </cell>
          <cell r="S242" t="str">
            <v>x</v>
          </cell>
          <cell r="T242" t="str">
            <v>x</v>
          </cell>
          <cell r="V242" t="str">
            <v>x</v>
          </cell>
          <cell r="W242" t="str">
            <v>x</v>
          </cell>
          <cell r="X242" t="str">
            <v>x</v>
          </cell>
          <cell r="Y242" t="str">
            <v>x</v>
          </cell>
          <cell r="Z242" t="str">
            <v>x</v>
          </cell>
          <cell r="AA242" t="str">
            <v>x</v>
          </cell>
          <cell r="AC242" t="str">
            <v>x</v>
          </cell>
          <cell r="AD242" t="str">
            <v>x</v>
          </cell>
          <cell r="AE242" t="str">
            <v>x</v>
          </cell>
          <cell r="AF242" t="str">
            <v>x</v>
          </cell>
          <cell r="AG242" t="str">
            <v>x</v>
          </cell>
          <cell r="AH242" t="str">
            <v>x</v>
          </cell>
          <cell r="AJ242" t="str">
            <v>x</v>
          </cell>
          <cell r="AK242" t="str">
            <v>x</v>
          </cell>
          <cell r="AL242" t="str">
            <v>x</v>
          </cell>
          <cell r="AM242">
            <v>25</v>
          </cell>
          <cell r="AN242">
            <v>0</v>
          </cell>
        </row>
        <row r="243">
          <cell r="C243">
            <v>50874</v>
          </cell>
          <cell r="D243">
            <v>44646</v>
          </cell>
          <cell r="E243">
            <v>44682</v>
          </cell>
          <cell r="F243" t="str">
            <v>Tổ 5</v>
          </cell>
          <cell r="H243" t="str">
            <v>LT</v>
          </cell>
          <cell r="J243" t="str">
            <v>x</v>
          </cell>
          <cell r="K243" t="str">
            <v>x</v>
          </cell>
          <cell r="L243" t="str">
            <v>x</v>
          </cell>
          <cell r="M243" t="str">
            <v>x</v>
          </cell>
          <cell r="O243" t="str">
            <v>x</v>
          </cell>
          <cell r="P243" t="str">
            <v>x</v>
          </cell>
          <cell r="Q243" t="str">
            <v>x</v>
          </cell>
          <cell r="R243" t="str">
            <v>x</v>
          </cell>
          <cell r="S243" t="str">
            <v>x</v>
          </cell>
          <cell r="T243" t="str">
            <v>x</v>
          </cell>
          <cell r="V243" t="str">
            <v>x</v>
          </cell>
          <cell r="W243" t="str">
            <v>x</v>
          </cell>
          <cell r="X243" t="str">
            <v>x</v>
          </cell>
          <cell r="Y243" t="str">
            <v>x</v>
          </cell>
          <cell r="Z243" t="str">
            <v>x</v>
          </cell>
          <cell r="AA243" t="str">
            <v>x</v>
          </cell>
          <cell r="AC243" t="str">
            <v>x</v>
          </cell>
          <cell r="AD243" t="str">
            <v>x</v>
          </cell>
          <cell r="AE243" t="str">
            <v>x</v>
          </cell>
          <cell r="AF243" t="str">
            <v>x</v>
          </cell>
          <cell r="AG243" t="str">
            <v>x</v>
          </cell>
          <cell r="AH243" t="str">
            <v>x</v>
          </cell>
          <cell r="AJ243" t="str">
            <v>x</v>
          </cell>
          <cell r="AK243" t="str">
            <v>x</v>
          </cell>
          <cell r="AL243" t="str">
            <v>x</v>
          </cell>
          <cell r="AM243">
            <v>25</v>
          </cell>
          <cell r="AN243">
            <v>0</v>
          </cell>
        </row>
        <row r="244">
          <cell r="C244">
            <v>50877</v>
          </cell>
          <cell r="D244">
            <v>44649</v>
          </cell>
          <cell r="E244">
            <v>44682</v>
          </cell>
          <cell r="F244" t="str">
            <v>Tổ 15</v>
          </cell>
          <cell r="H244" t="str">
            <v>LT</v>
          </cell>
          <cell r="J244" t="str">
            <v>x</v>
          </cell>
          <cell r="K244" t="str">
            <v>x</v>
          </cell>
          <cell r="L244" t="str">
            <v>x</v>
          </cell>
          <cell r="M244" t="str">
            <v>x</v>
          </cell>
          <cell r="O244" t="str">
            <v>x</v>
          </cell>
          <cell r="P244" t="str">
            <v>x</v>
          </cell>
          <cell r="Q244" t="str">
            <v>x</v>
          </cell>
          <cell r="R244" t="str">
            <v>x</v>
          </cell>
          <cell r="S244" t="str">
            <v>x</v>
          </cell>
          <cell r="T244" t="str">
            <v>x</v>
          </cell>
          <cell r="V244" t="str">
            <v>x</v>
          </cell>
          <cell r="W244" t="str">
            <v>x</v>
          </cell>
          <cell r="X244" t="str">
            <v>x</v>
          </cell>
          <cell r="Y244" t="str">
            <v>F</v>
          </cell>
          <cell r="Z244" t="str">
            <v>x</v>
          </cell>
          <cell r="AA244" t="str">
            <v>x</v>
          </cell>
          <cell r="AC244" t="str">
            <v>x</v>
          </cell>
          <cell r="AD244" t="str">
            <v>x</v>
          </cell>
          <cell r="AE244" t="str">
            <v>x</v>
          </cell>
          <cell r="AF244" t="str">
            <v>x</v>
          </cell>
          <cell r="AG244" t="str">
            <v>x</v>
          </cell>
          <cell r="AH244" t="str">
            <v>x</v>
          </cell>
          <cell r="AJ244" t="str">
            <v>x</v>
          </cell>
          <cell r="AK244" t="str">
            <v>x</v>
          </cell>
          <cell r="AL244" t="str">
            <v>x</v>
          </cell>
          <cell r="AM244">
            <v>24</v>
          </cell>
          <cell r="AN244">
            <v>0</v>
          </cell>
        </row>
        <row r="245">
          <cell r="C245">
            <v>50878</v>
          </cell>
          <cell r="D245">
            <v>44649</v>
          </cell>
          <cell r="E245">
            <v>44682</v>
          </cell>
          <cell r="F245" t="str">
            <v>Tổ Sơ mi 1</v>
          </cell>
          <cell r="H245" t="str">
            <v>LT</v>
          </cell>
          <cell r="J245" t="str">
            <v>x</v>
          </cell>
          <cell r="K245" t="str">
            <v>x</v>
          </cell>
          <cell r="L245" t="str">
            <v>x</v>
          </cell>
          <cell r="M245" t="str">
            <v>x</v>
          </cell>
          <cell r="O245" t="str">
            <v>x</v>
          </cell>
          <cell r="P245" t="str">
            <v>x</v>
          </cell>
          <cell r="Q245" t="str">
            <v>x</v>
          </cell>
          <cell r="R245" t="str">
            <v>x</v>
          </cell>
          <cell r="S245" t="str">
            <v>x</v>
          </cell>
          <cell r="T245" t="str">
            <v>x</v>
          </cell>
          <cell r="V245" t="str">
            <v>x</v>
          </cell>
          <cell r="W245" t="str">
            <v>x</v>
          </cell>
          <cell r="X245" t="str">
            <v>x</v>
          </cell>
          <cell r="Y245" t="str">
            <v>x</v>
          </cell>
          <cell r="Z245" t="str">
            <v>x</v>
          </cell>
          <cell r="AA245" t="str">
            <v>x</v>
          </cell>
          <cell r="AC245" t="str">
            <v>x</v>
          </cell>
          <cell r="AD245" t="str">
            <v>x</v>
          </cell>
          <cell r="AE245" t="str">
            <v>x</v>
          </cell>
          <cell r="AF245" t="str">
            <v>x</v>
          </cell>
          <cell r="AG245" t="str">
            <v>x</v>
          </cell>
          <cell r="AH245" t="str">
            <v>x</v>
          </cell>
          <cell r="AJ245" t="str">
            <v>x</v>
          </cell>
          <cell r="AK245" t="str">
            <v>x</v>
          </cell>
          <cell r="AL245" t="str">
            <v>x</v>
          </cell>
          <cell r="AM245">
            <v>25</v>
          </cell>
          <cell r="AN245">
            <v>0</v>
          </cell>
        </row>
        <row r="246">
          <cell r="C246">
            <v>50879</v>
          </cell>
          <cell r="D246">
            <v>44650</v>
          </cell>
          <cell r="E246">
            <v>44682</v>
          </cell>
          <cell r="F246" t="str">
            <v xml:space="preserve">Tổ 7 </v>
          </cell>
          <cell r="G246" t="str">
            <v>Con nhỏ</v>
          </cell>
          <cell r="H246" t="str">
            <v>TS</v>
          </cell>
          <cell r="J246" t="str">
            <v>TS</v>
          </cell>
          <cell r="K246" t="str">
            <v>TS</v>
          </cell>
          <cell r="L246" t="str">
            <v>TS</v>
          </cell>
          <cell r="M246" t="str">
            <v>TS</v>
          </cell>
          <cell r="O246" t="str">
            <v>TS</v>
          </cell>
          <cell r="P246" t="str">
            <v>TS</v>
          </cell>
          <cell r="Q246" t="str">
            <v>x</v>
          </cell>
          <cell r="R246" t="str">
            <v>x</v>
          </cell>
          <cell r="S246" t="str">
            <v>x</v>
          </cell>
          <cell r="T246" t="str">
            <v>x</v>
          </cell>
          <cell r="V246" t="str">
            <v>x</v>
          </cell>
          <cell r="W246" t="str">
            <v>x</v>
          </cell>
          <cell r="X246" t="str">
            <v>x</v>
          </cell>
          <cell r="Y246" t="str">
            <v>x/2</v>
          </cell>
          <cell r="Z246" t="str">
            <v>x</v>
          </cell>
          <cell r="AA246" t="str">
            <v>x</v>
          </cell>
          <cell r="AC246" t="str">
            <v>x</v>
          </cell>
          <cell r="AD246" t="str">
            <v>F</v>
          </cell>
          <cell r="AE246" t="str">
            <v>x</v>
          </cell>
          <cell r="AF246" t="str">
            <v>x</v>
          </cell>
          <cell r="AG246" t="str">
            <v>x</v>
          </cell>
          <cell r="AH246" t="str">
            <v>x</v>
          </cell>
          <cell r="AJ246" t="str">
            <v>x</v>
          </cell>
          <cell r="AK246" t="str">
            <v>x</v>
          </cell>
          <cell r="AL246" t="str">
            <v>x</v>
          </cell>
          <cell r="AM246">
            <v>17.5</v>
          </cell>
          <cell r="AN246">
            <v>0</v>
          </cell>
        </row>
        <row r="247">
          <cell r="C247">
            <v>50886</v>
          </cell>
          <cell r="D247">
            <v>44656</v>
          </cell>
          <cell r="E247">
            <v>44682</v>
          </cell>
          <cell r="F247" t="str">
            <v>Tổ 5</v>
          </cell>
          <cell r="H247" t="str">
            <v>LT</v>
          </cell>
          <cell r="J247" t="str">
            <v>x</v>
          </cell>
          <cell r="K247" t="str">
            <v>x</v>
          </cell>
          <cell r="L247" t="str">
            <v>x</v>
          </cell>
          <cell r="M247" t="str">
            <v>x</v>
          </cell>
          <cell r="O247" t="str">
            <v>x</v>
          </cell>
          <cell r="P247" t="str">
            <v>x</v>
          </cell>
          <cell r="Q247" t="str">
            <v>x</v>
          </cell>
          <cell r="R247" t="str">
            <v>x</v>
          </cell>
          <cell r="S247" t="str">
            <v>x</v>
          </cell>
          <cell r="T247" t="str">
            <v>x</v>
          </cell>
          <cell r="V247" t="str">
            <v>x</v>
          </cell>
          <cell r="W247" t="str">
            <v>x</v>
          </cell>
          <cell r="X247" t="str">
            <v>x</v>
          </cell>
          <cell r="Y247" t="str">
            <v>x</v>
          </cell>
          <cell r="Z247" t="str">
            <v>x</v>
          </cell>
          <cell r="AA247" t="str">
            <v>x</v>
          </cell>
          <cell r="AC247" t="str">
            <v>x</v>
          </cell>
          <cell r="AD247" t="str">
            <v>x</v>
          </cell>
          <cell r="AE247" t="str">
            <v>x</v>
          </cell>
          <cell r="AF247" t="str">
            <v>x</v>
          </cell>
          <cell r="AG247" t="str">
            <v>x</v>
          </cell>
          <cell r="AH247" t="str">
            <v>x</v>
          </cell>
          <cell r="AJ247" t="str">
            <v>x</v>
          </cell>
          <cell r="AK247" t="str">
            <v>x</v>
          </cell>
          <cell r="AL247" t="str">
            <v>x</v>
          </cell>
          <cell r="AM247">
            <v>25</v>
          </cell>
          <cell r="AN247">
            <v>0</v>
          </cell>
        </row>
        <row r="248">
          <cell r="C248">
            <v>50902</v>
          </cell>
          <cell r="D248">
            <v>44671</v>
          </cell>
          <cell r="E248">
            <v>44682</v>
          </cell>
          <cell r="F248" t="str">
            <v>Bếp ăn</v>
          </cell>
          <cell r="H248" t="str">
            <v>LT</v>
          </cell>
          <cell r="J248" t="str">
            <v>x</v>
          </cell>
          <cell r="K248" t="str">
            <v>x</v>
          </cell>
          <cell r="L248" t="str">
            <v>x</v>
          </cell>
          <cell r="M248" t="str">
            <v>x</v>
          </cell>
          <cell r="O248" t="str">
            <v>x</v>
          </cell>
          <cell r="P248" t="str">
            <v>x</v>
          </cell>
          <cell r="Q248" t="str">
            <v>x</v>
          </cell>
          <cell r="R248" t="str">
            <v>x</v>
          </cell>
          <cell r="S248" t="str">
            <v>x</v>
          </cell>
          <cell r="T248" t="str">
            <v>x</v>
          </cell>
          <cell r="V248" t="str">
            <v>x</v>
          </cell>
          <cell r="W248" t="str">
            <v>F</v>
          </cell>
          <cell r="X248" t="str">
            <v>x</v>
          </cell>
          <cell r="Y248" t="str">
            <v>x</v>
          </cell>
          <cell r="Z248" t="str">
            <v>x</v>
          </cell>
          <cell r="AA248" t="str">
            <v>x</v>
          </cell>
          <cell r="AC248" t="str">
            <v>x</v>
          </cell>
          <cell r="AD248" t="str">
            <v>x</v>
          </cell>
          <cell r="AE248" t="str">
            <v>x</v>
          </cell>
          <cell r="AF248" t="str">
            <v>x</v>
          </cell>
          <cell r="AG248" t="str">
            <v>x</v>
          </cell>
          <cell r="AH248" t="str">
            <v>x</v>
          </cell>
          <cell r="AJ248" t="str">
            <v>x</v>
          </cell>
          <cell r="AK248" t="str">
            <v>x</v>
          </cell>
          <cell r="AL248" t="str">
            <v>x</v>
          </cell>
          <cell r="AM248">
            <v>24</v>
          </cell>
          <cell r="AN248">
            <v>0</v>
          </cell>
        </row>
        <row r="249">
          <cell r="C249">
            <v>50903</v>
          </cell>
          <cell r="D249">
            <v>44671</v>
          </cell>
          <cell r="E249">
            <v>44682</v>
          </cell>
          <cell r="F249" t="str">
            <v>Bếp ăn</v>
          </cell>
          <cell r="H249" t="str">
            <v>LT</v>
          </cell>
          <cell r="J249" t="str">
            <v>x</v>
          </cell>
          <cell r="K249" t="str">
            <v>x</v>
          </cell>
          <cell r="L249" t="str">
            <v>F</v>
          </cell>
          <cell r="M249" t="str">
            <v>x</v>
          </cell>
          <cell r="O249" t="str">
            <v>x</v>
          </cell>
          <cell r="P249" t="str">
            <v>x</v>
          </cell>
          <cell r="Q249" t="str">
            <v>x</v>
          </cell>
          <cell r="R249" t="str">
            <v>x</v>
          </cell>
          <cell r="S249" t="str">
            <v>x</v>
          </cell>
          <cell r="T249" t="str">
            <v>x</v>
          </cell>
          <cell r="V249" t="str">
            <v>x</v>
          </cell>
          <cell r="W249" t="str">
            <v>x</v>
          </cell>
          <cell r="X249" t="str">
            <v>x</v>
          </cell>
          <cell r="Y249" t="str">
            <v>x</v>
          </cell>
          <cell r="Z249" t="str">
            <v>x</v>
          </cell>
          <cell r="AA249" t="str">
            <v>x</v>
          </cell>
          <cell r="AC249" t="str">
            <v>x</v>
          </cell>
          <cell r="AD249" t="str">
            <v>x</v>
          </cell>
          <cell r="AE249" t="str">
            <v>F</v>
          </cell>
          <cell r="AF249" t="str">
            <v>x</v>
          </cell>
          <cell r="AG249" t="str">
            <v>x</v>
          </cell>
          <cell r="AH249" t="str">
            <v>x</v>
          </cell>
          <cell r="AJ249" t="str">
            <v>x</v>
          </cell>
          <cell r="AK249" t="str">
            <v>x</v>
          </cell>
          <cell r="AL249" t="str">
            <v>x</v>
          </cell>
          <cell r="AM249">
            <v>23</v>
          </cell>
          <cell r="AN249">
            <v>0</v>
          </cell>
        </row>
        <row r="250">
          <cell r="C250">
            <v>50859</v>
          </cell>
          <cell r="D250">
            <v>44637</v>
          </cell>
          <cell r="E250">
            <v>44713</v>
          </cell>
          <cell r="F250" t="str">
            <v>Tổ Sơ mi 4</v>
          </cell>
          <cell r="H250" t="str">
            <v>LT</v>
          </cell>
          <cell r="J250" t="str">
            <v>x</v>
          </cell>
          <cell r="K250" t="str">
            <v>x</v>
          </cell>
          <cell r="L250" t="str">
            <v>x</v>
          </cell>
          <cell r="M250" t="str">
            <v>x</v>
          </cell>
          <cell r="O250" t="str">
            <v>x</v>
          </cell>
          <cell r="P250" t="str">
            <v>x</v>
          </cell>
          <cell r="Q250" t="str">
            <v>x</v>
          </cell>
          <cell r="R250" t="str">
            <v>x</v>
          </cell>
          <cell r="S250" t="str">
            <v>x</v>
          </cell>
          <cell r="T250" t="str">
            <v>x</v>
          </cell>
          <cell r="V250" t="str">
            <v>x</v>
          </cell>
          <cell r="W250" t="str">
            <v>x</v>
          </cell>
          <cell r="X250" t="str">
            <v>F</v>
          </cell>
          <cell r="Y250" t="str">
            <v>x</v>
          </cell>
          <cell r="Z250" t="str">
            <v>x</v>
          </cell>
          <cell r="AA250" t="str">
            <v>x</v>
          </cell>
          <cell r="AC250" t="str">
            <v>x</v>
          </cell>
          <cell r="AD250" t="str">
            <v>x</v>
          </cell>
          <cell r="AE250" t="str">
            <v>x</v>
          </cell>
          <cell r="AF250" t="str">
            <v>x</v>
          </cell>
          <cell r="AG250" t="str">
            <v>x</v>
          </cell>
          <cell r="AH250" t="str">
            <v>x</v>
          </cell>
          <cell r="AJ250" t="str">
            <v>x</v>
          </cell>
          <cell r="AK250" t="str">
            <v>x</v>
          </cell>
          <cell r="AL250" t="str">
            <v>x</v>
          </cell>
          <cell r="AM250">
            <v>24</v>
          </cell>
          <cell r="AN250">
            <v>0</v>
          </cell>
        </row>
        <row r="251">
          <cell r="C251">
            <v>50880</v>
          </cell>
          <cell r="D251">
            <v>44652</v>
          </cell>
          <cell r="E251">
            <v>44713</v>
          </cell>
          <cell r="F251" t="str">
            <v>Tổ chi tiết</v>
          </cell>
          <cell r="H251" t="str">
            <v>LT</v>
          </cell>
          <cell r="J251" t="str">
            <v>x</v>
          </cell>
          <cell r="K251" t="str">
            <v>x</v>
          </cell>
          <cell r="L251" t="str">
            <v>x</v>
          </cell>
          <cell r="M251" t="str">
            <v>x</v>
          </cell>
          <cell r="O251" t="str">
            <v>x</v>
          </cell>
          <cell r="P251" t="str">
            <v>x</v>
          </cell>
          <cell r="Q251" t="str">
            <v>x</v>
          </cell>
          <cell r="R251" t="str">
            <v>x</v>
          </cell>
          <cell r="S251" t="str">
            <v>x</v>
          </cell>
          <cell r="T251" t="str">
            <v>x</v>
          </cell>
          <cell r="V251" t="str">
            <v>x</v>
          </cell>
          <cell r="W251" t="str">
            <v>x</v>
          </cell>
          <cell r="X251" t="str">
            <v>x</v>
          </cell>
          <cell r="Y251" t="str">
            <v>x</v>
          </cell>
          <cell r="Z251" t="str">
            <v>x</v>
          </cell>
          <cell r="AA251" t="str">
            <v>x</v>
          </cell>
          <cell r="AC251" t="str">
            <v>x</v>
          </cell>
          <cell r="AD251" t="str">
            <v>x</v>
          </cell>
          <cell r="AE251" t="str">
            <v>x</v>
          </cell>
          <cell r="AF251" t="str">
            <v>x</v>
          </cell>
          <cell r="AG251" t="str">
            <v>x</v>
          </cell>
          <cell r="AH251" t="str">
            <v>x</v>
          </cell>
          <cell r="AJ251" t="str">
            <v>x</v>
          </cell>
          <cell r="AK251" t="str">
            <v>x</v>
          </cell>
          <cell r="AL251" t="str">
            <v>x</v>
          </cell>
          <cell r="AM251">
            <v>25</v>
          </cell>
          <cell r="AN251">
            <v>0</v>
          </cell>
        </row>
        <row r="252">
          <cell r="C252">
            <v>50882</v>
          </cell>
          <cell r="D252">
            <v>44652</v>
          </cell>
          <cell r="E252">
            <v>44713</v>
          </cell>
          <cell r="F252" t="str">
            <v>Tổ 15</v>
          </cell>
          <cell r="H252" t="str">
            <v>LT</v>
          </cell>
          <cell r="J252" t="str">
            <v>x</v>
          </cell>
          <cell r="K252" t="str">
            <v>x</v>
          </cell>
          <cell r="L252" t="str">
            <v>x</v>
          </cell>
          <cell r="M252" t="str">
            <v>x</v>
          </cell>
          <cell r="O252" t="str">
            <v>x</v>
          </cell>
          <cell r="P252" t="str">
            <v>x</v>
          </cell>
          <cell r="Q252" t="str">
            <v>x</v>
          </cell>
          <cell r="R252" t="str">
            <v>x</v>
          </cell>
          <cell r="S252" t="str">
            <v>x</v>
          </cell>
          <cell r="T252" t="str">
            <v>x</v>
          </cell>
          <cell r="V252" t="str">
            <v>x</v>
          </cell>
          <cell r="W252" t="str">
            <v>x</v>
          </cell>
          <cell r="X252" t="str">
            <v>x</v>
          </cell>
          <cell r="Y252" t="str">
            <v>x</v>
          </cell>
          <cell r="Z252" t="str">
            <v>x</v>
          </cell>
          <cell r="AA252" t="str">
            <v>x</v>
          </cell>
          <cell r="AC252" t="str">
            <v>x</v>
          </cell>
          <cell r="AD252" t="str">
            <v>x</v>
          </cell>
          <cell r="AE252" t="str">
            <v>x</v>
          </cell>
          <cell r="AF252" t="str">
            <v>x</v>
          </cell>
          <cell r="AG252" t="str">
            <v>x</v>
          </cell>
          <cell r="AH252" t="str">
            <v>x</v>
          </cell>
          <cell r="AJ252" t="str">
            <v>x</v>
          </cell>
          <cell r="AK252" t="str">
            <v>x</v>
          </cell>
          <cell r="AL252" t="str">
            <v>x</v>
          </cell>
          <cell r="AM252">
            <v>25</v>
          </cell>
          <cell r="AN252">
            <v>0</v>
          </cell>
        </row>
        <row r="253">
          <cell r="C253">
            <v>50883</v>
          </cell>
          <cell r="D253">
            <v>44652</v>
          </cell>
          <cell r="E253">
            <v>44713</v>
          </cell>
          <cell r="F253" t="str">
            <v>Tổ 15</v>
          </cell>
          <cell r="H253" t="str">
            <v>LT</v>
          </cell>
          <cell r="J253" t="str">
            <v>x</v>
          </cell>
          <cell r="K253" t="str">
            <v>x</v>
          </cell>
          <cell r="L253" t="str">
            <v>x</v>
          </cell>
          <cell r="M253" t="str">
            <v>x</v>
          </cell>
          <cell r="O253" t="str">
            <v>x</v>
          </cell>
          <cell r="P253" t="str">
            <v>x</v>
          </cell>
          <cell r="Q253" t="str">
            <v>x</v>
          </cell>
          <cell r="R253" t="str">
            <v>x</v>
          </cell>
          <cell r="S253" t="str">
            <v>x</v>
          </cell>
          <cell r="T253" t="str">
            <v>x</v>
          </cell>
          <cell r="V253" t="str">
            <v>x</v>
          </cell>
          <cell r="W253" t="str">
            <v>x</v>
          </cell>
          <cell r="X253" t="str">
            <v>x</v>
          </cell>
          <cell r="Y253" t="str">
            <v>x</v>
          </cell>
          <cell r="Z253" t="str">
            <v>x</v>
          </cell>
          <cell r="AA253" t="str">
            <v>x</v>
          </cell>
          <cell r="AC253" t="str">
            <v>x</v>
          </cell>
          <cell r="AD253" t="str">
            <v>x</v>
          </cell>
          <cell r="AE253" t="str">
            <v>x</v>
          </cell>
          <cell r="AF253" t="str">
            <v>x</v>
          </cell>
          <cell r="AG253" t="str">
            <v>x</v>
          </cell>
          <cell r="AH253" t="str">
            <v>x</v>
          </cell>
          <cell r="AJ253" t="str">
            <v>x/2</v>
          </cell>
          <cell r="AK253" t="str">
            <v>x</v>
          </cell>
          <cell r="AL253" t="str">
            <v>x</v>
          </cell>
          <cell r="AM253">
            <v>24.5</v>
          </cell>
          <cell r="AN253">
            <v>0</v>
          </cell>
        </row>
        <row r="254">
          <cell r="C254">
            <v>50884</v>
          </cell>
          <cell r="D254">
            <v>44654</v>
          </cell>
          <cell r="E254">
            <v>44713</v>
          </cell>
          <cell r="F254" t="str">
            <v>Cắt</v>
          </cell>
          <cell r="H254" t="str">
            <v>LT</v>
          </cell>
          <cell r="J254" t="str">
            <v>x</v>
          </cell>
          <cell r="K254" t="str">
            <v>x</v>
          </cell>
          <cell r="L254" t="str">
            <v>x</v>
          </cell>
          <cell r="M254" t="str">
            <v>x</v>
          </cell>
          <cell r="O254" t="str">
            <v>x</v>
          </cell>
          <cell r="P254" t="str">
            <v>x</v>
          </cell>
          <cell r="Q254" t="str">
            <v>x</v>
          </cell>
          <cell r="R254" t="str">
            <v>x</v>
          </cell>
          <cell r="S254" t="str">
            <v>x</v>
          </cell>
          <cell r="T254" t="str">
            <v>x</v>
          </cell>
          <cell r="U254" t="str">
            <v>x/2</v>
          </cell>
          <cell r="V254" t="str">
            <v>x</v>
          </cell>
          <cell r="W254" t="str">
            <v>x</v>
          </cell>
          <cell r="X254" t="str">
            <v>x/2</v>
          </cell>
          <cell r="Y254" t="str">
            <v>x</v>
          </cell>
          <cell r="Z254" t="str">
            <v>x</v>
          </cell>
          <cell r="AA254" t="str">
            <v>x</v>
          </cell>
          <cell r="AC254" t="str">
            <v>x</v>
          </cell>
          <cell r="AD254" t="str">
            <v>x</v>
          </cell>
          <cell r="AE254" t="str">
            <v>x</v>
          </cell>
          <cell r="AF254" t="str">
            <v>x</v>
          </cell>
          <cell r="AG254" t="str">
            <v>x</v>
          </cell>
          <cell r="AH254" t="str">
            <v>x</v>
          </cell>
          <cell r="AJ254" t="str">
            <v>x</v>
          </cell>
          <cell r="AK254" t="str">
            <v>x</v>
          </cell>
          <cell r="AL254" t="str">
            <v>x</v>
          </cell>
          <cell r="AM254">
            <v>24.5</v>
          </cell>
          <cell r="AN254">
            <v>0.5</v>
          </cell>
        </row>
        <row r="255">
          <cell r="C255">
            <v>50888</v>
          </cell>
          <cell r="D255">
            <v>44657</v>
          </cell>
          <cell r="E255">
            <v>44713</v>
          </cell>
          <cell r="F255" t="str">
            <v>Tổ chi tiết</v>
          </cell>
          <cell r="H255" t="str">
            <v>LT</v>
          </cell>
          <cell r="J255" t="str">
            <v>x</v>
          </cell>
          <cell r="K255" t="str">
            <v>x</v>
          </cell>
          <cell r="L255" t="str">
            <v>x</v>
          </cell>
          <cell r="M255" t="str">
            <v>x</v>
          </cell>
          <cell r="O255" t="str">
            <v>x</v>
          </cell>
          <cell r="P255" t="str">
            <v>x</v>
          </cell>
          <cell r="Q255" t="str">
            <v>x</v>
          </cell>
          <cell r="R255" t="str">
            <v>x</v>
          </cell>
          <cell r="S255" t="str">
            <v>x</v>
          </cell>
          <cell r="T255" t="str">
            <v>x/2</v>
          </cell>
          <cell r="V255" t="str">
            <v>x</v>
          </cell>
          <cell r="W255" t="str">
            <v>x</v>
          </cell>
          <cell r="X255" t="str">
            <v>x</v>
          </cell>
          <cell r="Y255" t="str">
            <v>x</v>
          </cell>
          <cell r="Z255" t="str">
            <v>x</v>
          </cell>
          <cell r="AA255" t="str">
            <v>x</v>
          </cell>
          <cell r="AC255" t="str">
            <v>x</v>
          </cell>
          <cell r="AD255" t="str">
            <v>x</v>
          </cell>
          <cell r="AE255" t="str">
            <v>x</v>
          </cell>
          <cell r="AF255" t="str">
            <v>x</v>
          </cell>
          <cell r="AG255" t="str">
            <v>x</v>
          </cell>
          <cell r="AH255" t="str">
            <v>x</v>
          </cell>
          <cell r="AJ255" t="str">
            <v>x</v>
          </cell>
          <cell r="AK255" t="str">
            <v>x</v>
          </cell>
          <cell r="AL255" t="str">
            <v>x</v>
          </cell>
          <cell r="AM255">
            <v>24.5</v>
          </cell>
          <cell r="AN255">
            <v>0</v>
          </cell>
        </row>
        <row r="256">
          <cell r="C256">
            <v>50889</v>
          </cell>
          <cell r="D256">
            <v>44663</v>
          </cell>
          <cell r="E256">
            <v>44713</v>
          </cell>
          <cell r="F256" t="str">
            <v>Cắt</v>
          </cell>
          <cell r="H256" t="str">
            <v>LT</v>
          </cell>
          <cell r="J256" t="str">
            <v>x</v>
          </cell>
          <cell r="K256" t="str">
            <v>x</v>
          </cell>
          <cell r="L256" t="str">
            <v>x</v>
          </cell>
          <cell r="M256" t="str">
            <v>x</v>
          </cell>
          <cell r="O256" t="str">
            <v>x</v>
          </cell>
          <cell r="P256" t="str">
            <v>x</v>
          </cell>
          <cell r="Q256" t="str">
            <v>x</v>
          </cell>
          <cell r="R256" t="str">
            <v>F</v>
          </cell>
          <cell r="S256" t="str">
            <v>x</v>
          </cell>
          <cell r="T256" t="str">
            <v>x</v>
          </cell>
          <cell r="V256" t="str">
            <v>x</v>
          </cell>
          <cell r="W256" t="str">
            <v>x</v>
          </cell>
          <cell r="X256" t="str">
            <v>x</v>
          </cell>
          <cell r="Y256" t="str">
            <v>x</v>
          </cell>
          <cell r="Z256" t="str">
            <v>x</v>
          </cell>
          <cell r="AA256" t="str">
            <v>x</v>
          </cell>
          <cell r="AC256" t="str">
            <v>x</v>
          </cell>
          <cell r="AD256" t="str">
            <v>x</v>
          </cell>
          <cell r="AE256" t="str">
            <v>x</v>
          </cell>
          <cell r="AF256" t="str">
            <v>x</v>
          </cell>
          <cell r="AG256" t="str">
            <v>x</v>
          </cell>
          <cell r="AH256" t="str">
            <v>x</v>
          </cell>
          <cell r="AJ256" t="str">
            <v>x</v>
          </cell>
          <cell r="AK256" t="str">
            <v>x</v>
          </cell>
          <cell r="AL256" t="str">
            <v>x</v>
          </cell>
          <cell r="AM256">
            <v>24</v>
          </cell>
          <cell r="AN256">
            <v>0</v>
          </cell>
        </row>
        <row r="257">
          <cell r="C257">
            <v>50892</v>
          </cell>
          <cell r="D257">
            <v>44664</v>
          </cell>
          <cell r="E257">
            <v>44713</v>
          </cell>
          <cell r="F257" t="str">
            <v>Tổ sơ mi 4</v>
          </cell>
          <cell r="H257" t="str">
            <v>LT</v>
          </cell>
          <cell r="J257" t="str">
            <v>x</v>
          </cell>
          <cell r="K257" t="str">
            <v>x</v>
          </cell>
          <cell r="L257" t="str">
            <v>x</v>
          </cell>
          <cell r="M257" t="str">
            <v>x</v>
          </cell>
          <cell r="O257" t="str">
            <v>x</v>
          </cell>
          <cell r="P257" t="str">
            <v>x</v>
          </cell>
          <cell r="Q257" t="str">
            <v>x</v>
          </cell>
          <cell r="R257" t="str">
            <v>x</v>
          </cell>
          <cell r="S257" t="str">
            <v>x</v>
          </cell>
          <cell r="T257" t="str">
            <v>x</v>
          </cell>
          <cell r="V257" t="str">
            <v>x</v>
          </cell>
          <cell r="W257" t="str">
            <v>x</v>
          </cell>
          <cell r="X257" t="str">
            <v>x</v>
          </cell>
          <cell r="Y257" t="str">
            <v>x</v>
          </cell>
          <cell r="Z257" t="str">
            <v>x</v>
          </cell>
          <cell r="AA257" t="str">
            <v>x</v>
          </cell>
          <cell r="AC257" t="str">
            <v>F</v>
          </cell>
          <cell r="AD257" t="str">
            <v>x</v>
          </cell>
          <cell r="AE257" t="str">
            <v>x</v>
          </cell>
          <cell r="AF257" t="str">
            <v>x</v>
          </cell>
          <cell r="AG257" t="str">
            <v>x</v>
          </cell>
          <cell r="AH257" t="str">
            <v>x</v>
          </cell>
          <cell r="AJ257" t="str">
            <v>x</v>
          </cell>
          <cell r="AK257" t="str">
            <v>x</v>
          </cell>
          <cell r="AL257" t="str">
            <v>x</v>
          </cell>
          <cell r="AM257">
            <v>24</v>
          </cell>
          <cell r="AN257">
            <v>0</v>
          </cell>
        </row>
        <row r="258">
          <cell r="C258">
            <v>50894</v>
          </cell>
          <cell r="D258">
            <v>44666</v>
          </cell>
          <cell r="E258">
            <v>44713</v>
          </cell>
          <cell r="F258" t="str">
            <v>Tổ sơ mi 1</v>
          </cell>
          <cell r="H258" t="str">
            <v>LT</v>
          </cell>
          <cell r="J258" t="str">
            <v>x</v>
          </cell>
          <cell r="K258" t="str">
            <v>x</v>
          </cell>
          <cell r="L258" t="str">
            <v>x</v>
          </cell>
          <cell r="M258" t="str">
            <v>x</v>
          </cell>
          <cell r="O258" t="str">
            <v>x</v>
          </cell>
          <cell r="P258" t="str">
            <v>x</v>
          </cell>
          <cell r="Q258" t="str">
            <v>x</v>
          </cell>
          <cell r="R258" t="str">
            <v>x</v>
          </cell>
          <cell r="S258" t="str">
            <v>x/2</v>
          </cell>
          <cell r="T258" t="str">
            <v>x</v>
          </cell>
          <cell r="V258" t="str">
            <v>x</v>
          </cell>
          <cell r="W258" t="str">
            <v>x</v>
          </cell>
          <cell r="X258" t="str">
            <v>x</v>
          </cell>
          <cell r="Y258" t="str">
            <v>x</v>
          </cell>
          <cell r="Z258" t="str">
            <v>x</v>
          </cell>
          <cell r="AA258" t="str">
            <v>x</v>
          </cell>
          <cell r="AC258" t="str">
            <v>F</v>
          </cell>
          <cell r="AD258" t="str">
            <v>x</v>
          </cell>
          <cell r="AE258" t="str">
            <v>x</v>
          </cell>
          <cell r="AF258" t="str">
            <v>x</v>
          </cell>
          <cell r="AG258" t="str">
            <v>x</v>
          </cell>
          <cell r="AH258" t="str">
            <v>x</v>
          </cell>
          <cell r="AJ258" t="str">
            <v>x</v>
          </cell>
          <cell r="AK258" t="str">
            <v>x</v>
          </cell>
          <cell r="AL258" t="str">
            <v>x</v>
          </cell>
          <cell r="AM258">
            <v>23.5</v>
          </cell>
          <cell r="AN258">
            <v>0</v>
          </cell>
        </row>
        <row r="259">
          <cell r="C259">
            <v>50898</v>
          </cell>
          <cell r="D259">
            <v>44665</v>
          </cell>
          <cell r="E259">
            <v>44713</v>
          </cell>
          <cell r="F259" t="str">
            <v>Cắt</v>
          </cell>
          <cell r="H259" t="str">
            <v>LT</v>
          </cell>
          <cell r="J259" t="str">
            <v>x</v>
          </cell>
          <cell r="K259" t="str">
            <v>x</v>
          </cell>
          <cell r="L259" t="str">
            <v>x</v>
          </cell>
          <cell r="M259" t="str">
            <v>x</v>
          </cell>
          <cell r="O259" t="str">
            <v>x</v>
          </cell>
          <cell r="P259" t="str">
            <v>x</v>
          </cell>
          <cell r="Q259" t="str">
            <v>x</v>
          </cell>
          <cell r="R259" t="str">
            <v>x</v>
          </cell>
          <cell r="S259" t="str">
            <v>x</v>
          </cell>
          <cell r="T259" t="str">
            <v>x</v>
          </cell>
          <cell r="V259" t="str">
            <v>x</v>
          </cell>
          <cell r="W259" t="str">
            <v>x</v>
          </cell>
          <cell r="X259" t="str">
            <v>x</v>
          </cell>
          <cell r="Y259" t="str">
            <v>x</v>
          </cell>
          <cell r="Z259" t="str">
            <v>x</v>
          </cell>
          <cell r="AA259" t="str">
            <v>x</v>
          </cell>
          <cell r="AC259" t="str">
            <v>x</v>
          </cell>
          <cell r="AD259" t="str">
            <v>x</v>
          </cell>
          <cell r="AE259" t="str">
            <v>x</v>
          </cell>
          <cell r="AF259" t="str">
            <v>x</v>
          </cell>
          <cell r="AG259" t="str">
            <v>x</v>
          </cell>
          <cell r="AH259" t="str">
            <v>x</v>
          </cell>
          <cell r="AJ259" t="str">
            <v>x</v>
          </cell>
          <cell r="AK259" t="str">
            <v>x</v>
          </cell>
          <cell r="AL259" t="str">
            <v>x</v>
          </cell>
          <cell r="AM259">
            <v>25</v>
          </cell>
          <cell r="AN259">
            <v>0</v>
          </cell>
        </row>
        <row r="260">
          <cell r="C260">
            <v>50907</v>
          </cell>
          <cell r="D260">
            <v>44669</v>
          </cell>
          <cell r="E260">
            <v>44713</v>
          </cell>
          <cell r="F260" t="str">
            <v>LÀ TP</v>
          </cell>
          <cell r="H260" t="str">
            <v>LT</v>
          </cell>
          <cell r="J260" t="str">
            <v>x</v>
          </cell>
          <cell r="K260" t="str">
            <v>x</v>
          </cell>
          <cell r="L260" t="str">
            <v>x</v>
          </cell>
          <cell r="M260" t="str">
            <v>x</v>
          </cell>
          <cell r="O260" t="str">
            <v>x</v>
          </cell>
          <cell r="P260" t="str">
            <v>x</v>
          </cell>
          <cell r="Q260" t="str">
            <v>x</v>
          </cell>
          <cell r="R260" t="str">
            <v>x</v>
          </cell>
          <cell r="S260" t="str">
            <v>x</v>
          </cell>
          <cell r="T260" t="str">
            <v>x</v>
          </cell>
          <cell r="V260" t="str">
            <v>x</v>
          </cell>
          <cell r="W260" t="str">
            <v>x</v>
          </cell>
          <cell r="X260" t="str">
            <v>x</v>
          </cell>
          <cell r="Y260" t="str">
            <v>x</v>
          </cell>
          <cell r="Z260" t="str">
            <v>x</v>
          </cell>
          <cell r="AA260" t="str">
            <v>x</v>
          </cell>
          <cell r="AC260" t="str">
            <v>x</v>
          </cell>
          <cell r="AD260" t="str">
            <v>x</v>
          </cell>
          <cell r="AE260" t="str">
            <v>x</v>
          </cell>
          <cell r="AF260" t="str">
            <v>x</v>
          </cell>
          <cell r="AG260" t="str">
            <v>x</v>
          </cell>
          <cell r="AH260" t="str">
            <v>x</v>
          </cell>
          <cell r="AJ260" t="str">
            <v>x</v>
          </cell>
          <cell r="AK260" t="str">
            <v>x</v>
          </cell>
          <cell r="AL260" t="str">
            <v>x</v>
          </cell>
          <cell r="AM260">
            <v>25</v>
          </cell>
          <cell r="AN260">
            <v>0</v>
          </cell>
        </row>
        <row r="261">
          <cell r="C261">
            <v>51002</v>
          </cell>
          <cell r="D261">
            <v>44774</v>
          </cell>
          <cell r="E261">
            <v>44713</v>
          </cell>
          <cell r="F261" t="str">
            <v>Nghỉ thai sản</v>
          </cell>
          <cell r="H261" t="str">
            <v>TS</v>
          </cell>
          <cell r="J261" t="str">
            <v>TS</v>
          </cell>
          <cell r="K261" t="str">
            <v>TS</v>
          </cell>
          <cell r="L261" t="str">
            <v>TS</v>
          </cell>
          <cell r="M261" t="str">
            <v>TS</v>
          </cell>
          <cell r="O261" t="str">
            <v>TS</v>
          </cell>
          <cell r="P261" t="str">
            <v>TS</v>
          </cell>
          <cell r="Q261" t="str">
            <v>TS</v>
          </cell>
          <cell r="R261" t="str">
            <v>TS</v>
          </cell>
          <cell r="S261" t="str">
            <v>TS</v>
          </cell>
          <cell r="T261" t="str">
            <v>TS</v>
          </cell>
          <cell r="V261" t="str">
            <v>TS</v>
          </cell>
          <cell r="W261" t="str">
            <v>TS</v>
          </cell>
          <cell r="X261" t="str">
            <v>TS</v>
          </cell>
          <cell r="Y261" t="str">
            <v>TS</v>
          </cell>
          <cell r="Z261" t="str">
            <v>TS</v>
          </cell>
          <cell r="AA261" t="str">
            <v>TS</v>
          </cell>
          <cell r="AC261" t="str">
            <v>TS</v>
          </cell>
          <cell r="AD261" t="str">
            <v>TS</v>
          </cell>
          <cell r="AE261" t="str">
            <v>TS</v>
          </cell>
          <cell r="AF261" t="str">
            <v>TS</v>
          </cell>
          <cell r="AG261" t="str">
            <v>TS</v>
          </cell>
          <cell r="AH261" t="str">
            <v>TS</v>
          </cell>
          <cell r="AJ261" t="str">
            <v>TS</v>
          </cell>
          <cell r="AK261" t="str">
            <v>TS</v>
          </cell>
          <cell r="AL261" t="str">
            <v>TS</v>
          </cell>
          <cell r="AM261">
            <v>0</v>
          </cell>
          <cell r="AN261">
            <v>0</v>
          </cell>
        </row>
        <row r="262">
          <cell r="C262">
            <v>50921</v>
          </cell>
          <cell r="D262">
            <v>44693</v>
          </cell>
          <cell r="E262">
            <v>44743</v>
          </cell>
          <cell r="F262" t="str">
            <v>Bốc vác</v>
          </cell>
          <cell r="H262" t="str">
            <v>LT</v>
          </cell>
          <cell r="J262" t="str">
            <v>x</v>
          </cell>
          <cell r="K262" t="str">
            <v>x</v>
          </cell>
          <cell r="L262" t="str">
            <v>x</v>
          </cell>
          <cell r="M262" t="str">
            <v>x</v>
          </cell>
          <cell r="O262" t="str">
            <v>x</v>
          </cell>
          <cell r="P262" t="str">
            <v>x</v>
          </cell>
          <cell r="Q262" t="str">
            <v>x</v>
          </cell>
          <cell r="R262" t="str">
            <v>x</v>
          </cell>
          <cell r="S262" t="str">
            <v>x</v>
          </cell>
          <cell r="T262" t="str">
            <v>x</v>
          </cell>
          <cell r="V262" t="str">
            <v>x</v>
          </cell>
          <cell r="W262" t="str">
            <v>x</v>
          </cell>
          <cell r="X262" t="str">
            <v>x</v>
          </cell>
          <cell r="Y262" t="str">
            <v>x</v>
          </cell>
          <cell r="Z262" t="str">
            <v>x</v>
          </cell>
          <cell r="AA262" t="str">
            <v>x</v>
          </cell>
          <cell r="AC262" t="str">
            <v>x</v>
          </cell>
          <cell r="AD262" t="str">
            <v>x</v>
          </cell>
          <cell r="AE262" t="str">
            <v>x</v>
          </cell>
          <cell r="AF262" t="str">
            <v>x</v>
          </cell>
          <cell r="AG262" t="str">
            <v>x</v>
          </cell>
          <cell r="AH262" t="str">
            <v>x</v>
          </cell>
          <cell r="AJ262" t="str">
            <v>x</v>
          </cell>
          <cell r="AK262" t="str">
            <v>x</v>
          </cell>
          <cell r="AL262" t="str">
            <v>x</v>
          </cell>
          <cell r="AM262">
            <v>25</v>
          </cell>
          <cell r="AN262">
            <v>0</v>
          </cell>
        </row>
        <row r="263">
          <cell r="C263">
            <v>50932</v>
          </cell>
          <cell r="D263">
            <v>44718</v>
          </cell>
          <cell r="E263">
            <v>44743</v>
          </cell>
          <cell r="F263" t="str">
            <v>Tổ 9+10</v>
          </cell>
          <cell r="H263" t="str">
            <v>LT</v>
          </cell>
          <cell r="J263" t="str">
            <v>x</v>
          </cell>
          <cell r="K263" t="str">
            <v>x</v>
          </cell>
          <cell r="L263" t="str">
            <v>x</v>
          </cell>
          <cell r="M263" t="str">
            <v>x</v>
          </cell>
          <cell r="O263" t="str">
            <v>x</v>
          </cell>
          <cell r="P263" t="str">
            <v>x</v>
          </cell>
          <cell r="Q263" t="str">
            <v>x</v>
          </cell>
          <cell r="R263" t="str">
            <v>x</v>
          </cell>
          <cell r="S263" t="str">
            <v>x</v>
          </cell>
          <cell r="T263" t="str">
            <v>x</v>
          </cell>
          <cell r="V263" t="str">
            <v>x</v>
          </cell>
          <cell r="W263" t="str">
            <v>x</v>
          </cell>
          <cell r="X263" t="str">
            <v>x</v>
          </cell>
          <cell r="Y263" t="str">
            <v>x</v>
          </cell>
          <cell r="Z263" t="str">
            <v>x</v>
          </cell>
          <cell r="AA263" t="str">
            <v>x</v>
          </cell>
          <cell r="AC263" t="str">
            <v>x</v>
          </cell>
          <cell r="AD263" t="str">
            <v>x</v>
          </cell>
          <cell r="AE263" t="str">
            <v>x</v>
          </cell>
          <cell r="AF263" t="str">
            <v>x</v>
          </cell>
          <cell r="AG263" t="str">
            <v>x</v>
          </cell>
          <cell r="AH263" t="str">
            <v>x</v>
          </cell>
          <cell r="AJ263" t="str">
            <v>x</v>
          </cell>
          <cell r="AK263" t="str">
            <v>x</v>
          </cell>
          <cell r="AL263" t="str">
            <v>x</v>
          </cell>
          <cell r="AM263">
            <v>25</v>
          </cell>
          <cell r="AN263">
            <v>0</v>
          </cell>
        </row>
        <row r="264">
          <cell r="C264">
            <v>50943</v>
          </cell>
          <cell r="D264">
            <v>44727</v>
          </cell>
          <cell r="E264">
            <v>44743</v>
          </cell>
          <cell r="F264" t="str">
            <v>Tổ Sơ mi 2</v>
          </cell>
          <cell r="H264" t="str">
            <v>LT</v>
          </cell>
          <cell r="J264" t="str">
            <v>x</v>
          </cell>
          <cell r="K264" t="str">
            <v>x</v>
          </cell>
          <cell r="L264" t="str">
            <v>x</v>
          </cell>
          <cell r="M264" t="str">
            <v>x</v>
          </cell>
          <cell r="O264" t="str">
            <v>x</v>
          </cell>
          <cell r="P264" t="str">
            <v>x</v>
          </cell>
          <cell r="Q264" t="str">
            <v>x</v>
          </cell>
          <cell r="R264" t="str">
            <v>x</v>
          </cell>
          <cell r="S264" t="str">
            <v>x</v>
          </cell>
          <cell r="T264" t="str">
            <v>x</v>
          </cell>
          <cell r="V264" t="str">
            <v>x</v>
          </cell>
          <cell r="W264" t="str">
            <v>x</v>
          </cell>
          <cell r="X264" t="str">
            <v>x</v>
          </cell>
          <cell r="Y264" t="str">
            <v>x</v>
          </cell>
          <cell r="Z264" t="str">
            <v>x</v>
          </cell>
          <cell r="AA264" t="str">
            <v>x</v>
          </cell>
          <cell r="AC264" t="str">
            <v>x</v>
          </cell>
          <cell r="AD264" t="str">
            <v>x</v>
          </cell>
          <cell r="AE264" t="str">
            <v>x</v>
          </cell>
          <cell r="AF264" t="str">
            <v>F</v>
          </cell>
          <cell r="AG264" t="str">
            <v>F</v>
          </cell>
          <cell r="AH264" t="str">
            <v>F</v>
          </cell>
          <cell r="AJ264" t="str">
            <v>Ro</v>
          </cell>
          <cell r="AK264" t="str">
            <v>Ro</v>
          </cell>
          <cell r="AL264" t="str">
            <v>Ro</v>
          </cell>
          <cell r="AM264">
            <v>19</v>
          </cell>
          <cell r="AN264">
            <v>0</v>
          </cell>
        </row>
        <row r="265">
          <cell r="C265">
            <v>50893</v>
          </cell>
          <cell r="D265">
            <v>44664</v>
          </cell>
          <cell r="E265">
            <v>44774</v>
          </cell>
          <cell r="F265" t="str">
            <v>Tổ 9+10</v>
          </cell>
          <cell r="H265" t="str">
            <v>LT</v>
          </cell>
          <cell r="J265" t="str">
            <v>x</v>
          </cell>
          <cell r="K265" t="str">
            <v>x</v>
          </cell>
          <cell r="L265" t="str">
            <v>x</v>
          </cell>
          <cell r="M265" t="str">
            <v>x</v>
          </cell>
          <cell r="O265" t="str">
            <v>x</v>
          </cell>
          <cell r="P265" t="str">
            <v>x</v>
          </cell>
          <cell r="Q265" t="str">
            <v>x</v>
          </cell>
          <cell r="R265" t="str">
            <v>x</v>
          </cell>
          <cell r="S265" t="str">
            <v>x</v>
          </cell>
          <cell r="T265" t="str">
            <v>x</v>
          </cell>
          <cell r="V265" t="str">
            <v>x</v>
          </cell>
          <cell r="W265" t="str">
            <v>x</v>
          </cell>
          <cell r="X265" t="str">
            <v>x</v>
          </cell>
          <cell r="Y265" t="str">
            <v>x</v>
          </cell>
          <cell r="Z265" t="str">
            <v>x</v>
          </cell>
          <cell r="AA265" t="str">
            <v>x</v>
          </cell>
          <cell r="AC265" t="str">
            <v>x</v>
          </cell>
          <cell r="AD265" t="str">
            <v>x</v>
          </cell>
          <cell r="AE265" t="str">
            <v>x</v>
          </cell>
          <cell r="AF265" t="str">
            <v>x</v>
          </cell>
          <cell r="AG265" t="str">
            <v>x</v>
          </cell>
          <cell r="AH265" t="str">
            <v>x</v>
          </cell>
          <cell r="AJ265" t="str">
            <v>x</v>
          </cell>
          <cell r="AK265" t="str">
            <v>x</v>
          </cell>
          <cell r="AL265" t="str">
            <v>x</v>
          </cell>
          <cell r="AM265">
            <v>25</v>
          </cell>
          <cell r="AN265">
            <v>0</v>
          </cell>
        </row>
        <row r="266">
          <cell r="C266">
            <v>50917</v>
          </cell>
          <cell r="D266">
            <v>44693</v>
          </cell>
          <cell r="E266">
            <v>44774</v>
          </cell>
          <cell r="F266" t="str">
            <v>Tổ sơ mi 3</v>
          </cell>
          <cell r="G266" t="str">
            <v>Mang thai</v>
          </cell>
          <cell r="H266" t="str">
            <v>LT</v>
          </cell>
          <cell r="J266" t="str">
            <v>x</v>
          </cell>
          <cell r="K266" t="str">
            <v>x</v>
          </cell>
          <cell r="L266" t="str">
            <v>x</v>
          </cell>
          <cell r="M266" t="str">
            <v>x</v>
          </cell>
          <cell r="O266" t="str">
            <v>x</v>
          </cell>
          <cell r="P266" t="str">
            <v>x</v>
          </cell>
          <cell r="Q266" t="str">
            <v>x</v>
          </cell>
          <cell r="R266" t="str">
            <v>x</v>
          </cell>
          <cell r="S266" t="str">
            <v>x</v>
          </cell>
          <cell r="T266" t="str">
            <v>x</v>
          </cell>
          <cell r="V266" t="str">
            <v>x</v>
          </cell>
          <cell r="W266" t="str">
            <v>x</v>
          </cell>
          <cell r="X266" t="str">
            <v>x</v>
          </cell>
          <cell r="Y266" t="str">
            <v>x</v>
          </cell>
          <cell r="Z266" t="str">
            <v>x</v>
          </cell>
          <cell r="AA266" t="str">
            <v>x</v>
          </cell>
          <cell r="AC266" t="str">
            <v>x</v>
          </cell>
          <cell r="AD266" t="str">
            <v>x</v>
          </cell>
          <cell r="AE266" t="str">
            <v>x</v>
          </cell>
          <cell r="AF266" t="str">
            <v>x</v>
          </cell>
          <cell r="AG266" t="str">
            <v>x</v>
          </cell>
          <cell r="AH266" t="str">
            <v>x</v>
          </cell>
          <cell r="AJ266" t="str">
            <v>x</v>
          </cell>
          <cell r="AK266" t="str">
            <v>x</v>
          </cell>
          <cell r="AL266" t="str">
            <v>x</v>
          </cell>
          <cell r="AM266">
            <v>25</v>
          </cell>
          <cell r="AN266">
            <v>0</v>
          </cell>
        </row>
        <row r="267">
          <cell r="C267">
            <v>50938</v>
          </cell>
          <cell r="D267">
            <v>44723</v>
          </cell>
          <cell r="E267">
            <v>44774</v>
          </cell>
          <cell r="F267" t="str">
            <v>K.hoạch</v>
          </cell>
          <cell r="H267" t="str">
            <v>LT</v>
          </cell>
          <cell r="J267" t="str">
            <v>F</v>
          </cell>
          <cell r="K267" t="str">
            <v>F</v>
          </cell>
          <cell r="L267" t="str">
            <v>x</v>
          </cell>
          <cell r="M267" t="str">
            <v>x</v>
          </cell>
          <cell r="O267" t="str">
            <v>x</v>
          </cell>
          <cell r="P267" t="str">
            <v>x</v>
          </cell>
          <cell r="Q267" t="str">
            <v>x</v>
          </cell>
          <cell r="R267" t="str">
            <v>x</v>
          </cell>
          <cell r="S267" t="str">
            <v>x</v>
          </cell>
          <cell r="T267" t="str">
            <v>x</v>
          </cell>
          <cell r="V267" t="str">
            <v>x</v>
          </cell>
          <cell r="W267" t="str">
            <v>x</v>
          </cell>
          <cell r="X267" t="str">
            <v>x</v>
          </cell>
          <cell r="Y267" t="str">
            <v>x</v>
          </cell>
          <cell r="Z267" t="str">
            <v>x</v>
          </cell>
          <cell r="AA267" t="str">
            <v>x</v>
          </cell>
          <cell r="AC267" t="str">
            <v>x</v>
          </cell>
          <cell r="AD267" t="str">
            <v>x</v>
          </cell>
          <cell r="AE267" t="str">
            <v>x</v>
          </cell>
          <cell r="AF267" t="str">
            <v>x</v>
          </cell>
          <cell r="AG267" t="str">
            <v>x</v>
          </cell>
          <cell r="AH267" t="str">
            <v>x</v>
          </cell>
          <cell r="AJ267" t="str">
            <v>x</v>
          </cell>
          <cell r="AK267" t="str">
            <v>x</v>
          </cell>
          <cell r="AL267" t="str">
            <v>x</v>
          </cell>
          <cell r="AM267">
            <v>23</v>
          </cell>
          <cell r="AN267">
            <v>0</v>
          </cell>
        </row>
        <row r="268">
          <cell r="C268">
            <v>50944</v>
          </cell>
          <cell r="D268">
            <v>44732</v>
          </cell>
          <cell r="E268">
            <v>44774</v>
          </cell>
          <cell r="F268" t="str">
            <v>Tổ sơ mi 4</v>
          </cell>
          <cell r="H268" t="str">
            <v>LT</v>
          </cell>
          <cell r="J268" t="str">
            <v>x</v>
          </cell>
          <cell r="K268" t="str">
            <v>x</v>
          </cell>
          <cell r="L268" t="str">
            <v>x</v>
          </cell>
          <cell r="M268" t="str">
            <v>x</v>
          </cell>
          <cell r="O268" t="str">
            <v>x</v>
          </cell>
          <cell r="P268" t="str">
            <v>x</v>
          </cell>
          <cell r="Q268" t="str">
            <v>x</v>
          </cell>
          <cell r="R268" t="str">
            <v>x</v>
          </cell>
          <cell r="S268" t="str">
            <v>x</v>
          </cell>
          <cell r="T268" t="str">
            <v>x</v>
          </cell>
          <cell r="V268" t="str">
            <v>x</v>
          </cell>
          <cell r="W268" t="str">
            <v>x</v>
          </cell>
          <cell r="X268" t="str">
            <v>x</v>
          </cell>
          <cell r="Y268" t="str">
            <v>x</v>
          </cell>
          <cell r="Z268" t="str">
            <v>x</v>
          </cell>
          <cell r="AA268" t="str">
            <v>x</v>
          </cell>
          <cell r="AC268" t="str">
            <v>x</v>
          </cell>
          <cell r="AD268" t="str">
            <v>x</v>
          </cell>
          <cell r="AE268" t="str">
            <v>x</v>
          </cell>
          <cell r="AF268" t="str">
            <v>x</v>
          </cell>
          <cell r="AG268" t="str">
            <v>x</v>
          </cell>
          <cell r="AH268" t="str">
            <v>x</v>
          </cell>
          <cell r="AJ268" t="str">
            <v>x</v>
          </cell>
          <cell r="AK268" t="str">
            <v>x</v>
          </cell>
          <cell r="AL268" t="str">
            <v>x/2</v>
          </cell>
          <cell r="AM268">
            <v>24.5</v>
          </cell>
          <cell r="AN268">
            <v>0</v>
          </cell>
        </row>
        <row r="269">
          <cell r="C269">
            <v>50947</v>
          </cell>
          <cell r="D269">
            <v>44740</v>
          </cell>
          <cell r="E269">
            <v>44774</v>
          </cell>
          <cell r="F269" t="str">
            <v>LÀ TP</v>
          </cell>
          <cell r="H269" t="str">
            <v>LT</v>
          </cell>
          <cell r="J269" t="str">
            <v>x</v>
          </cell>
          <cell r="K269" t="str">
            <v>x</v>
          </cell>
          <cell r="L269" t="str">
            <v>x</v>
          </cell>
          <cell r="M269" t="str">
            <v>x</v>
          </cell>
          <cell r="O269" t="str">
            <v>x</v>
          </cell>
          <cell r="P269" t="str">
            <v>x</v>
          </cell>
          <cell r="Q269" t="str">
            <v>x</v>
          </cell>
          <cell r="R269" t="str">
            <v>x</v>
          </cell>
          <cell r="S269" t="str">
            <v>x</v>
          </cell>
          <cell r="T269" t="str">
            <v>x</v>
          </cell>
          <cell r="V269" t="str">
            <v>x</v>
          </cell>
          <cell r="W269" t="str">
            <v>F</v>
          </cell>
          <cell r="X269" t="str">
            <v>x</v>
          </cell>
          <cell r="Y269" t="str">
            <v>x</v>
          </cell>
          <cell r="Z269" t="str">
            <v>x</v>
          </cell>
          <cell r="AA269" t="str">
            <v>x</v>
          </cell>
          <cell r="AC269" t="str">
            <v>x</v>
          </cell>
          <cell r="AD269" t="str">
            <v>x</v>
          </cell>
          <cell r="AE269" t="str">
            <v>x</v>
          </cell>
          <cell r="AF269" t="str">
            <v>x</v>
          </cell>
          <cell r="AG269" t="str">
            <v>x</v>
          </cell>
          <cell r="AH269" t="str">
            <v>x</v>
          </cell>
          <cell r="AJ269" t="str">
            <v>x</v>
          </cell>
          <cell r="AK269" t="str">
            <v>x</v>
          </cell>
          <cell r="AL269" t="str">
            <v>x</v>
          </cell>
          <cell r="AM269">
            <v>24</v>
          </cell>
          <cell r="AN269">
            <v>0</v>
          </cell>
        </row>
        <row r="270">
          <cell r="C270">
            <v>50948</v>
          </cell>
          <cell r="D270">
            <v>44740</v>
          </cell>
          <cell r="E270">
            <v>44774</v>
          </cell>
          <cell r="F270" t="str">
            <v>LÀ TP</v>
          </cell>
          <cell r="H270" t="str">
            <v>LT</v>
          </cell>
          <cell r="J270" t="str">
            <v>x</v>
          </cell>
          <cell r="K270" t="str">
            <v>x</v>
          </cell>
          <cell r="L270" t="str">
            <v>x</v>
          </cell>
          <cell r="M270" t="str">
            <v>x</v>
          </cell>
          <cell r="O270" t="str">
            <v>x</v>
          </cell>
          <cell r="P270" t="str">
            <v>x</v>
          </cell>
          <cell r="Q270" t="str">
            <v>x</v>
          </cell>
          <cell r="R270" t="str">
            <v>x</v>
          </cell>
          <cell r="S270" t="str">
            <v>x</v>
          </cell>
          <cell r="T270" t="str">
            <v>x</v>
          </cell>
          <cell r="V270" t="str">
            <v>x</v>
          </cell>
          <cell r="W270" t="str">
            <v>x</v>
          </cell>
          <cell r="X270" t="str">
            <v>x</v>
          </cell>
          <cell r="Y270" t="str">
            <v>x</v>
          </cell>
          <cell r="Z270" t="str">
            <v>x</v>
          </cell>
          <cell r="AA270" t="str">
            <v>x</v>
          </cell>
          <cell r="AC270" t="str">
            <v>x</v>
          </cell>
          <cell r="AD270" t="str">
            <v>x</v>
          </cell>
          <cell r="AE270" t="str">
            <v>x</v>
          </cell>
          <cell r="AF270" t="str">
            <v>x</v>
          </cell>
          <cell r="AG270" t="str">
            <v>x</v>
          </cell>
          <cell r="AH270" t="str">
            <v>x</v>
          </cell>
          <cell r="AJ270" t="str">
            <v>x</v>
          </cell>
          <cell r="AK270" t="str">
            <v>x</v>
          </cell>
          <cell r="AL270" t="str">
            <v>x</v>
          </cell>
          <cell r="AM270">
            <v>25</v>
          </cell>
          <cell r="AN270">
            <v>0</v>
          </cell>
        </row>
        <row r="271">
          <cell r="C271">
            <v>50959</v>
          </cell>
          <cell r="D271">
            <v>44751</v>
          </cell>
          <cell r="E271">
            <v>44774</v>
          </cell>
          <cell r="F271" t="str">
            <v>Tổ Sơ mi 2</v>
          </cell>
          <cell r="H271" t="str">
            <v>LT</v>
          </cell>
          <cell r="J271" t="str">
            <v>x</v>
          </cell>
          <cell r="K271" t="str">
            <v>x</v>
          </cell>
          <cell r="L271" t="str">
            <v>x</v>
          </cell>
          <cell r="M271" t="str">
            <v>x</v>
          </cell>
          <cell r="O271" t="str">
            <v>x/2</v>
          </cell>
          <cell r="P271" t="str">
            <v>x</v>
          </cell>
          <cell r="Q271" t="str">
            <v>x</v>
          </cell>
          <cell r="R271" t="str">
            <v>x</v>
          </cell>
          <cell r="S271" t="str">
            <v>x</v>
          </cell>
          <cell r="T271" t="str">
            <v>x</v>
          </cell>
          <cell r="V271" t="str">
            <v>x</v>
          </cell>
          <cell r="W271" t="str">
            <v>x</v>
          </cell>
          <cell r="X271" t="str">
            <v>x</v>
          </cell>
          <cell r="Y271" t="str">
            <v>x</v>
          </cell>
          <cell r="Z271" t="str">
            <v>x</v>
          </cell>
          <cell r="AA271" t="str">
            <v>x</v>
          </cell>
          <cell r="AC271" t="str">
            <v>x</v>
          </cell>
          <cell r="AD271" t="str">
            <v>x</v>
          </cell>
          <cell r="AE271" t="str">
            <v>x</v>
          </cell>
          <cell r="AF271" t="str">
            <v>x</v>
          </cell>
          <cell r="AG271" t="str">
            <v>x</v>
          </cell>
          <cell r="AH271" t="str">
            <v>x</v>
          </cell>
          <cell r="AJ271" t="str">
            <v>x</v>
          </cell>
          <cell r="AK271" t="str">
            <v>x</v>
          </cell>
          <cell r="AL271" t="str">
            <v>x</v>
          </cell>
          <cell r="AM271">
            <v>24.5</v>
          </cell>
          <cell r="AN271">
            <v>0</v>
          </cell>
        </row>
        <row r="272">
          <cell r="C272">
            <v>50918</v>
          </cell>
          <cell r="D272">
            <v>44693</v>
          </cell>
          <cell r="E272">
            <v>44805</v>
          </cell>
          <cell r="F272" t="str">
            <v xml:space="preserve">Tổ 6 </v>
          </cell>
          <cell r="H272" t="str">
            <v>LT</v>
          </cell>
          <cell r="J272" t="str">
            <v>x</v>
          </cell>
          <cell r="K272" t="str">
            <v>x</v>
          </cell>
          <cell r="L272" t="str">
            <v>x</v>
          </cell>
          <cell r="M272" t="str">
            <v>x</v>
          </cell>
          <cell r="O272" t="str">
            <v>x</v>
          </cell>
          <cell r="P272" t="str">
            <v>x</v>
          </cell>
          <cell r="Q272" t="str">
            <v>x</v>
          </cell>
          <cell r="R272" t="str">
            <v>x</v>
          </cell>
          <cell r="S272" t="str">
            <v>x</v>
          </cell>
          <cell r="T272" t="str">
            <v>x</v>
          </cell>
          <cell r="V272" t="str">
            <v>x</v>
          </cell>
          <cell r="W272" t="str">
            <v>x</v>
          </cell>
          <cell r="X272" t="str">
            <v>x</v>
          </cell>
          <cell r="Y272" t="str">
            <v>x</v>
          </cell>
          <cell r="Z272" t="str">
            <v>x</v>
          </cell>
          <cell r="AA272" t="str">
            <v>x</v>
          </cell>
          <cell r="AC272" t="str">
            <v>x</v>
          </cell>
          <cell r="AD272" t="str">
            <v>x</v>
          </cell>
          <cell r="AE272" t="str">
            <v>x</v>
          </cell>
          <cell r="AF272" t="str">
            <v>x</v>
          </cell>
          <cell r="AG272" t="str">
            <v>x</v>
          </cell>
          <cell r="AH272" t="str">
            <v>x</v>
          </cell>
          <cell r="AJ272" t="str">
            <v>x</v>
          </cell>
          <cell r="AK272" t="str">
            <v>x</v>
          </cell>
          <cell r="AL272" t="str">
            <v>x</v>
          </cell>
          <cell r="AM272">
            <v>25</v>
          </cell>
          <cell r="AN272">
            <v>0</v>
          </cell>
        </row>
        <row r="273">
          <cell r="C273">
            <v>50945</v>
          </cell>
          <cell r="D273">
            <v>44739</v>
          </cell>
          <cell r="E273">
            <v>44805</v>
          </cell>
          <cell r="F273" t="str">
            <v>Kiểm hoá</v>
          </cell>
          <cell r="H273" t="str">
            <v>LT</v>
          </cell>
          <cell r="J273" t="str">
            <v>x</v>
          </cell>
          <cell r="K273" t="str">
            <v>x</v>
          </cell>
          <cell r="L273" t="str">
            <v>x</v>
          </cell>
          <cell r="M273" t="str">
            <v>x</v>
          </cell>
          <cell r="O273" t="str">
            <v>x</v>
          </cell>
          <cell r="P273" t="str">
            <v>x</v>
          </cell>
          <cell r="Q273" t="str">
            <v>x</v>
          </cell>
          <cell r="R273" t="str">
            <v>x</v>
          </cell>
          <cell r="S273" t="str">
            <v>x</v>
          </cell>
          <cell r="T273" t="str">
            <v>x</v>
          </cell>
          <cell r="V273" t="str">
            <v>x</v>
          </cell>
          <cell r="W273" t="str">
            <v>x</v>
          </cell>
          <cell r="X273" t="str">
            <v>x</v>
          </cell>
          <cell r="Y273" t="str">
            <v>x</v>
          </cell>
          <cell r="Z273" t="str">
            <v>x</v>
          </cell>
          <cell r="AA273" t="str">
            <v>x</v>
          </cell>
          <cell r="AC273" t="str">
            <v>x</v>
          </cell>
          <cell r="AD273" t="str">
            <v>x</v>
          </cell>
          <cell r="AE273" t="str">
            <v>x</v>
          </cell>
          <cell r="AF273" t="str">
            <v>x</v>
          </cell>
          <cell r="AG273" t="str">
            <v>x</v>
          </cell>
          <cell r="AH273" t="str">
            <v>x</v>
          </cell>
          <cell r="AJ273" t="str">
            <v>x</v>
          </cell>
          <cell r="AK273" t="str">
            <v>x</v>
          </cell>
          <cell r="AL273" t="str">
            <v>x</v>
          </cell>
          <cell r="AM273">
            <v>25</v>
          </cell>
          <cell r="AN273">
            <v>0</v>
          </cell>
        </row>
        <row r="274">
          <cell r="C274">
            <v>50946</v>
          </cell>
          <cell r="D274">
            <v>44734</v>
          </cell>
          <cell r="E274">
            <v>44805</v>
          </cell>
          <cell r="F274" t="str">
            <v>Tổ 15</v>
          </cell>
          <cell r="H274" t="str">
            <v>LT</v>
          </cell>
          <cell r="J274" t="str">
            <v>x</v>
          </cell>
          <cell r="K274" t="str">
            <v>x</v>
          </cell>
          <cell r="L274" t="str">
            <v>x</v>
          </cell>
          <cell r="M274" t="str">
            <v>x</v>
          </cell>
          <cell r="O274" t="str">
            <v>x</v>
          </cell>
          <cell r="P274" t="str">
            <v>x</v>
          </cell>
          <cell r="Q274" t="str">
            <v>x</v>
          </cell>
          <cell r="R274" t="str">
            <v>x</v>
          </cell>
          <cell r="S274" t="str">
            <v>x</v>
          </cell>
          <cell r="T274" t="str">
            <v>x</v>
          </cell>
          <cell r="V274" t="str">
            <v>x</v>
          </cell>
          <cell r="W274" t="str">
            <v>x</v>
          </cell>
          <cell r="X274" t="str">
            <v>x</v>
          </cell>
          <cell r="Y274" t="str">
            <v>x</v>
          </cell>
          <cell r="Z274" t="str">
            <v>x</v>
          </cell>
          <cell r="AA274" t="str">
            <v>x</v>
          </cell>
          <cell r="AC274" t="str">
            <v>x</v>
          </cell>
          <cell r="AD274" t="str">
            <v>x</v>
          </cell>
          <cell r="AE274" t="str">
            <v>x</v>
          </cell>
          <cell r="AF274" t="str">
            <v>x</v>
          </cell>
          <cell r="AG274" t="str">
            <v>x</v>
          </cell>
          <cell r="AH274" t="str">
            <v>x</v>
          </cell>
          <cell r="AJ274" t="str">
            <v>x</v>
          </cell>
          <cell r="AK274" t="str">
            <v>x</v>
          </cell>
          <cell r="AL274" t="str">
            <v>x</v>
          </cell>
          <cell r="AM274">
            <v>25</v>
          </cell>
          <cell r="AN274">
            <v>0</v>
          </cell>
        </row>
        <row r="275">
          <cell r="C275">
            <v>50976</v>
          </cell>
          <cell r="D275">
            <v>44760</v>
          </cell>
          <cell r="E275">
            <v>44805</v>
          </cell>
          <cell r="F275" t="str">
            <v>Nghỉ không lương</v>
          </cell>
          <cell r="H275" t="str">
            <v>Ro</v>
          </cell>
          <cell r="J275" t="str">
            <v>Ro</v>
          </cell>
          <cell r="K275" t="str">
            <v>Ro</v>
          </cell>
          <cell r="L275" t="str">
            <v>Ro</v>
          </cell>
          <cell r="M275" t="str">
            <v>Ro</v>
          </cell>
          <cell r="O275" t="str">
            <v>Ro</v>
          </cell>
          <cell r="P275" t="str">
            <v>Ro</v>
          </cell>
          <cell r="Q275" t="str">
            <v>Ro</v>
          </cell>
          <cell r="R275" t="str">
            <v>Ro</v>
          </cell>
          <cell r="S275" t="str">
            <v>Ro</v>
          </cell>
          <cell r="T275" t="str">
            <v>Ro</v>
          </cell>
          <cell r="V275" t="str">
            <v>Ro</v>
          </cell>
          <cell r="W275" t="str">
            <v>Ro</v>
          </cell>
          <cell r="X275" t="str">
            <v>Ro</v>
          </cell>
          <cell r="Y275" t="str">
            <v>Ro</v>
          </cell>
          <cell r="Z275" t="str">
            <v>Ro</v>
          </cell>
          <cell r="AA275" t="str">
            <v>Ro</v>
          </cell>
          <cell r="AC275" t="str">
            <v>Ro</v>
          </cell>
          <cell r="AD275" t="str">
            <v>Ro</v>
          </cell>
          <cell r="AE275" t="str">
            <v>Ro</v>
          </cell>
          <cell r="AF275" t="str">
            <v>Ro</v>
          </cell>
          <cell r="AG275" t="str">
            <v>Ro</v>
          </cell>
          <cell r="AH275" t="str">
            <v>Ro</v>
          </cell>
          <cell r="AJ275" t="str">
            <v>Ro</v>
          </cell>
          <cell r="AK275" t="str">
            <v>Ro</v>
          </cell>
          <cell r="AL275" t="str">
            <v>Ro</v>
          </cell>
          <cell r="AM275">
            <v>0</v>
          </cell>
          <cell r="AN275">
            <v>0</v>
          </cell>
        </row>
        <row r="276">
          <cell r="C276">
            <v>50978</v>
          </cell>
          <cell r="D276">
            <v>44760</v>
          </cell>
          <cell r="E276">
            <v>44805</v>
          </cell>
          <cell r="F276" t="str">
            <v>H.thiện</v>
          </cell>
          <cell r="H276" t="str">
            <v>LT</v>
          </cell>
          <cell r="J276" t="str">
            <v>x</v>
          </cell>
          <cell r="K276" t="str">
            <v>x</v>
          </cell>
          <cell r="L276" t="str">
            <v>x</v>
          </cell>
          <cell r="M276" t="str">
            <v>x</v>
          </cell>
          <cell r="O276" t="str">
            <v>x</v>
          </cell>
          <cell r="P276" t="str">
            <v>x</v>
          </cell>
          <cell r="Q276" t="str">
            <v>x</v>
          </cell>
          <cell r="R276" t="str">
            <v>x</v>
          </cell>
          <cell r="S276" t="str">
            <v>x</v>
          </cell>
          <cell r="T276" t="str">
            <v>x</v>
          </cell>
          <cell r="U276" t="str">
            <v>x/2</v>
          </cell>
          <cell r="V276" t="str">
            <v>x</v>
          </cell>
          <cell r="W276" t="str">
            <v>x</v>
          </cell>
          <cell r="X276" t="str">
            <v>x</v>
          </cell>
          <cell r="Y276" t="str">
            <v>x</v>
          </cell>
          <cell r="Z276" t="str">
            <v>x</v>
          </cell>
          <cell r="AA276" t="str">
            <v>x</v>
          </cell>
          <cell r="AC276" t="str">
            <v>x</v>
          </cell>
          <cell r="AD276" t="str">
            <v>x</v>
          </cell>
          <cell r="AE276" t="str">
            <v>x</v>
          </cell>
          <cell r="AF276" t="str">
            <v>x</v>
          </cell>
          <cell r="AG276" t="str">
            <v>x</v>
          </cell>
          <cell r="AH276" t="str">
            <v>x</v>
          </cell>
          <cell r="AJ276" t="str">
            <v>x</v>
          </cell>
          <cell r="AK276" t="str">
            <v>x/2</v>
          </cell>
          <cell r="AL276" t="str">
            <v>x</v>
          </cell>
          <cell r="AM276">
            <v>24.5</v>
          </cell>
          <cell r="AN276">
            <v>0.5</v>
          </cell>
        </row>
        <row r="277">
          <cell r="C277">
            <v>50995</v>
          </cell>
          <cell r="D277">
            <v>44767</v>
          </cell>
          <cell r="E277">
            <v>44805</v>
          </cell>
          <cell r="F277" t="str">
            <v>Tổ Sơ mi 2</v>
          </cell>
          <cell r="H277" t="str">
            <v>LT</v>
          </cell>
          <cell r="J277" t="str">
            <v>x</v>
          </cell>
          <cell r="K277" t="str">
            <v>x</v>
          </cell>
          <cell r="L277" t="str">
            <v>x</v>
          </cell>
          <cell r="M277" t="str">
            <v>x</v>
          </cell>
          <cell r="O277" t="str">
            <v>x</v>
          </cell>
          <cell r="P277" t="str">
            <v>x</v>
          </cell>
          <cell r="Q277" t="str">
            <v>x</v>
          </cell>
          <cell r="R277" t="str">
            <v>x</v>
          </cell>
          <cell r="S277" t="str">
            <v>x</v>
          </cell>
          <cell r="T277" t="str">
            <v>x</v>
          </cell>
          <cell r="V277" t="str">
            <v>x</v>
          </cell>
          <cell r="W277" t="str">
            <v>x</v>
          </cell>
          <cell r="X277" t="str">
            <v>x</v>
          </cell>
          <cell r="Y277" t="str">
            <v>x</v>
          </cell>
          <cell r="Z277" t="str">
            <v>x</v>
          </cell>
          <cell r="AA277" t="str">
            <v>x</v>
          </cell>
          <cell r="AC277" t="str">
            <v>x</v>
          </cell>
          <cell r="AD277" t="str">
            <v>x</v>
          </cell>
          <cell r="AE277" t="str">
            <v>x</v>
          </cell>
          <cell r="AF277" t="str">
            <v>x</v>
          </cell>
          <cell r="AG277" t="str">
            <v>x</v>
          </cell>
          <cell r="AH277" t="str">
            <v>x</v>
          </cell>
          <cell r="AJ277" t="str">
            <v>x</v>
          </cell>
          <cell r="AK277" t="str">
            <v>x</v>
          </cell>
          <cell r="AL277" t="str">
            <v>x</v>
          </cell>
          <cell r="AM277">
            <v>25</v>
          </cell>
          <cell r="AN277">
            <v>0</v>
          </cell>
        </row>
        <row r="278">
          <cell r="C278">
            <v>50998</v>
          </cell>
          <cell r="D278">
            <v>44763</v>
          </cell>
          <cell r="E278">
            <v>44805</v>
          </cell>
          <cell r="F278" t="str">
            <v>Tổ Sơ mi 2</v>
          </cell>
          <cell r="H278" t="str">
            <v>LT</v>
          </cell>
          <cell r="J278" t="str">
            <v>x</v>
          </cell>
          <cell r="K278" t="str">
            <v>x</v>
          </cell>
          <cell r="L278" t="str">
            <v>x</v>
          </cell>
          <cell r="M278" t="str">
            <v>x</v>
          </cell>
          <cell r="O278" t="str">
            <v>x</v>
          </cell>
          <cell r="P278" t="str">
            <v>x</v>
          </cell>
          <cell r="Q278" t="str">
            <v>x</v>
          </cell>
          <cell r="R278" t="str">
            <v>x</v>
          </cell>
          <cell r="S278" t="str">
            <v>x</v>
          </cell>
          <cell r="T278" t="str">
            <v>x</v>
          </cell>
          <cell r="V278" t="str">
            <v>x</v>
          </cell>
          <cell r="W278" t="str">
            <v>x</v>
          </cell>
          <cell r="X278" t="str">
            <v>x</v>
          </cell>
          <cell r="Y278" t="str">
            <v>x</v>
          </cell>
          <cell r="Z278" t="str">
            <v>x</v>
          </cell>
          <cell r="AA278" t="str">
            <v>x</v>
          </cell>
          <cell r="AC278" t="str">
            <v>x</v>
          </cell>
          <cell r="AD278" t="str">
            <v>x</v>
          </cell>
          <cell r="AE278" t="str">
            <v>x</v>
          </cell>
          <cell r="AF278" t="str">
            <v>x</v>
          </cell>
          <cell r="AG278" t="str">
            <v>x</v>
          </cell>
          <cell r="AH278" t="str">
            <v>x</v>
          </cell>
          <cell r="AJ278" t="str">
            <v>x</v>
          </cell>
          <cell r="AK278" t="str">
            <v>x</v>
          </cell>
          <cell r="AL278" t="str">
            <v>x</v>
          </cell>
          <cell r="AM278">
            <v>25</v>
          </cell>
          <cell r="AN278">
            <v>0</v>
          </cell>
        </row>
        <row r="279">
          <cell r="C279">
            <v>50928</v>
          </cell>
          <cell r="D279">
            <v>44713</v>
          </cell>
          <cell r="E279">
            <v>44835</v>
          </cell>
          <cell r="F279" t="str">
            <v>VP</v>
          </cell>
          <cell r="H279" t="str">
            <v>LT</v>
          </cell>
          <cell r="J279" t="str">
            <v>x</v>
          </cell>
          <cell r="K279" t="str">
            <v>x</v>
          </cell>
          <cell r="L279" t="str">
            <v>x</v>
          </cell>
          <cell r="M279" t="str">
            <v>x</v>
          </cell>
          <cell r="O279" t="str">
            <v>x</v>
          </cell>
          <cell r="P279" t="str">
            <v>x</v>
          </cell>
          <cell r="Q279" t="str">
            <v>x</v>
          </cell>
          <cell r="R279" t="str">
            <v>x</v>
          </cell>
          <cell r="S279" t="str">
            <v>x</v>
          </cell>
          <cell r="T279" t="str">
            <v>x</v>
          </cell>
          <cell r="V279" t="str">
            <v>x</v>
          </cell>
          <cell r="W279" t="str">
            <v>x</v>
          </cell>
          <cell r="X279" t="str">
            <v>x</v>
          </cell>
          <cell r="Y279" t="str">
            <v>x</v>
          </cell>
          <cell r="Z279" t="str">
            <v>x</v>
          </cell>
          <cell r="AA279" t="str">
            <v>x</v>
          </cell>
          <cell r="AC279" t="str">
            <v>x</v>
          </cell>
          <cell r="AD279" t="str">
            <v>x</v>
          </cell>
          <cell r="AE279" t="str">
            <v>x</v>
          </cell>
          <cell r="AF279" t="str">
            <v>x</v>
          </cell>
          <cell r="AG279" t="str">
            <v>x</v>
          </cell>
          <cell r="AH279" t="str">
            <v>x</v>
          </cell>
          <cell r="AJ279" t="str">
            <v>x</v>
          </cell>
          <cell r="AK279" t="str">
            <v>x</v>
          </cell>
          <cell r="AL279" t="str">
            <v>x</v>
          </cell>
          <cell r="AM279">
            <v>25</v>
          </cell>
          <cell r="AN279">
            <v>0</v>
          </cell>
        </row>
        <row r="280">
          <cell r="C280">
            <v>50954</v>
          </cell>
          <cell r="D280">
            <v>44746</v>
          </cell>
          <cell r="E280">
            <v>44835</v>
          </cell>
          <cell r="F280" t="str">
            <v>Tổ 15</v>
          </cell>
          <cell r="H280" t="str">
            <v>LT</v>
          </cell>
          <cell r="J280" t="str">
            <v>x</v>
          </cell>
          <cell r="K280" t="str">
            <v>x</v>
          </cell>
          <cell r="L280" t="str">
            <v>x</v>
          </cell>
          <cell r="M280" t="str">
            <v>x</v>
          </cell>
          <cell r="O280" t="str">
            <v>x</v>
          </cell>
          <cell r="P280" t="str">
            <v>x</v>
          </cell>
          <cell r="Q280" t="str">
            <v>x</v>
          </cell>
          <cell r="R280" t="str">
            <v>x</v>
          </cell>
          <cell r="S280" t="str">
            <v>x</v>
          </cell>
          <cell r="T280" t="str">
            <v>x</v>
          </cell>
          <cell r="V280" t="str">
            <v>x</v>
          </cell>
          <cell r="W280" t="str">
            <v>x</v>
          </cell>
          <cell r="X280" t="str">
            <v>x</v>
          </cell>
          <cell r="Y280" t="str">
            <v>x</v>
          </cell>
          <cell r="Z280" t="str">
            <v>x</v>
          </cell>
          <cell r="AA280" t="str">
            <v>x</v>
          </cell>
          <cell r="AC280" t="str">
            <v>x</v>
          </cell>
          <cell r="AD280" t="str">
            <v>x</v>
          </cell>
          <cell r="AE280" t="str">
            <v>x</v>
          </cell>
          <cell r="AF280" t="str">
            <v>x</v>
          </cell>
          <cell r="AG280" t="str">
            <v>x</v>
          </cell>
          <cell r="AH280" t="str">
            <v>x</v>
          </cell>
          <cell r="AJ280" t="str">
            <v>x</v>
          </cell>
          <cell r="AK280" t="str">
            <v>x</v>
          </cell>
          <cell r="AL280" t="str">
            <v>x</v>
          </cell>
          <cell r="AM280">
            <v>25</v>
          </cell>
          <cell r="AN280">
            <v>0</v>
          </cell>
        </row>
        <row r="281">
          <cell r="C281">
            <v>50961</v>
          </cell>
          <cell r="D281">
            <v>44753</v>
          </cell>
          <cell r="E281">
            <v>44835</v>
          </cell>
          <cell r="F281" t="str">
            <v>Kiểm hoá</v>
          </cell>
          <cell r="G281" t="str">
            <v>Mang thai</v>
          </cell>
          <cell r="H281" t="str">
            <v>LT</v>
          </cell>
          <cell r="J281" t="str">
            <v>x</v>
          </cell>
          <cell r="K281" t="str">
            <v>x</v>
          </cell>
          <cell r="L281" t="str">
            <v>x</v>
          </cell>
          <cell r="M281" t="str">
            <v>x</v>
          </cell>
          <cell r="O281" t="str">
            <v>x</v>
          </cell>
          <cell r="P281" t="str">
            <v>x</v>
          </cell>
          <cell r="Q281" t="str">
            <v>x</v>
          </cell>
          <cell r="R281" t="str">
            <v>x</v>
          </cell>
          <cell r="S281" t="str">
            <v>x</v>
          </cell>
          <cell r="T281" t="str">
            <v>F</v>
          </cell>
          <cell r="V281" t="str">
            <v>F</v>
          </cell>
          <cell r="W281" t="str">
            <v>x</v>
          </cell>
          <cell r="X281" t="str">
            <v>x</v>
          </cell>
          <cell r="Y281" t="str">
            <v>x</v>
          </cell>
          <cell r="Z281" t="str">
            <v>x</v>
          </cell>
          <cell r="AA281" t="str">
            <v>x</v>
          </cell>
          <cell r="AC281" t="str">
            <v>x</v>
          </cell>
          <cell r="AD281" t="str">
            <v>x</v>
          </cell>
          <cell r="AE281" t="str">
            <v>x</v>
          </cell>
          <cell r="AF281" t="str">
            <v>x</v>
          </cell>
          <cell r="AG281" t="str">
            <v>x</v>
          </cell>
          <cell r="AH281" t="str">
            <v>x</v>
          </cell>
          <cell r="AJ281" t="str">
            <v>x</v>
          </cell>
          <cell r="AK281" t="str">
            <v>x</v>
          </cell>
          <cell r="AL281" t="str">
            <v>x</v>
          </cell>
          <cell r="AM281">
            <v>23</v>
          </cell>
          <cell r="AN281">
            <v>0</v>
          </cell>
        </row>
        <row r="282">
          <cell r="C282">
            <v>50969</v>
          </cell>
          <cell r="D282">
            <v>44755</v>
          </cell>
          <cell r="E282">
            <v>44835</v>
          </cell>
          <cell r="F282" t="str">
            <v>Tổ 15</v>
          </cell>
          <cell r="H282" t="str">
            <v>LT</v>
          </cell>
          <cell r="J282" t="str">
            <v>x</v>
          </cell>
          <cell r="K282" t="str">
            <v>x</v>
          </cell>
          <cell r="L282" t="str">
            <v>x</v>
          </cell>
          <cell r="M282" t="str">
            <v>x</v>
          </cell>
          <cell r="O282" t="str">
            <v>Ô</v>
          </cell>
          <cell r="P282" t="str">
            <v>Ô</v>
          </cell>
          <cell r="Q282" t="str">
            <v>Ô</v>
          </cell>
          <cell r="R282" t="str">
            <v>Ô</v>
          </cell>
          <cell r="S282" t="str">
            <v>Ô</v>
          </cell>
          <cell r="T282" t="str">
            <v>Ô</v>
          </cell>
          <cell r="V282" t="str">
            <v>x</v>
          </cell>
          <cell r="W282" t="str">
            <v>x</v>
          </cell>
          <cell r="X282" t="str">
            <v>x</v>
          </cell>
          <cell r="Y282" t="str">
            <v>x</v>
          </cell>
          <cell r="Z282" t="str">
            <v>x</v>
          </cell>
          <cell r="AA282" t="str">
            <v>Ô</v>
          </cell>
          <cell r="AC282" t="str">
            <v>x</v>
          </cell>
          <cell r="AD282" t="str">
            <v>x</v>
          </cell>
          <cell r="AE282" t="str">
            <v>Ô</v>
          </cell>
          <cell r="AF282" t="str">
            <v>Ô</v>
          </cell>
          <cell r="AG282" t="str">
            <v>Ô</v>
          </cell>
          <cell r="AH282" t="str">
            <v>Ô</v>
          </cell>
          <cell r="AJ282" t="str">
            <v>Ô</v>
          </cell>
          <cell r="AK282" t="str">
            <v>Ô</v>
          </cell>
          <cell r="AL282" t="str">
            <v>Ô</v>
          </cell>
          <cell r="AM282">
            <v>11</v>
          </cell>
          <cell r="AN282">
            <v>0</v>
          </cell>
        </row>
        <row r="283">
          <cell r="C283">
            <v>50973</v>
          </cell>
          <cell r="D283">
            <v>44756</v>
          </cell>
          <cell r="E283">
            <v>44835</v>
          </cell>
          <cell r="F283" t="str">
            <v>LÀ TP</v>
          </cell>
          <cell r="H283" t="str">
            <v>LT</v>
          </cell>
          <cell r="J283" t="str">
            <v>x</v>
          </cell>
          <cell r="K283" t="str">
            <v>x</v>
          </cell>
          <cell r="L283" t="str">
            <v>x</v>
          </cell>
          <cell r="M283" t="str">
            <v>x</v>
          </cell>
          <cell r="O283" t="str">
            <v>x</v>
          </cell>
          <cell r="P283" t="str">
            <v>x</v>
          </cell>
          <cell r="Q283" t="str">
            <v>x</v>
          </cell>
          <cell r="R283" t="str">
            <v>x</v>
          </cell>
          <cell r="S283" t="str">
            <v>x</v>
          </cell>
          <cell r="T283" t="str">
            <v>x</v>
          </cell>
          <cell r="V283" t="str">
            <v>x</v>
          </cell>
          <cell r="W283" t="str">
            <v>x</v>
          </cell>
          <cell r="X283" t="str">
            <v>x</v>
          </cell>
          <cell r="Y283" t="str">
            <v>x</v>
          </cell>
          <cell r="Z283" t="str">
            <v>x</v>
          </cell>
          <cell r="AA283" t="str">
            <v>x</v>
          </cell>
          <cell r="AC283" t="str">
            <v>x</v>
          </cell>
          <cell r="AD283" t="str">
            <v>x</v>
          </cell>
          <cell r="AE283" t="str">
            <v>x</v>
          </cell>
          <cell r="AF283" t="str">
            <v>x/2</v>
          </cell>
          <cell r="AG283" t="str">
            <v>x</v>
          </cell>
          <cell r="AH283" t="str">
            <v>x</v>
          </cell>
          <cell r="AJ283" t="str">
            <v>x</v>
          </cell>
          <cell r="AK283" t="str">
            <v>x</v>
          </cell>
          <cell r="AL283" t="str">
            <v>x</v>
          </cell>
          <cell r="AM283">
            <v>24.5</v>
          </cell>
          <cell r="AN283">
            <v>0</v>
          </cell>
        </row>
        <row r="284">
          <cell r="C284">
            <v>50974</v>
          </cell>
          <cell r="D284">
            <v>44757</v>
          </cell>
          <cell r="E284">
            <v>44835</v>
          </cell>
          <cell r="F284" t="str">
            <v>Tổ chi tiết</v>
          </cell>
          <cell r="H284" t="str">
            <v>LT</v>
          </cell>
          <cell r="J284" t="str">
            <v>x</v>
          </cell>
          <cell r="K284" t="str">
            <v>x</v>
          </cell>
          <cell r="L284" t="str">
            <v>x</v>
          </cell>
          <cell r="M284" t="str">
            <v>x</v>
          </cell>
          <cell r="O284" t="str">
            <v>x</v>
          </cell>
          <cell r="P284" t="str">
            <v>x</v>
          </cell>
          <cell r="Q284" t="str">
            <v>x</v>
          </cell>
          <cell r="R284" t="str">
            <v>x</v>
          </cell>
          <cell r="S284" t="str">
            <v>x</v>
          </cell>
          <cell r="T284" t="str">
            <v>x</v>
          </cell>
          <cell r="V284" t="str">
            <v>x</v>
          </cell>
          <cell r="W284" t="str">
            <v>x</v>
          </cell>
          <cell r="X284" t="str">
            <v>x</v>
          </cell>
          <cell r="Y284" t="str">
            <v>x</v>
          </cell>
          <cell r="Z284" t="str">
            <v>x</v>
          </cell>
          <cell r="AA284" t="str">
            <v>x</v>
          </cell>
          <cell r="AC284" t="str">
            <v>x</v>
          </cell>
          <cell r="AD284" t="str">
            <v>x</v>
          </cell>
          <cell r="AE284" t="str">
            <v>x</v>
          </cell>
          <cell r="AF284" t="str">
            <v>x</v>
          </cell>
          <cell r="AG284" t="str">
            <v>x</v>
          </cell>
          <cell r="AH284" t="str">
            <v>x</v>
          </cell>
          <cell r="AJ284" t="str">
            <v>x</v>
          </cell>
          <cell r="AK284" t="str">
            <v>x</v>
          </cell>
          <cell r="AL284" t="str">
            <v>x</v>
          </cell>
          <cell r="AM284">
            <v>25</v>
          </cell>
          <cell r="AN284">
            <v>0</v>
          </cell>
        </row>
        <row r="285">
          <cell r="C285">
            <v>50987</v>
          </cell>
          <cell r="D285">
            <v>44764</v>
          </cell>
          <cell r="E285">
            <v>44835</v>
          </cell>
          <cell r="F285" t="str">
            <v>Cắt</v>
          </cell>
          <cell r="H285" t="str">
            <v>LT</v>
          </cell>
          <cell r="J285" t="str">
            <v>x</v>
          </cell>
          <cell r="K285" t="str">
            <v>x</v>
          </cell>
          <cell r="L285" t="str">
            <v>x</v>
          </cell>
          <cell r="M285" t="str">
            <v>x</v>
          </cell>
          <cell r="O285" t="str">
            <v>x</v>
          </cell>
          <cell r="P285" t="str">
            <v>x</v>
          </cell>
          <cell r="Q285" t="str">
            <v>x</v>
          </cell>
          <cell r="R285" t="str">
            <v>x</v>
          </cell>
          <cell r="S285" t="str">
            <v>x</v>
          </cell>
          <cell r="T285" t="str">
            <v>x</v>
          </cell>
          <cell r="U285" t="str">
            <v>x/2</v>
          </cell>
          <cell r="V285" t="str">
            <v>x</v>
          </cell>
          <cell r="W285" t="str">
            <v>x</v>
          </cell>
          <cell r="X285" t="str">
            <v>x</v>
          </cell>
          <cell r="Y285" t="str">
            <v>x</v>
          </cell>
          <cell r="Z285" t="str">
            <v>x</v>
          </cell>
          <cell r="AA285" t="str">
            <v>x</v>
          </cell>
          <cell r="AC285" t="str">
            <v>x</v>
          </cell>
          <cell r="AD285" t="str">
            <v>x</v>
          </cell>
          <cell r="AE285" t="str">
            <v>x</v>
          </cell>
          <cell r="AF285" t="str">
            <v>x</v>
          </cell>
          <cell r="AG285" t="str">
            <v>x</v>
          </cell>
          <cell r="AH285" t="str">
            <v>x</v>
          </cell>
          <cell r="AJ285" t="str">
            <v>x</v>
          </cell>
          <cell r="AK285" t="str">
            <v>x</v>
          </cell>
          <cell r="AL285" t="str">
            <v>x</v>
          </cell>
          <cell r="AM285">
            <v>25</v>
          </cell>
          <cell r="AN285">
            <v>0.5</v>
          </cell>
        </row>
        <row r="286">
          <cell r="C286">
            <v>51022</v>
          </cell>
          <cell r="D286">
            <v>44789</v>
          </cell>
          <cell r="E286">
            <v>44835</v>
          </cell>
          <cell r="F286" t="str">
            <v>Tổ Sơ mi 2</v>
          </cell>
          <cell r="H286" t="str">
            <v>LT</v>
          </cell>
          <cell r="J286" t="str">
            <v>x</v>
          </cell>
          <cell r="K286" t="str">
            <v>x</v>
          </cell>
          <cell r="L286" t="str">
            <v>x</v>
          </cell>
          <cell r="M286" t="str">
            <v>x</v>
          </cell>
          <cell r="O286" t="str">
            <v>x</v>
          </cell>
          <cell r="P286" t="str">
            <v>x</v>
          </cell>
          <cell r="Q286" t="str">
            <v>x</v>
          </cell>
          <cell r="R286" t="str">
            <v>x</v>
          </cell>
          <cell r="S286" t="str">
            <v>x</v>
          </cell>
          <cell r="T286" t="str">
            <v>x</v>
          </cell>
          <cell r="V286" t="str">
            <v>x</v>
          </cell>
          <cell r="W286" t="str">
            <v>x</v>
          </cell>
          <cell r="X286" t="str">
            <v>x</v>
          </cell>
          <cell r="Y286" t="str">
            <v>x</v>
          </cell>
          <cell r="Z286" t="str">
            <v>x</v>
          </cell>
          <cell r="AA286" t="str">
            <v>x</v>
          </cell>
          <cell r="AC286" t="str">
            <v>x/2x</v>
          </cell>
          <cell r="AD286" t="str">
            <v>x</v>
          </cell>
          <cell r="AE286" t="str">
            <v>x</v>
          </cell>
          <cell r="AF286" t="str">
            <v>x</v>
          </cell>
          <cell r="AG286" t="str">
            <v>x</v>
          </cell>
          <cell r="AH286" t="str">
            <v>x</v>
          </cell>
          <cell r="AJ286" t="str">
            <v>x</v>
          </cell>
          <cell r="AK286" t="str">
            <v>F</v>
          </cell>
          <cell r="AL286" t="str">
            <v>F</v>
          </cell>
          <cell r="AM286">
            <v>22</v>
          </cell>
          <cell r="AN286">
            <v>0</v>
          </cell>
        </row>
        <row r="287">
          <cell r="C287">
            <v>51028</v>
          </cell>
          <cell r="D287">
            <v>44790</v>
          </cell>
          <cell r="E287">
            <v>44835</v>
          </cell>
          <cell r="F287" t="str">
            <v>LÀ TP</v>
          </cell>
          <cell r="H287" t="str">
            <v>LT</v>
          </cell>
          <cell r="J287" t="str">
            <v>x</v>
          </cell>
          <cell r="K287" t="str">
            <v>x</v>
          </cell>
          <cell r="L287" t="str">
            <v>x</v>
          </cell>
          <cell r="M287" t="str">
            <v>x</v>
          </cell>
          <cell r="O287" t="str">
            <v>x</v>
          </cell>
          <cell r="P287" t="str">
            <v>x</v>
          </cell>
          <cell r="Q287" t="str">
            <v>x</v>
          </cell>
          <cell r="R287" t="str">
            <v>x</v>
          </cell>
          <cell r="S287" t="str">
            <v>x</v>
          </cell>
          <cell r="T287" t="str">
            <v>x</v>
          </cell>
          <cell r="V287" t="str">
            <v>x</v>
          </cell>
          <cell r="W287" t="str">
            <v>x</v>
          </cell>
          <cell r="X287" t="str">
            <v>x</v>
          </cell>
          <cell r="Y287" t="str">
            <v>x</v>
          </cell>
          <cell r="Z287" t="str">
            <v>F</v>
          </cell>
          <cell r="AA287" t="str">
            <v>x</v>
          </cell>
          <cell r="AC287" t="str">
            <v>x</v>
          </cell>
          <cell r="AD287" t="str">
            <v>x</v>
          </cell>
          <cell r="AE287" t="str">
            <v>x</v>
          </cell>
          <cell r="AF287" t="str">
            <v>x</v>
          </cell>
          <cell r="AG287" t="str">
            <v>x</v>
          </cell>
          <cell r="AH287" t="str">
            <v>x</v>
          </cell>
          <cell r="AJ287" t="str">
            <v>x</v>
          </cell>
          <cell r="AK287" t="str">
            <v>x</v>
          </cell>
          <cell r="AL287" t="str">
            <v>x</v>
          </cell>
          <cell r="AM287">
            <v>24</v>
          </cell>
          <cell r="AN287">
            <v>0</v>
          </cell>
        </row>
        <row r="288">
          <cell r="C288">
            <v>51040</v>
          </cell>
          <cell r="D288">
            <v>44792</v>
          </cell>
          <cell r="E288">
            <v>44835</v>
          </cell>
          <cell r="F288" t="str">
            <v>Tổ chi tiết</v>
          </cell>
          <cell r="H288" t="str">
            <v>LT</v>
          </cell>
          <cell r="J288" t="str">
            <v>x</v>
          </cell>
          <cell r="K288" t="str">
            <v>x</v>
          </cell>
          <cell r="L288" t="str">
            <v>x</v>
          </cell>
          <cell r="M288" t="str">
            <v>x</v>
          </cell>
          <cell r="O288" t="str">
            <v>x</v>
          </cell>
          <cell r="P288" t="str">
            <v>x</v>
          </cell>
          <cell r="Q288" t="str">
            <v>x</v>
          </cell>
          <cell r="R288" t="str">
            <v>x</v>
          </cell>
          <cell r="S288" t="str">
            <v>x</v>
          </cell>
          <cell r="T288" t="str">
            <v>x</v>
          </cell>
          <cell r="V288" t="str">
            <v>x</v>
          </cell>
          <cell r="W288" t="str">
            <v>x</v>
          </cell>
          <cell r="X288" t="str">
            <v>x</v>
          </cell>
          <cell r="Y288" t="str">
            <v>x</v>
          </cell>
          <cell r="Z288" t="str">
            <v>x</v>
          </cell>
          <cell r="AA288" t="str">
            <v>x</v>
          </cell>
          <cell r="AC288" t="str">
            <v>x</v>
          </cell>
          <cell r="AD288" t="str">
            <v>x</v>
          </cell>
          <cell r="AE288" t="str">
            <v>x</v>
          </cell>
          <cell r="AF288" t="str">
            <v>x</v>
          </cell>
          <cell r="AG288" t="str">
            <v>x</v>
          </cell>
          <cell r="AH288" t="str">
            <v>x</v>
          </cell>
          <cell r="AJ288" t="str">
            <v>x</v>
          </cell>
          <cell r="AK288" t="str">
            <v>x</v>
          </cell>
          <cell r="AL288" t="str">
            <v>x</v>
          </cell>
          <cell r="AM288">
            <v>25</v>
          </cell>
          <cell r="AN288">
            <v>0</v>
          </cell>
        </row>
        <row r="289">
          <cell r="C289">
            <v>51049</v>
          </cell>
          <cell r="D289">
            <v>44797</v>
          </cell>
          <cell r="E289">
            <v>44835</v>
          </cell>
          <cell r="F289" t="str">
            <v>LÀ TP</v>
          </cell>
          <cell r="H289" t="str">
            <v>LT</v>
          </cell>
          <cell r="J289" t="str">
            <v>x</v>
          </cell>
          <cell r="K289" t="str">
            <v>x</v>
          </cell>
          <cell r="L289" t="str">
            <v>x</v>
          </cell>
          <cell r="M289" t="str">
            <v>x</v>
          </cell>
          <cell r="O289" t="str">
            <v>x</v>
          </cell>
          <cell r="P289" t="str">
            <v>x</v>
          </cell>
          <cell r="Q289" t="str">
            <v>x</v>
          </cell>
          <cell r="R289" t="str">
            <v>x</v>
          </cell>
          <cell r="S289" t="str">
            <v>x</v>
          </cell>
          <cell r="T289" t="str">
            <v>x</v>
          </cell>
          <cell r="V289" t="str">
            <v>x</v>
          </cell>
          <cell r="W289" t="str">
            <v>x</v>
          </cell>
          <cell r="X289" t="str">
            <v>x</v>
          </cell>
          <cell r="Y289" t="str">
            <v>x</v>
          </cell>
          <cell r="Z289" t="str">
            <v>x</v>
          </cell>
          <cell r="AA289" t="str">
            <v>x</v>
          </cell>
          <cell r="AC289" t="str">
            <v>x</v>
          </cell>
          <cell r="AD289" t="str">
            <v>x</v>
          </cell>
          <cell r="AE289" t="str">
            <v>x</v>
          </cell>
          <cell r="AF289" t="str">
            <v>x</v>
          </cell>
          <cell r="AG289" t="str">
            <v>x</v>
          </cell>
          <cell r="AH289" t="str">
            <v>x</v>
          </cell>
          <cell r="AJ289" t="str">
            <v>x</v>
          </cell>
          <cell r="AK289" t="str">
            <v>x</v>
          </cell>
          <cell r="AL289" t="str">
            <v>x</v>
          </cell>
          <cell r="AM289">
            <v>25</v>
          </cell>
          <cell r="AN289">
            <v>0</v>
          </cell>
        </row>
        <row r="290">
          <cell r="C290">
            <v>51051</v>
          </cell>
          <cell r="D290">
            <v>44797</v>
          </cell>
          <cell r="E290">
            <v>44835</v>
          </cell>
          <cell r="F290" t="str">
            <v>Tổ 15</v>
          </cell>
          <cell r="H290" t="str">
            <v>LT</v>
          </cell>
          <cell r="J290" t="str">
            <v>x</v>
          </cell>
          <cell r="K290" t="str">
            <v>x</v>
          </cell>
          <cell r="L290" t="str">
            <v>x</v>
          </cell>
          <cell r="M290" t="str">
            <v>x</v>
          </cell>
          <cell r="O290" t="str">
            <v>x</v>
          </cell>
          <cell r="P290" t="str">
            <v>x</v>
          </cell>
          <cell r="Q290" t="str">
            <v>x</v>
          </cell>
          <cell r="R290" t="str">
            <v>x</v>
          </cell>
          <cell r="S290" t="str">
            <v>x</v>
          </cell>
          <cell r="T290" t="str">
            <v>x</v>
          </cell>
          <cell r="V290" t="str">
            <v>x</v>
          </cell>
          <cell r="W290" t="str">
            <v>x</v>
          </cell>
          <cell r="X290" t="str">
            <v>x</v>
          </cell>
          <cell r="Y290" t="str">
            <v>x</v>
          </cell>
          <cell r="Z290" t="str">
            <v>x</v>
          </cell>
          <cell r="AA290" t="str">
            <v>x</v>
          </cell>
          <cell r="AC290" t="str">
            <v>x</v>
          </cell>
          <cell r="AD290" t="str">
            <v>x</v>
          </cell>
          <cell r="AE290" t="str">
            <v>x</v>
          </cell>
          <cell r="AF290" t="str">
            <v>x</v>
          </cell>
          <cell r="AG290" t="str">
            <v>x</v>
          </cell>
          <cell r="AH290" t="str">
            <v>x</v>
          </cell>
          <cell r="AJ290" t="str">
            <v>x</v>
          </cell>
          <cell r="AK290" t="str">
            <v>x</v>
          </cell>
          <cell r="AL290" t="str">
            <v>x</v>
          </cell>
          <cell r="AM290">
            <v>25</v>
          </cell>
          <cell r="AN290">
            <v>0</v>
          </cell>
        </row>
        <row r="291">
          <cell r="C291">
            <v>51054</v>
          </cell>
          <cell r="D291">
            <v>44799</v>
          </cell>
          <cell r="E291">
            <v>44835</v>
          </cell>
          <cell r="F291" t="str">
            <v>LÀ TP</v>
          </cell>
          <cell r="H291" t="str">
            <v>LT</v>
          </cell>
          <cell r="J291" t="str">
            <v>x</v>
          </cell>
          <cell r="K291" t="str">
            <v>x</v>
          </cell>
          <cell r="L291" t="str">
            <v>x</v>
          </cell>
          <cell r="M291" t="str">
            <v>x</v>
          </cell>
          <cell r="O291" t="str">
            <v>x</v>
          </cell>
          <cell r="P291" t="str">
            <v>x</v>
          </cell>
          <cell r="Q291" t="str">
            <v>x</v>
          </cell>
          <cell r="R291" t="str">
            <v>x</v>
          </cell>
          <cell r="S291" t="str">
            <v>x</v>
          </cell>
          <cell r="T291" t="str">
            <v>x</v>
          </cell>
          <cell r="V291" t="str">
            <v>x</v>
          </cell>
          <cell r="W291" t="str">
            <v>x</v>
          </cell>
          <cell r="X291" t="str">
            <v>x</v>
          </cell>
          <cell r="Y291" t="str">
            <v>x</v>
          </cell>
          <cell r="Z291" t="str">
            <v>x</v>
          </cell>
          <cell r="AA291" t="str">
            <v>x</v>
          </cell>
          <cell r="AC291" t="str">
            <v>x</v>
          </cell>
          <cell r="AD291" t="str">
            <v>x</v>
          </cell>
          <cell r="AE291" t="str">
            <v>x</v>
          </cell>
          <cell r="AF291" t="str">
            <v>x</v>
          </cell>
          <cell r="AG291" t="str">
            <v>x</v>
          </cell>
          <cell r="AH291" t="str">
            <v>x</v>
          </cell>
          <cell r="AJ291" t="str">
            <v>x</v>
          </cell>
          <cell r="AK291" t="str">
            <v>x</v>
          </cell>
          <cell r="AL291" t="str">
            <v>x</v>
          </cell>
          <cell r="AM291">
            <v>25</v>
          </cell>
          <cell r="AN291">
            <v>0</v>
          </cell>
        </row>
        <row r="292">
          <cell r="C292">
            <v>51066</v>
          </cell>
          <cell r="D292">
            <v>44805</v>
          </cell>
          <cell r="E292">
            <v>44835</v>
          </cell>
          <cell r="F292" t="str">
            <v>Tổ Sơ mi 1</v>
          </cell>
          <cell r="H292" t="str">
            <v>LT</v>
          </cell>
          <cell r="J292" t="str">
            <v>x</v>
          </cell>
          <cell r="K292" t="str">
            <v>x</v>
          </cell>
          <cell r="L292" t="str">
            <v>x</v>
          </cell>
          <cell r="M292" t="str">
            <v>x</v>
          </cell>
          <cell r="O292" t="str">
            <v>x</v>
          </cell>
          <cell r="P292" t="str">
            <v>x/2</v>
          </cell>
          <cell r="Q292" t="str">
            <v>Cô</v>
          </cell>
          <cell r="R292" t="str">
            <v>Cô</v>
          </cell>
          <cell r="S292" t="str">
            <v>Cô</v>
          </cell>
          <cell r="T292" t="str">
            <v>Cô</v>
          </cell>
          <cell r="V292" t="str">
            <v>F</v>
          </cell>
          <cell r="W292" t="str">
            <v>F</v>
          </cell>
          <cell r="X292" t="str">
            <v>x</v>
          </cell>
          <cell r="Y292" t="str">
            <v>x</v>
          </cell>
          <cell r="Z292" t="str">
            <v>x</v>
          </cell>
          <cell r="AA292" t="str">
            <v>x</v>
          </cell>
          <cell r="AC292" t="str">
            <v>x</v>
          </cell>
          <cell r="AD292" t="str">
            <v>x</v>
          </cell>
          <cell r="AE292" t="str">
            <v>x</v>
          </cell>
          <cell r="AF292" t="str">
            <v>x</v>
          </cell>
          <cell r="AG292" t="str">
            <v>x</v>
          </cell>
          <cell r="AH292" t="str">
            <v>x</v>
          </cell>
          <cell r="AJ292" t="str">
            <v>x</v>
          </cell>
          <cell r="AK292" t="str">
            <v>x</v>
          </cell>
          <cell r="AL292" t="str">
            <v>x</v>
          </cell>
          <cell r="AM292">
            <v>18.5</v>
          </cell>
          <cell r="AN292">
            <v>0</v>
          </cell>
        </row>
        <row r="293">
          <cell r="C293">
            <v>51080</v>
          </cell>
          <cell r="D293">
            <v>44811</v>
          </cell>
          <cell r="E293">
            <v>44835</v>
          </cell>
          <cell r="F293" t="str">
            <v>Tổ 9+10</v>
          </cell>
          <cell r="H293" t="str">
            <v>LT</v>
          </cell>
          <cell r="J293" t="str">
            <v>x</v>
          </cell>
          <cell r="K293" t="str">
            <v>x</v>
          </cell>
          <cell r="L293" t="str">
            <v>x</v>
          </cell>
          <cell r="M293" t="str">
            <v>x</v>
          </cell>
          <cell r="O293" t="str">
            <v>x</v>
          </cell>
          <cell r="P293" t="str">
            <v>x</v>
          </cell>
          <cell r="Q293" t="str">
            <v>x</v>
          </cell>
          <cell r="R293" t="str">
            <v>x</v>
          </cell>
          <cell r="S293" t="str">
            <v>x</v>
          </cell>
          <cell r="T293" t="str">
            <v>x</v>
          </cell>
          <cell r="V293" t="str">
            <v>x</v>
          </cell>
          <cell r="W293" t="str">
            <v>x</v>
          </cell>
          <cell r="X293" t="str">
            <v>x</v>
          </cell>
          <cell r="Y293" t="str">
            <v>x</v>
          </cell>
          <cell r="Z293" t="str">
            <v>x</v>
          </cell>
          <cell r="AA293" t="str">
            <v>x</v>
          </cell>
          <cell r="AC293" t="str">
            <v>x</v>
          </cell>
          <cell r="AD293" t="str">
            <v>x</v>
          </cell>
          <cell r="AE293" t="str">
            <v>x</v>
          </cell>
          <cell r="AF293" t="str">
            <v>Ro</v>
          </cell>
          <cell r="AG293" t="str">
            <v>Ro</v>
          </cell>
          <cell r="AH293" t="str">
            <v>Ro</v>
          </cell>
          <cell r="AJ293" t="str">
            <v>Ro</v>
          </cell>
          <cell r="AK293" t="str">
            <v>Ro</v>
          </cell>
          <cell r="AL293" t="str">
            <v>Ro</v>
          </cell>
          <cell r="AM293">
            <v>19</v>
          </cell>
          <cell r="AN293">
            <v>0</v>
          </cell>
        </row>
        <row r="294">
          <cell r="C294">
            <v>50965</v>
          </cell>
          <cell r="D294">
            <v>44754</v>
          </cell>
          <cell r="E294">
            <v>44866</v>
          </cell>
          <cell r="F294" t="str">
            <v>Tổ 14</v>
          </cell>
          <cell r="H294" t="str">
            <v>LT</v>
          </cell>
          <cell r="J294" t="str">
            <v>x</v>
          </cell>
          <cell r="K294" t="str">
            <v>x</v>
          </cell>
          <cell r="L294" t="str">
            <v>x</v>
          </cell>
          <cell r="M294" t="str">
            <v>x</v>
          </cell>
          <cell r="O294" t="str">
            <v>x</v>
          </cell>
          <cell r="P294" t="str">
            <v>x</v>
          </cell>
          <cell r="Q294" t="str">
            <v>x</v>
          </cell>
          <cell r="R294" t="str">
            <v>x</v>
          </cell>
          <cell r="S294" t="str">
            <v>x</v>
          </cell>
          <cell r="T294" t="str">
            <v>x</v>
          </cell>
          <cell r="V294" t="str">
            <v>x</v>
          </cell>
          <cell r="W294" t="str">
            <v>x</v>
          </cell>
          <cell r="X294" t="str">
            <v>x</v>
          </cell>
          <cell r="Y294" t="str">
            <v>x</v>
          </cell>
          <cell r="Z294" t="str">
            <v>x</v>
          </cell>
          <cell r="AA294" t="str">
            <v>x</v>
          </cell>
          <cell r="AC294" t="str">
            <v>x</v>
          </cell>
          <cell r="AD294" t="str">
            <v>x</v>
          </cell>
          <cell r="AE294" t="str">
            <v>x</v>
          </cell>
          <cell r="AF294" t="str">
            <v>x</v>
          </cell>
          <cell r="AG294" t="str">
            <v>x</v>
          </cell>
          <cell r="AH294" t="str">
            <v>x</v>
          </cell>
          <cell r="AI294" t="str">
            <v>x</v>
          </cell>
          <cell r="AJ294" t="str">
            <v>x</v>
          </cell>
          <cell r="AK294" t="str">
            <v>x</v>
          </cell>
          <cell r="AL294" t="str">
            <v>x</v>
          </cell>
          <cell r="AM294">
            <v>25</v>
          </cell>
          <cell r="AN294">
            <v>1</v>
          </cell>
        </row>
        <row r="295">
          <cell r="C295">
            <v>51031</v>
          </cell>
          <cell r="D295">
            <v>44790</v>
          </cell>
          <cell r="E295">
            <v>44866</v>
          </cell>
          <cell r="F295" t="str">
            <v>Tổ 15</v>
          </cell>
          <cell r="H295" t="str">
            <v>LT</v>
          </cell>
          <cell r="J295" t="str">
            <v>x</v>
          </cell>
          <cell r="K295" t="str">
            <v>x</v>
          </cell>
          <cell r="L295" t="str">
            <v>x</v>
          </cell>
          <cell r="M295" t="str">
            <v>x</v>
          </cell>
          <cell r="O295" t="str">
            <v>x</v>
          </cell>
          <cell r="P295" t="str">
            <v>x</v>
          </cell>
          <cell r="Q295" t="str">
            <v>x</v>
          </cell>
          <cell r="R295" t="str">
            <v>x</v>
          </cell>
          <cell r="S295" t="str">
            <v>x</v>
          </cell>
          <cell r="T295" t="str">
            <v>x</v>
          </cell>
          <cell r="V295" t="str">
            <v>x</v>
          </cell>
          <cell r="W295" t="str">
            <v>F</v>
          </cell>
          <cell r="X295" t="str">
            <v>x</v>
          </cell>
          <cell r="Y295" t="str">
            <v>x</v>
          </cell>
          <cell r="Z295" t="str">
            <v>x</v>
          </cell>
          <cell r="AA295" t="str">
            <v>x</v>
          </cell>
          <cell r="AC295" t="str">
            <v>x</v>
          </cell>
          <cell r="AD295" t="str">
            <v>x</v>
          </cell>
          <cell r="AE295" t="str">
            <v>x</v>
          </cell>
          <cell r="AF295" t="str">
            <v>x</v>
          </cell>
          <cell r="AG295" t="str">
            <v>x</v>
          </cell>
          <cell r="AH295" t="str">
            <v>x</v>
          </cell>
          <cell r="AJ295" t="str">
            <v>x</v>
          </cell>
          <cell r="AK295" t="str">
            <v>x</v>
          </cell>
          <cell r="AL295" t="str">
            <v>x</v>
          </cell>
          <cell r="AM295">
            <v>24</v>
          </cell>
          <cell r="AN295">
            <v>0</v>
          </cell>
        </row>
        <row r="296">
          <cell r="C296">
            <v>51048</v>
          </cell>
          <cell r="D296">
            <v>44797</v>
          </cell>
          <cell r="E296">
            <v>44866</v>
          </cell>
          <cell r="F296" t="str">
            <v>Tổ 15</v>
          </cell>
          <cell r="H296" t="str">
            <v>LT</v>
          </cell>
          <cell r="J296" t="str">
            <v>x</v>
          </cell>
          <cell r="K296" t="str">
            <v>x</v>
          </cell>
          <cell r="L296" t="str">
            <v>x</v>
          </cell>
          <cell r="M296" t="str">
            <v>x</v>
          </cell>
          <cell r="O296" t="str">
            <v>x</v>
          </cell>
          <cell r="P296" t="str">
            <v>x</v>
          </cell>
          <cell r="Q296" t="str">
            <v>x</v>
          </cell>
          <cell r="R296" t="str">
            <v>x</v>
          </cell>
          <cell r="S296" t="str">
            <v>x</v>
          </cell>
          <cell r="T296" t="str">
            <v>x</v>
          </cell>
          <cell r="V296" t="str">
            <v>x</v>
          </cell>
          <cell r="W296" t="str">
            <v>x</v>
          </cell>
          <cell r="X296" t="str">
            <v>x</v>
          </cell>
          <cell r="Y296" t="str">
            <v>x</v>
          </cell>
          <cell r="Z296" t="str">
            <v>x</v>
          </cell>
          <cell r="AA296" t="str">
            <v>x</v>
          </cell>
          <cell r="AC296" t="str">
            <v>x</v>
          </cell>
          <cell r="AD296" t="str">
            <v>x</v>
          </cell>
          <cell r="AE296" t="str">
            <v>x</v>
          </cell>
          <cell r="AF296" t="str">
            <v>x</v>
          </cell>
          <cell r="AG296" t="str">
            <v>x</v>
          </cell>
          <cell r="AH296" t="str">
            <v>x</v>
          </cell>
          <cell r="AJ296" t="str">
            <v>x</v>
          </cell>
          <cell r="AK296" t="str">
            <v>x</v>
          </cell>
          <cell r="AL296" t="str">
            <v>x</v>
          </cell>
          <cell r="AM296">
            <v>25</v>
          </cell>
          <cell r="AN296">
            <v>0</v>
          </cell>
        </row>
        <row r="297">
          <cell r="C297">
            <v>51052</v>
          </cell>
          <cell r="D297">
            <v>44774</v>
          </cell>
          <cell r="E297">
            <v>44866</v>
          </cell>
          <cell r="F297" t="str">
            <v>Tổ 14</v>
          </cell>
          <cell r="H297" t="str">
            <v>LT</v>
          </cell>
          <cell r="J297" t="str">
            <v>x</v>
          </cell>
          <cell r="K297" t="str">
            <v>x</v>
          </cell>
          <cell r="L297" t="str">
            <v>x</v>
          </cell>
          <cell r="M297" t="str">
            <v>x</v>
          </cell>
          <cell r="O297" t="str">
            <v>x</v>
          </cell>
          <cell r="P297" t="str">
            <v>x</v>
          </cell>
          <cell r="Q297" t="str">
            <v>x</v>
          </cell>
          <cell r="R297" t="str">
            <v>x</v>
          </cell>
          <cell r="S297" t="str">
            <v>x</v>
          </cell>
          <cell r="T297" t="str">
            <v>x</v>
          </cell>
          <cell r="V297" t="str">
            <v>x</v>
          </cell>
          <cell r="W297" t="str">
            <v>x</v>
          </cell>
          <cell r="X297" t="str">
            <v>x</v>
          </cell>
          <cell r="Y297" t="str">
            <v>x</v>
          </cell>
          <cell r="Z297" t="str">
            <v>x</v>
          </cell>
          <cell r="AA297" t="str">
            <v>x</v>
          </cell>
          <cell r="AC297" t="str">
            <v>x</v>
          </cell>
          <cell r="AD297" t="str">
            <v>x</v>
          </cell>
          <cell r="AE297" t="str">
            <v>x</v>
          </cell>
          <cell r="AF297" t="str">
            <v>x</v>
          </cell>
          <cell r="AG297" t="str">
            <v>x</v>
          </cell>
          <cell r="AH297" t="str">
            <v>x</v>
          </cell>
          <cell r="AJ297" t="str">
            <v>x</v>
          </cell>
          <cell r="AK297" t="str">
            <v>x</v>
          </cell>
          <cell r="AL297" t="str">
            <v>x</v>
          </cell>
          <cell r="AM297">
            <v>25</v>
          </cell>
          <cell r="AN297">
            <v>0</v>
          </cell>
        </row>
        <row r="298">
          <cell r="C298">
            <v>51099</v>
          </cell>
          <cell r="D298">
            <v>44813</v>
          </cell>
          <cell r="E298">
            <v>44866</v>
          </cell>
          <cell r="F298" t="str">
            <v>LÀ TP</v>
          </cell>
          <cell r="H298" t="str">
            <v>LT</v>
          </cell>
          <cell r="J298" t="str">
            <v>x</v>
          </cell>
          <cell r="K298" t="str">
            <v>x</v>
          </cell>
          <cell r="L298" t="str">
            <v>x</v>
          </cell>
          <cell r="M298" t="str">
            <v>x</v>
          </cell>
          <cell r="O298" t="str">
            <v>x</v>
          </cell>
          <cell r="P298" t="str">
            <v>x</v>
          </cell>
          <cell r="Q298" t="str">
            <v>x</v>
          </cell>
          <cell r="R298" t="str">
            <v>Ro</v>
          </cell>
          <cell r="S298" t="str">
            <v>Ro</v>
          </cell>
          <cell r="T298" t="str">
            <v>x</v>
          </cell>
          <cell r="V298" t="str">
            <v>x</v>
          </cell>
          <cell r="W298" t="str">
            <v>x</v>
          </cell>
          <cell r="X298" t="str">
            <v>x</v>
          </cell>
          <cell r="Y298" t="str">
            <v>x</v>
          </cell>
          <cell r="Z298" t="str">
            <v>x</v>
          </cell>
          <cell r="AA298" t="str">
            <v>x</v>
          </cell>
          <cell r="AC298" t="str">
            <v>x</v>
          </cell>
          <cell r="AD298" t="str">
            <v>F</v>
          </cell>
          <cell r="AE298" t="str">
            <v>x</v>
          </cell>
          <cell r="AF298" t="str">
            <v>x</v>
          </cell>
          <cell r="AG298" t="str">
            <v>x</v>
          </cell>
          <cell r="AH298" t="str">
            <v>x</v>
          </cell>
          <cell r="AJ298" t="str">
            <v>x</v>
          </cell>
          <cell r="AK298" t="str">
            <v>x</v>
          </cell>
          <cell r="AL298" t="str">
            <v>x</v>
          </cell>
          <cell r="AM298">
            <v>22</v>
          </cell>
          <cell r="AN298">
            <v>0</v>
          </cell>
        </row>
        <row r="299">
          <cell r="C299">
            <v>51104</v>
          </cell>
          <cell r="D299">
            <v>44818</v>
          </cell>
          <cell r="E299">
            <v>44866</v>
          </cell>
          <cell r="F299" t="str">
            <v>H.thiện</v>
          </cell>
          <cell r="H299" t="str">
            <v>LT</v>
          </cell>
          <cell r="J299" t="str">
            <v>x</v>
          </cell>
          <cell r="K299" t="str">
            <v>x</v>
          </cell>
          <cell r="L299" t="str">
            <v>x</v>
          </cell>
          <cell r="M299" t="str">
            <v>x</v>
          </cell>
          <cell r="O299" t="str">
            <v>x</v>
          </cell>
          <cell r="P299" t="str">
            <v>x/2</v>
          </cell>
          <cell r="Q299" t="str">
            <v>x/2</v>
          </cell>
          <cell r="R299" t="str">
            <v>x</v>
          </cell>
          <cell r="S299" t="str">
            <v>x</v>
          </cell>
          <cell r="T299" t="str">
            <v>x</v>
          </cell>
          <cell r="V299" t="str">
            <v>x</v>
          </cell>
          <cell r="W299" t="str">
            <v>x</v>
          </cell>
          <cell r="X299" t="str">
            <v>x</v>
          </cell>
          <cell r="Y299" t="str">
            <v>x</v>
          </cell>
          <cell r="Z299" t="str">
            <v>x</v>
          </cell>
          <cell r="AA299" t="str">
            <v>x</v>
          </cell>
          <cell r="AC299" t="str">
            <v>x</v>
          </cell>
          <cell r="AD299" t="str">
            <v>x</v>
          </cell>
          <cell r="AE299" t="str">
            <v>x</v>
          </cell>
          <cell r="AF299" t="str">
            <v>x</v>
          </cell>
          <cell r="AG299" t="str">
            <v>x</v>
          </cell>
          <cell r="AH299" t="str">
            <v>x</v>
          </cell>
          <cell r="AJ299" t="str">
            <v>x</v>
          </cell>
          <cell r="AK299" t="str">
            <v>x</v>
          </cell>
          <cell r="AL299" t="str">
            <v>x</v>
          </cell>
          <cell r="AM299">
            <v>24</v>
          </cell>
          <cell r="AN299">
            <v>0</v>
          </cell>
        </row>
        <row r="300">
          <cell r="C300">
            <v>51114</v>
          </cell>
          <cell r="D300">
            <v>44824</v>
          </cell>
          <cell r="E300">
            <v>44866</v>
          </cell>
          <cell r="F300" t="str">
            <v>H.thiện</v>
          </cell>
          <cell r="H300" t="str">
            <v>LT</v>
          </cell>
          <cell r="J300" t="str">
            <v>x</v>
          </cell>
          <cell r="K300" t="str">
            <v>x</v>
          </cell>
          <cell r="L300" t="str">
            <v>x</v>
          </cell>
          <cell r="M300" t="str">
            <v>x</v>
          </cell>
          <cell r="O300" t="str">
            <v>x</v>
          </cell>
          <cell r="P300" t="str">
            <v>x</v>
          </cell>
          <cell r="Q300" t="str">
            <v>x</v>
          </cell>
          <cell r="R300" t="str">
            <v>x</v>
          </cell>
          <cell r="S300" t="str">
            <v>x</v>
          </cell>
          <cell r="T300" t="str">
            <v>x</v>
          </cell>
          <cell r="U300" t="str">
            <v>x/2</v>
          </cell>
          <cell r="V300" t="str">
            <v>x</v>
          </cell>
          <cell r="W300" t="str">
            <v>x</v>
          </cell>
          <cell r="X300" t="str">
            <v>x</v>
          </cell>
          <cell r="Y300" t="str">
            <v>x</v>
          </cell>
          <cell r="Z300" t="str">
            <v>x</v>
          </cell>
          <cell r="AA300" t="str">
            <v>x</v>
          </cell>
          <cell r="AC300" t="str">
            <v>x</v>
          </cell>
          <cell r="AD300" t="str">
            <v>x</v>
          </cell>
          <cell r="AE300" t="str">
            <v>x</v>
          </cell>
          <cell r="AF300" t="str">
            <v>x</v>
          </cell>
          <cell r="AG300" t="str">
            <v>x</v>
          </cell>
          <cell r="AH300" t="str">
            <v>x</v>
          </cell>
          <cell r="AJ300" t="str">
            <v>x</v>
          </cell>
          <cell r="AK300" t="str">
            <v>x</v>
          </cell>
          <cell r="AL300" t="str">
            <v>x</v>
          </cell>
          <cell r="AM300">
            <v>25</v>
          </cell>
          <cell r="AN300">
            <v>0.5</v>
          </cell>
        </row>
        <row r="301">
          <cell r="C301">
            <v>51118</v>
          </cell>
          <cell r="D301">
            <v>44825</v>
          </cell>
          <cell r="E301">
            <v>44866</v>
          </cell>
          <cell r="F301" t="str">
            <v>Tổ 15</v>
          </cell>
          <cell r="H301" t="str">
            <v>LT</v>
          </cell>
          <cell r="J301" t="str">
            <v>x</v>
          </cell>
          <cell r="K301" t="str">
            <v>x</v>
          </cell>
          <cell r="L301" t="str">
            <v>x</v>
          </cell>
          <cell r="M301" t="str">
            <v>x</v>
          </cell>
          <cell r="O301" t="str">
            <v>x</v>
          </cell>
          <cell r="P301" t="str">
            <v>x</v>
          </cell>
          <cell r="Q301" t="str">
            <v>x</v>
          </cell>
          <cell r="R301" t="str">
            <v>x</v>
          </cell>
          <cell r="S301" t="str">
            <v>x</v>
          </cell>
          <cell r="T301" t="str">
            <v>x</v>
          </cell>
          <cell r="V301" t="str">
            <v>x</v>
          </cell>
          <cell r="W301" t="str">
            <v>x</v>
          </cell>
          <cell r="X301" t="str">
            <v>x</v>
          </cell>
          <cell r="Y301" t="str">
            <v>x</v>
          </cell>
          <cell r="Z301" t="str">
            <v>x</v>
          </cell>
          <cell r="AA301" t="str">
            <v>x</v>
          </cell>
          <cell r="AC301" t="str">
            <v>x</v>
          </cell>
          <cell r="AD301" t="str">
            <v>x</v>
          </cell>
          <cell r="AE301" t="str">
            <v>x</v>
          </cell>
          <cell r="AF301" t="str">
            <v>x</v>
          </cell>
          <cell r="AG301" t="str">
            <v>x</v>
          </cell>
          <cell r="AH301" t="str">
            <v>x</v>
          </cell>
          <cell r="AJ301" t="str">
            <v>x</v>
          </cell>
          <cell r="AK301" t="str">
            <v>x</v>
          </cell>
          <cell r="AL301" t="str">
            <v>x</v>
          </cell>
          <cell r="AM301">
            <v>25</v>
          </cell>
          <cell r="AN301">
            <v>0</v>
          </cell>
        </row>
        <row r="302">
          <cell r="C302">
            <v>51043</v>
          </cell>
          <cell r="D302">
            <v>44795</v>
          </cell>
          <cell r="E302">
            <v>44896</v>
          </cell>
          <cell r="F302" t="str">
            <v>Nghỉ thai sản</v>
          </cell>
          <cell r="H302" t="str">
            <v>TS</v>
          </cell>
          <cell r="J302" t="str">
            <v>TS</v>
          </cell>
          <cell r="K302" t="str">
            <v>TS</v>
          </cell>
          <cell r="L302" t="str">
            <v>TS</v>
          </cell>
          <cell r="M302" t="str">
            <v>TS</v>
          </cell>
          <cell r="O302" t="str">
            <v>TS</v>
          </cell>
          <cell r="P302" t="str">
            <v>TS</v>
          </cell>
          <cell r="Q302" t="str">
            <v>TS</v>
          </cell>
          <cell r="R302" t="str">
            <v>TS</v>
          </cell>
          <cell r="S302" t="str">
            <v>TS</v>
          </cell>
          <cell r="T302" t="str">
            <v>TS</v>
          </cell>
          <cell r="V302" t="str">
            <v>TS</v>
          </cell>
          <cell r="W302" t="str">
            <v>TS</v>
          </cell>
          <cell r="X302" t="str">
            <v>TS</v>
          </cell>
          <cell r="Y302" t="str">
            <v>TS</v>
          </cell>
          <cell r="Z302" t="str">
            <v>TS</v>
          </cell>
          <cell r="AA302" t="str">
            <v>TS</v>
          </cell>
          <cell r="AC302" t="str">
            <v>TS</v>
          </cell>
          <cell r="AD302" t="str">
            <v>TS</v>
          </cell>
          <cell r="AE302" t="str">
            <v>TS</v>
          </cell>
          <cell r="AF302" t="str">
            <v>TS</v>
          </cell>
          <cell r="AG302" t="str">
            <v>TS</v>
          </cell>
          <cell r="AH302" t="str">
            <v>TS</v>
          </cell>
          <cell r="AJ302" t="str">
            <v>TS</v>
          </cell>
          <cell r="AK302" t="str">
            <v>TS</v>
          </cell>
          <cell r="AL302" t="str">
            <v>TS</v>
          </cell>
          <cell r="AM302">
            <v>0</v>
          </cell>
          <cell r="AN302">
            <v>0</v>
          </cell>
        </row>
        <row r="303">
          <cell r="C303">
            <v>51068</v>
          </cell>
          <cell r="D303">
            <v>44803</v>
          </cell>
          <cell r="E303">
            <v>44896</v>
          </cell>
          <cell r="F303" t="str">
            <v>Tổ 9+10</v>
          </cell>
          <cell r="H303" t="str">
            <v>LT</v>
          </cell>
          <cell r="J303" t="str">
            <v>x</v>
          </cell>
          <cell r="K303" t="str">
            <v>x</v>
          </cell>
          <cell r="L303" t="str">
            <v>x</v>
          </cell>
          <cell r="M303" t="str">
            <v>x</v>
          </cell>
          <cell r="O303" t="str">
            <v>x</v>
          </cell>
          <cell r="P303" t="str">
            <v>x</v>
          </cell>
          <cell r="Q303" t="str">
            <v>x</v>
          </cell>
          <cell r="R303" t="str">
            <v>x</v>
          </cell>
          <cell r="S303" t="str">
            <v>x</v>
          </cell>
          <cell r="T303" t="str">
            <v>x</v>
          </cell>
          <cell r="V303" t="str">
            <v>x</v>
          </cell>
          <cell r="W303" t="str">
            <v>x</v>
          </cell>
          <cell r="X303" t="str">
            <v>x</v>
          </cell>
          <cell r="Y303" t="str">
            <v>x</v>
          </cell>
          <cell r="Z303" t="str">
            <v>x</v>
          </cell>
          <cell r="AA303" t="str">
            <v>x</v>
          </cell>
          <cell r="AC303" t="str">
            <v>x</v>
          </cell>
          <cell r="AD303" t="str">
            <v>x</v>
          </cell>
          <cell r="AE303" t="str">
            <v>x</v>
          </cell>
          <cell r="AF303" t="str">
            <v>x</v>
          </cell>
          <cell r="AG303" t="str">
            <v>x</v>
          </cell>
          <cell r="AH303" t="str">
            <v>x</v>
          </cell>
          <cell r="AJ303" t="str">
            <v>x</v>
          </cell>
          <cell r="AK303" t="str">
            <v>x</v>
          </cell>
          <cell r="AL303" t="str">
            <v>x</v>
          </cell>
          <cell r="AM303">
            <v>25</v>
          </cell>
          <cell r="AN303">
            <v>0</v>
          </cell>
        </row>
        <row r="304">
          <cell r="C304">
            <v>51076</v>
          </cell>
          <cell r="D304">
            <v>44810</v>
          </cell>
          <cell r="E304">
            <v>44896</v>
          </cell>
          <cell r="F304" t="str">
            <v>LÀ TP</v>
          </cell>
          <cell r="H304" t="str">
            <v>LT</v>
          </cell>
          <cell r="J304" t="str">
            <v>x</v>
          </cell>
          <cell r="K304" t="str">
            <v>x</v>
          </cell>
          <cell r="L304" t="str">
            <v>x</v>
          </cell>
          <cell r="M304" t="str">
            <v>x</v>
          </cell>
          <cell r="O304" t="str">
            <v>x</v>
          </cell>
          <cell r="P304" t="str">
            <v>x</v>
          </cell>
          <cell r="Q304" t="str">
            <v>x</v>
          </cell>
          <cell r="R304" t="str">
            <v>x</v>
          </cell>
          <cell r="S304" t="str">
            <v>x</v>
          </cell>
          <cell r="T304" t="str">
            <v>x</v>
          </cell>
          <cell r="V304" t="str">
            <v>x</v>
          </cell>
          <cell r="W304" t="str">
            <v>x</v>
          </cell>
          <cell r="X304" t="str">
            <v>x</v>
          </cell>
          <cell r="Y304" t="str">
            <v>x</v>
          </cell>
          <cell r="Z304" t="str">
            <v>x</v>
          </cell>
          <cell r="AA304" t="str">
            <v>x</v>
          </cell>
          <cell r="AC304" t="str">
            <v>x</v>
          </cell>
          <cell r="AD304" t="str">
            <v>x</v>
          </cell>
          <cell r="AE304" t="str">
            <v>x</v>
          </cell>
          <cell r="AF304" t="str">
            <v>x</v>
          </cell>
          <cell r="AG304" t="str">
            <v>x</v>
          </cell>
          <cell r="AH304" t="str">
            <v>x</v>
          </cell>
          <cell r="AJ304" t="str">
            <v>x</v>
          </cell>
          <cell r="AK304" t="str">
            <v>x</v>
          </cell>
          <cell r="AL304" t="str">
            <v>x</v>
          </cell>
          <cell r="AM304">
            <v>25</v>
          </cell>
          <cell r="AN304">
            <v>0</v>
          </cell>
        </row>
        <row r="305">
          <cell r="C305">
            <v>51082</v>
          </cell>
          <cell r="D305">
            <v>44811</v>
          </cell>
          <cell r="E305">
            <v>44896</v>
          </cell>
          <cell r="F305" t="str">
            <v>Tổ sơ mi 4</v>
          </cell>
          <cell r="H305" t="str">
            <v>LT</v>
          </cell>
          <cell r="J305" t="str">
            <v>x</v>
          </cell>
          <cell r="K305" t="str">
            <v>x</v>
          </cell>
          <cell r="L305" t="str">
            <v>x</v>
          </cell>
          <cell r="M305" t="str">
            <v>x</v>
          </cell>
          <cell r="O305" t="str">
            <v>x</v>
          </cell>
          <cell r="P305" t="str">
            <v>x</v>
          </cell>
          <cell r="Q305" t="str">
            <v>x</v>
          </cell>
          <cell r="R305" t="str">
            <v>x</v>
          </cell>
          <cell r="S305" t="str">
            <v>x</v>
          </cell>
          <cell r="T305" t="str">
            <v>x</v>
          </cell>
          <cell r="V305" t="str">
            <v>x</v>
          </cell>
          <cell r="W305" t="str">
            <v>x</v>
          </cell>
          <cell r="X305" t="str">
            <v>x</v>
          </cell>
          <cell r="Y305" t="str">
            <v>x</v>
          </cell>
          <cell r="Z305" t="str">
            <v>x</v>
          </cell>
          <cell r="AA305" t="str">
            <v>x</v>
          </cell>
          <cell r="AC305" t="str">
            <v>x</v>
          </cell>
          <cell r="AD305" t="str">
            <v>x</v>
          </cell>
          <cell r="AE305" t="str">
            <v>x</v>
          </cell>
          <cell r="AF305" t="str">
            <v>x</v>
          </cell>
          <cell r="AG305" t="str">
            <v>x</v>
          </cell>
          <cell r="AH305" t="str">
            <v>x</v>
          </cell>
          <cell r="AJ305" t="str">
            <v>x</v>
          </cell>
          <cell r="AK305" t="str">
            <v>x/2</v>
          </cell>
          <cell r="AL305" t="str">
            <v>x</v>
          </cell>
          <cell r="AM305">
            <v>24.5</v>
          </cell>
          <cell r="AN305">
            <v>0</v>
          </cell>
        </row>
        <row r="306">
          <cell r="C306">
            <v>51085</v>
          </cell>
          <cell r="D306">
            <v>44811</v>
          </cell>
          <cell r="E306">
            <v>44896</v>
          </cell>
          <cell r="F306" t="str">
            <v>LÀ TP</v>
          </cell>
          <cell r="H306" t="str">
            <v>LT</v>
          </cell>
          <cell r="J306" t="str">
            <v>x</v>
          </cell>
          <cell r="K306" t="str">
            <v>x</v>
          </cell>
          <cell r="L306" t="str">
            <v>x</v>
          </cell>
          <cell r="M306" t="str">
            <v>x</v>
          </cell>
          <cell r="O306" t="str">
            <v>x</v>
          </cell>
          <cell r="P306" t="str">
            <v>x</v>
          </cell>
          <cell r="Q306" t="str">
            <v>x</v>
          </cell>
          <cell r="R306" t="str">
            <v>x</v>
          </cell>
          <cell r="S306" t="str">
            <v>x</v>
          </cell>
          <cell r="T306" t="str">
            <v>x</v>
          </cell>
          <cell r="V306" t="str">
            <v>x</v>
          </cell>
          <cell r="W306" t="str">
            <v>x</v>
          </cell>
          <cell r="X306" t="str">
            <v>x</v>
          </cell>
          <cell r="Y306" t="str">
            <v>x</v>
          </cell>
          <cell r="Z306" t="str">
            <v>x</v>
          </cell>
          <cell r="AA306" t="str">
            <v>x</v>
          </cell>
          <cell r="AC306" t="str">
            <v>x</v>
          </cell>
          <cell r="AD306" t="str">
            <v>x</v>
          </cell>
          <cell r="AE306" t="str">
            <v>x</v>
          </cell>
          <cell r="AF306" t="str">
            <v>x</v>
          </cell>
          <cell r="AG306" t="str">
            <v>x</v>
          </cell>
          <cell r="AH306" t="str">
            <v>x</v>
          </cell>
          <cell r="AJ306" t="str">
            <v>x</v>
          </cell>
          <cell r="AK306" t="str">
            <v>x</v>
          </cell>
          <cell r="AL306" t="str">
            <v>x</v>
          </cell>
          <cell r="AM306">
            <v>25</v>
          </cell>
          <cell r="AN306">
            <v>0</v>
          </cell>
        </row>
        <row r="307">
          <cell r="C307">
            <v>51115</v>
          </cell>
          <cell r="D307">
            <v>44823</v>
          </cell>
          <cell r="E307">
            <v>44896</v>
          </cell>
          <cell r="F307" t="str">
            <v>H.thiện</v>
          </cell>
          <cell r="H307" t="str">
            <v>LT</v>
          </cell>
          <cell r="J307" t="str">
            <v>x</v>
          </cell>
          <cell r="K307" t="str">
            <v>x</v>
          </cell>
          <cell r="L307" t="str">
            <v>x</v>
          </cell>
          <cell r="M307" t="str">
            <v>x</v>
          </cell>
          <cell r="O307" t="str">
            <v>x</v>
          </cell>
          <cell r="P307" t="str">
            <v>x</v>
          </cell>
          <cell r="Q307" t="str">
            <v>x</v>
          </cell>
          <cell r="R307" t="str">
            <v>x</v>
          </cell>
          <cell r="S307" t="str">
            <v>x</v>
          </cell>
          <cell r="T307" t="str">
            <v>x</v>
          </cell>
          <cell r="V307" t="str">
            <v>x</v>
          </cell>
          <cell r="W307" t="str">
            <v>F</v>
          </cell>
          <cell r="X307" t="str">
            <v>x</v>
          </cell>
          <cell r="Y307" t="str">
            <v>x</v>
          </cell>
          <cell r="Z307" t="str">
            <v>x</v>
          </cell>
          <cell r="AA307" t="str">
            <v>x</v>
          </cell>
          <cell r="AC307" t="str">
            <v>x</v>
          </cell>
          <cell r="AD307" t="str">
            <v>x</v>
          </cell>
          <cell r="AE307" t="str">
            <v>x</v>
          </cell>
          <cell r="AF307" t="str">
            <v>x</v>
          </cell>
          <cell r="AG307" t="str">
            <v>x</v>
          </cell>
          <cell r="AH307" t="str">
            <v>x</v>
          </cell>
          <cell r="AJ307" t="str">
            <v>x</v>
          </cell>
          <cell r="AK307" t="str">
            <v>F</v>
          </cell>
          <cell r="AL307" t="str">
            <v>x</v>
          </cell>
          <cell r="AM307">
            <v>23</v>
          </cell>
          <cell r="AN307">
            <v>0</v>
          </cell>
        </row>
        <row r="308">
          <cell r="C308">
            <v>51117</v>
          </cell>
          <cell r="D308">
            <v>44825</v>
          </cell>
          <cell r="E308">
            <v>44896</v>
          </cell>
          <cell r="F308" t="str">
            <v>LÀ TP</v>
          </cell>
          <cell r="H308" t="str">
            <v>LT</v>
          </cell>
          <cell r="J308" t="str">
            <v>x</v>
          </cell>
          <cell r="K308" t="str">
            <v>Ro</v>
          </cell>
          <cell r="L308" t="str">
            <v>x</v>
          </cell>
          <cell r="M308" t="str">
            <v>x/2</v>
          </cell>
          <cell r="O308" t="str">
            <v>x</v>
          </cell>
          <cell r="P308" t="str">
            <v>x</v>
          </cell>
          <cell r="Q308" t="str">
            <v>x</v>
          </cell>
          <cell r="R308" t="str">
            <v>x</v>
          </cell>
          <cell r="S308" t="str">
            <v>Ro</v>
          </cell>
          <cell r="T308" t="str">
            <v>x</v>
          </cell>
          <cell r="V308" t="str">
            <v>x</v>
          </cell>
          <cell r="W308" t="str">
            <v>TS</v>
          </cell>
          <cell r="X308" t="str">
            <v>TS</v>
          </cell>
          <cell r="Y308" t="str">
            <v>TS</v>
          </cell>
          <cell r="Z308" t="str">
            <v>TS</v>
          </cell>
          <cell r="AA308" t="str">
            <v>TS</v>
          </cell>
          <cell r="AC308" t="str">
            <v>TS</v>
          </cell>
          <cell r="AD308" t="str">
            <v>TS</v>
          </cell>
          <cell r="AE308" t="str">
            <v>x</v>
          </cell>
          <cell r="AF308" t="str">
            <v>x</v>
          </cell>
          <cell r="AG308" t="str">
            <v>x</v>
          </cell>
          <cell r="AH308" t="str">
            <v>x</v>
          </cell>
          <cell r="AJ308" t="str">
            <v>Ro</v>
          </cell>
          <cell r="AK308" t="str">
            <v>x</v>
          </cell>
          <cell r="AL308" t="str">
            <v>Ro</v>
          </cell>
          <cell r="AM308">
            <v>13.5</v>
          </cell>
          <cell r="AN308">
            <v>0</v>
          </cell>
        </row>
        <row r="309">
          <cell r="C309">
            <v>51125</v>
          </cell>
          <cell r="D309">
            <v>44827</v>
          </cell>
          <cell r="E309">
            <v>44896</v>
          </cell>
          <cell r="F309" t="str">
            <v>Tổ 9+10</v>
          </cell>
          <cell r="H309" t="str">
            <v>LT</v>
          </cell>
          <cell r="J309" t="str">
            <v>x</v>
          </cell>
          <cell r="K309" t="str">
            <v>x</v>
          </cell>
          <cell r="L309" t="str">
            <v>x</v>
          </cell>
          <cell r="M309" t="str">
            <v>x</v>
          </cell>
          <cell r="O309" t="str">
            <v>x</v>
          </cell>
          <cell r="P309" t="str">
            <v>x</v>
          </cell>
          <cell r="Q309" t="str">
            <v>x</v>
          </cell>
          <cell r="R309" t="str">
            <v>x</v>
          </cell>
          <cell r="S309" t="str">
            <v>x</v>
          </cell>
          <cell r="T309" t="str">
            <v>x</v>
          </cell>
          <cell r="V309" t="str">
            <v>x</v>
          </cell>
          <cell r="W309" t="str">
            <v>x</v>
          </cell>
          <cell r="X309" t="str">
            <v>x</v>
          </cell>
          <cell r="Y309" t="str">
            <v>x</v>
          </cell>
          <cell r="Z309" t="str">
            <v>x</v>
          </cell>
          <cell r="AA309" t="str">
            <v>x</v>
          </cell>
          <cell r="AC309" t="str">
            <v>x</v>
          </cell>
          <cell r="AD309" t="str">
            <v>x</v>
          </cell>
          <cell r="AE309" t="str">
            <v>x</v>
          </cell>
          <cell r="AF309" t="str">
            <v>x</v>
          </cell>
          <cell r="AG309" t="str">
            <v>x</v>
          </cell>
          <cell r="AH309" t="str">
            <v>x</v>
          </cell>
          <cell r="AJ309" t="str">
            <v>x</v>
          </cell>
          <cell r="AK309" t="str">
            <v>x</v>
          </cell>
          <cell r="AL309" t="str">
            <v>x</v>
          </cell>
          <cell r="AM309">
            <v>25</v>
          </cell>
          <cell r="AN309">
            <v>0</v>
          </cell>
        </row>
        <row r="310">
          <cell r="C310">
            <v>51130</v>
          </cell>
          <cell r="D310">
            <v>44830</v>
          </cell>
          <cell r="E310">
            <v>44896</v>
          </cell>
          <cell r="F310" t="str">
            <v>Tổ sơ mi 3</v>
          </cell>
          <cell r="H310" t="str">
            <v>LT</v>
          </cell>
          <cell r="J310" t="str">
            <v>F</v>
          </cell>
          <cell r="K310" t="str">
            <v>F</v>
          </cell>
          <cell r="L310" t="str">
            <v>F</v>
          </cell>
          <cell r="M310" t="str">
            <v>x</v>
          </cell>
          <cell r="O310" t="str">
            <v>x</v>
          </cell>
          <cell r="P310" t="str">
            <v>x</v>
          </cell>
          <cell r="Q310" t="str">
            <v>x</v>
          </cell>
          <cell r="R310" t="str">
            <v>x</v>
          </cell>
          <cell r="S310" t="str">
            <v>x</v>
          </cell>
          <cell r="T310" t="str">
            <v>x</v>
          </cell>
          <cell r="V310" t="str">
            <v>x</v>
          </cell>
          <cell r="W310" t="str">
            <v>x</v>
          </cell>
          <cell r="X310" t="str">
            <v>x</v>
          </cell>
          <cell r="Y310" t="str">
            <v>x</v>
          </cell>
          <cell r="Z310" t="str">
            <v>x</v>
          </cell>
          <cell r="AA310" t="str">
            <v>x</v>
          </cell>
          <cell r="AC310" t="str">
            <v>x</v>
          </cell>
          <cell r="AD310" t="str">
            <v>x</v>
          </cell>
          <cell r="AE310" t="str">
            <v>x</v>
          </cell>
          <cell r="AF310" t="str">
            <v>x</v>
          </cell>
          <cell r="AG310" t="str">
            <v>x</v>
          </cell>
          <cell r="AH310" t="str">
            <v>x</v>
          </cell>
          <cell r="AJ310" t="str">
            <v>x</v>
          </cell>
          <cell r="AK310" t="str">
            <v>x</v>
          </cell>
          <cell r="AL310" t="str">
            <v>x</v>
          </cell>
          <cell r="AM310">
            <v>22</v>
          </cell>
          <cell r="AN310">
            <v>0</v>
          </cell>
        </row>
        <row r="311">
          <cell r="C311">
            <v>51141</v>
          </cell>
          <cell r="D311">
            <v>44834</v>
          </cell>
          <cell r="E311">
            <v>44896</v>
          </cell>
          <cell r="F311" t="str">
            <v>Tổ 14</v>
          </cell>
          <cell r="H311" t="str">
            <v>LT</v>
          </cell>
          <cell r="J311" t="str">
            <v>x</v>
          </cell>
          <cell r="K311" t="str">
            <v>x</v>
          </cell>
          <cell r="L311" t="str">
            <v>x</v>
          </cell>
          <cell r="M311" t="str">
            <v>x</v>
          </cell>
          <cell r="O311" t="str">
            <v>x</v>
          </cell>
          <cell r="P311" t="str">
            <v>x</v>
          </cell>
          <cell r="Q311" t="str">
            <v>x</v>
          </cell>
          <cell r="R311" t="str">
            <v>x</v>
          </cell>
          <cell r="S311" t="str">
            <v>x</v>
          </cell>
          <cell r="T311" t="str">
            <v>x</v>
          </cell>
          <cell r="V311" t="str">
            <v>x</v>
          </cell>
          <cell r="W311" t="str">
            <v>x</v>
          </cell>
          <cell r="X311" t="str">
            <v>x</v>
          </cell>
          <cell r="Y311" t="str">
            <v>x</v>
          </cell>
          <cell r="Z311" t="str">
            <v>x</v>
          </cell>
          <cell r="AA311" t="str">
            <v>x</v>
          </cell>
          <cell r="AC311" t="str">
            <v>x</v>
          </cell>
          <cell r="AD311" t="str">
            <v>x</v>
          </cell>
          <cell r="AE311" t="str">
            <v>x</v>
          </cell>
          <cell r="AF311" t="str">
            <v>x</v>
          </cell>
          <cell r="AG311" t="str">
            <v>x</v>
          </cell>
          <cell r="AH311" t="str">
            <v>x</v>
          </cell>
          <cell r="AJ311" t="str">
            <v>x</v>
          </cell>
          <cell r="AK311" t="str">
            <v>x</v>
          </cell>
          <cell r="AL311" t="str">
            <v>x</v>
          </cell>
          <cell r="AM311">
            <v>25</v>
          </cell>
          <cell r="AN311">
            <v>0</v>
          </cell>
        </row>
        <row r="312">
          <cell r="C312">
            <v>51166</v>
          </cell>
          <cell r="D312">
            <v>44845</v>
          </cell>
          <cell r="E312">
            <v>44896</v>
          </cell>
          <cell r="F312" t="str">
            <v>Tổ sơ mi 4</v>
          </cell>
          <cell r="H312" t="str">
            <v>LT</v>
          </cell>
          <cell r="J312" t="str">
            <v>x/2</v>
          </cell>
          <cell r="K312" t="str">
            <v>x</v>
          </cell>
          <cell r="L312" t="str">
            <v>x</v>
          </cell>
          <cell r="M312" t="str">
            <v>x</v>
          </cell>
          <cell r="O312" t="str">
            <v>x</v>
          </cell>
          <cell r="P312" t="str">
            <v>x</v>
          </cell>
          <cell r="Q312" t="str">
            <v>x</v>
          </cell>
          <cell r="R312" t="str">
            <v>x</v>
          </cell>
          <cell r="S312" t="str">
            <v>x</v>
          </cell>
          <cell r="T312" t="str">
            <v>x</v>
          </cell>
          <cell r="V312" t="str">
            <v>x</v>
          </cell>
          <cell r="W312" t="str">
            <v>x</v>
          </cell>
          <cell r="X312" t="str">
            <v>x</v>
          </cell>
          <cell r="Y312" t="str">
            <v>x</v>
          </cell>
          <cell r="Z312" t="str">
            <v>x</v>
          </cell>
          <cell r="AA312" t="str">
            <v>x</v>
          </cell>
          <cell r="AC312" t="str">
            <v>x</v>
          </cell>
          <cell r="AD312" t="str">
            <v>x</v>
          </cell>
          <cell r="AE312" t="str">
            <v>x</v>
          </cell>
          <cell r="AF312" t="str">
            <v>x</v>
          </cell>
          <cell r="AG312" t="str">
            <v>x</v>
          </cell>
          <cell r="AH312" t="str">
            <v>x</v>
          </cell>
          <cell r="AJ312" t="str">
            <v>x</v>
          </cell>
          <cell r="AK312" t="str">
            <v>x</v>
          </cell>
          <cell r="AL312" t="str">
            <v>x</v>
          </cell>
          <cell r="AM312">
            <v>24.5</v>
          </cell>
          <cell r="AN312">
            <v>0</v>
          </cell>
        </row>
        <row r="313">
          <cell r="C313">
            <v>51172</v>
          </cell>
          <cell r="D313">
            <v>44851</v>
          </cell>
          <cell r="E313">
            <v>44896</v>
          </cell>
          <cell r="F313" t="str">
            <v>K.thuật</v>
          </cell>
          <cell r="H313" t="str">
            <v>LT</v>
          </cell>
          <cell r="J313" t="str">
            <v>x</v>
          </cell>
          <cell r="K313" t="str">
            <v>x</v>
          </cell>
          <cell r="L313" t="str">
            <v>x</v>
          </cell>
          <cell r="M313" t="str">
            <v>x</v>
          </cell>
          <cell r="O313" t="str">
            <v>x</v>
          </cell>
          <cell r="P313" t="str">
            <v>x</v>
          </cell>
          <cell r="Q313" t="str">
            <v>x</v>
          </cell>
          <cell r="R313" t="str">
            <v>x</v>
          </cell>
          <cell r="S313" t="str">
            <v>x</v>
          </cell>
          <cell r="T313" t="str">
            <v>x</v>
          </cell>
          <cell r="U313" t="str">
            <v>x/2</v>
          </cell>
          <cell r="V313" t="str">
            <v>x</v>
          </cell>
          <cell r="W313" t="str">
            <v>x</v>
          </cell>
          <cell r="X313" t="str">
            <v>x</v>
          </cell>
          <cell r="Y313" t="str">
            <v>x</v>
          </cell>
          <cell r="Z313" t="str">
            <v>x</v>
          </cell>
          <cell r="AA313" t="str">
            <v>x</v>
          </cell>
          <cell r="AC313" t="str">
            <v>x</v>
          </cell>
          <cell r="AD313" t="str">
            <v>x</v>
          </cell>
          <cell r="AE313" t="str">
            <v>x</v>
          </cell>
          <cell r="AF313" t="str">
            <v>x</v>
          </cell>
          <cell r="AG313" t="str">
            <v>x</v>
          </cell>
          <cell r="AH313" t="str">
            <v>x</v>
          </cell>
          <cell r="AJ313" t="str">
            <v>x</v>
          </cell>
          <cell r="AK313" t="str">
            <v>x</v>
          </cell>
          <cell r="AL313" t="str">
            <v>x</v>
          </cell>
          <cell r="AM313">
            <v>25</v>
          </cell>
          <cell r="AN313">
            <v>0.5</v>
          </cell>
        </row>
        <row r="314">
          <cell r="C314">
            <v>51193</v>
          </cell>
          <cell r="D314">
            <v>44861</v>
          </cell>
          <cell r="E314">
            <v>44896</v>
          </cell>
          <cell r="F314" t="str">
            <v>Tổ 14</v>
          </cell>
          <cell r="H314" t="str">
            <v>LT</v>
          </cell>
          <cell r="J314" t="str">
            <v>x</v>
          </cell>
          <cell r="K314" t="str">
            <v>x</v>
          </cell>
          <cell r="L314" t="str">
            <v>x</v>
          </cell>
          <cell r="M314" t="str">
            <v>x</v>
          </cell>
          <cell r="O314" t="str">
            <v>x</v>
          </cell>
          <cell r="P314" t="str">
            <v>x</v>
          </cell>
          <cell r="Q314" t="str">
            <v>x</v>
          </cell>
          <cell r="R314" t="str">
            <v>x</v>
          </cell>
          <cell r="S314" t="str">
            <v>x</v>
          </cell>
          <cell r="T314" t="str">
            <v>x</v>
          </cell>
          <cell r="V314" t="str">
            <v>x</v>
          </cell>
          <cell r="W314" t="str">
            <v>x</v>
          </cell>
          <cell r="X314" t="str">
            <v>x</v>
          </cell>
          <cell r="Y314" t="str">
            <v>x</v>
          </cell>
          <cell r="Z314" t="str">
            <v>x</v>
          </cell>
          <cell r="AA314" t="str">
            <v>x</v>
          </cell>
          <cell r="AC314" t="str">
            <v>x</v>
          </cell>
          <cell r="AD314" t="str">
            <v>x</v>
          </cell>
          <cell r="AE314" t="str">
            <v>x</v>
          </cell>
          <cell r="AF314" t="str">
            <v>x</v>
          </cell>
          <cell r="AG314" t="str">
            <v>x</v>
          </cell>
          <cell r="AH314" t="str">
            <v>x</v>
          </cell>
          <cell r="AI314" t="str">
            <v>x</v>
          </cell>
          <cell r="AJ314" t="str">
            <v>x</v>
          </cell>
          <cell r="AK314" t="str">
            <v>F</v>
          </cell>
          <cell r="AL314" t="str">
            <v>x</v>
          </cell>
          <cell r="AM314">
            <v>24</v>
          </cell>
          <cell r="AN314">
            <v>1</v>
          </cell>
        </row>
        <row r="315">
          <cell r="C315">
            <v>51203</v>
          </cell>
          <cell r="D315">
            <v>44866</v>
          </cell>
          <cell r="E315">
            <v>44896</v>
          </cell>
          <cell r="F315" t="str">
            <v>H.thiện</v>
          </cell>
          <cell r="H315" t="str">
            <v>LT</v>
          </cell>
          <cell r="J315" t="str">
            <v>F</v>
          </cell>
          <cell r="K315" t="str">
            <v>x</v>
          </cell>
          <cell r="L315" t="str">
            <v>x</v>
          </cell>
          <cell r="M315" t="str">
            <v>x</v>
          </cell>
          <cell r="O315" t="str">
            <v>x</v>
          </cell>
          <cell r="P315" t="str">
            <v>x</v>
          </cell>
          <cell r="Q315" t="str">
            <v>x</v>
          </cell>
          <cell r="R315" t="str">
            <v>x</v>
          </cell>
          <cell r="S315" t="str">
            <v>x</v>
          </cell>
          <cell r="T315" t="str">
            <v>x</v>
          </cell>
          <cell r="V315" t="str">
            <v>x</v>
          </cell>
          <cell r="W315" t="str">
            <v>x</v>
          </cell>
          <cell r="X315" t="str">
            <v>x</v>
          </cell>
          <cell r="Y315" t="str">
            <v>x</v>
          </cell>
          <cell r="Z315" t="str">
            <v>x</v>
          </cell>
          <cell r="AA315" t="str">
            <v>x</v>
          </cell>
          <cell r="AC315" t="str">
            <v>x</v>
          </cell>
          <cell r="AD315" t="str">
            <v>x</v>
          </cell>
          <cell r="AE315" t="str">
            <v>x</v>
          </cell>
          <cell r="AF315" t="str">
            <v>x</v>
          </cell>
          <cell r="AG315" t="str">
            <v>x</v>
          </cell>
          <cell r="AH315" t="str">
            <v>x</v>
          </cell>
          <cell r="AJ315" t="str">
            <v>x</v>
          </cell>
          <cell r="AK315" t="str">
            <v>x</v>
          </cell>
          <cell r="AL315" t="str">
            <v>x</v>
          </cell>
          <cell r="AM315">
            <v>24</v>
          </cell>
          <cell r="AN315">
            <v>0</v>
          </cell>
        </row>
        <row r="316">
          <cell r="C316">
            <v>50952</v>
          </cell>
          <cell r="D316">
            <v>44896</v>
          </cell>
          <cell r="E316">
            <v>44958</v>
          </cell>
          <cell r="F316" t="str">
            <v>Tổ sơ mi 4</v>
          </cell>
          <cell r="H316" t="str">
            <v>LT</v>
          </cell>
          <cell r="J316" t="str">
            <v>x</v>
          </cell>
          <cell r="K316" t="str">
            <v>x</v>
          </cell>
          <cell r="L316" t="str">
            <v>x</v>
          </cell>
          <cell r="M316" t="str">
            <v>x</v>
          </cell>
          <cell r="O316" t="str">
            <v>x</v>
          </cell>
          <cell r="P316" t="str">
            <v>x</v>
          </cell>
          <cell r="Q316" t="str">
            <v>x</v>
          </cell>
          <cell r="R316" t="str">
            <v>x</v>
          </cell>
          <cell r="S316" t="str">
            <v>x</v>
          </cell>
          <cell r="T316" t="str">
            <v>x</v>
          </cell>
          <cell r="V316" t="str">
            <v>x</v>
          </cell>
          <cell r="W316" t="str">
            <v>x</v>
          </cell>
          <cell r="X316" t="str">
            <v>x</v>
          </cell>
          <cell r="Y316" t="str">
            <v>x</v>
          </cell>
          <cell r="Z316" t="str">
            <v>x</v>
          </cell>
          <cell r="AA316" t="str">
            <v>x</v>
          </cell>
          <cell r="AC316" t="str">
            <v>x</v>
          </cell>
          <cell r="AD316" t="str">
            <v>x</v>
          </cell>
          <cell r="AE316" t="str">
            <v>x</v>
          </cell>
          <cell r="AF316" t="str">
            <v>x</v>
          </cell>
          <cell r="AG316" t="str">
            <v>x</v>
          </cell>
          <cell r="AH316" t="str">
            <v>x</v>
          </cell>
          <cell r="AJ316" t="str">
            <v>x</v>
          </cell>
          <cell r="AK316" t="str">
            <v>x</v>
          </cell>
          <cell r="AL316" t="str">
            <v>x</v>
          </cell>
          <cell r="AM316">
            <v>25</v>
          </cell>
          <cell r="AN316">
            <v>0</v>
          </cell>
        </row>
        <row r="317">
          <cell r="C317">
            <v>50971</v>
          </cell>
          <cell r="D317">
            <v>44896</v>
          </cell>
          <cell r="E317">
            <v>44958</v>
          </cell>
          <cell r="F317" t="str">
            <v>Kiểm hoá</v>
          </cell>
          <cell r="H317" t="str">
            <v>LT</v>
          </cell>
          <cell r="J317" t="str">
            <v>x</v>
          </cell>
          <cell r="K317" t="str">
            <v>x</v>
          </cell>
          <cell r="L317" t="str">
            <v>x</v>
          </cell>
          <cell r="M317" t="str">
            <v>x</v>
          </cell>
          <cell r="O317" t="str">
            <v>x</v>
          </cell>
          <cell r="P317" t="str">
            <v>x</v>
          </cell>
          <cell r="Q317" t="str">
            <v>x</v>
          </cell>
          <cell r="R317" t="str">
            <v>x</v>
          </cell>
          <cell r="S317" t="str">
            <v>x</v>
          </cell>
          <cell r="T317" t="str">
            <v>x</v>
          </cell>
          <cell r="U317" t="str">
            <v>x/2</v>
          </cell>
          <cell r="V317" t="str">
            <v>x</v>
          </cell>
          <cell r="W317" t="str">
            <v>x</v>
          </cell>
          <cell r="X317" t="str">
            <v>x</v>
          </cell>
          <cell r="Y317" t="str">
            <v>x</v>
          </cell>
          <cell r="Z317" t="str">
            <v>x</v>
          </cell>
          <cell r="AA317" t="str">
            <v>x</v>
          </cell>
          <cell r="AC317" t="str">
            <v>x</v>
          </cell>
          <cell r="AD317" t="str">
            <v>x</v>
          </cell>
          <cell r="AE317" t="str">
            <v>x</v>
          </cell>
          <cell r="AF317" t="str">
            <v>x</v>
          </cell>
          <cell r="AG317" t="str">
            <v>x</v>
          </cell>
          <cell r="AH317" t="str">
            <v>x</v>
          </cell>
          <cell r="AJ317" t="str">
            <v>x</v>
          </cell>
          <cell r="AK317" t="str">
            <v>x</v>
          </cell>
          <cell r="AL317" t="str">
            <v>x</v>
          </cell>
          <cell r="AM317">
            <v>25</v>
          </cell>
          <cell r="AN317">
            <v>0.5</v>
          </cell>
        </row>
        <row r="318">
          <cell r="C318">
            <v>51120</v>
          </cell>
          <cell r="D318">
            <v>44896</v>
          </cell>
          <cell r="E318">
            <v>44958</v>
          </cell>
          <cell r="F318" t="str">
            <v>Tổ sơ mi 4</v>
          </cell>
          <cell r="H318" t="str">
            <v>LT</v>
          </cell>
          <cell r="J318" t="str">
            <v>x</v>
          </cell>
          <cell r="K318" t="str">
            <v>x</v>
          </cell>
          <cell r="L318" t="str">
            <v>x</v>
          </cell>
          <cell r="M318" t="str">
            <v>x</v>
          </cell>
          <cell r="O318" t="str">
            <v>x</v>
          </cell>
          <cell r="P318" t="str">
            <v>x</v>
          </cell>
          <cell r="Q318" t="str">
            <v>x</v>
          </cell>
          <cell r="R318" t="str">
            <v>x</v>
          </cell>
          <cell r="S318" t="str">
            <v>x</v>
          </cell>
          <cell r="T318" t="str">
            <v>x</v>
          </cell>
          <cell r="V318" t="str">
            <v>x</v>
          </cell>
          <cell r="W318" t="str">
            <v>x</v>
          </cell>
          <cell r="X318" t="str">
            <v>x</v>
          </cell>
          <cell r="Y318" t="str">
            <v>x</v>
          </cell>
          <cell r="Z318" t="str">
            <v>x</v>
          </cell>
          <cell r="AA318" t="str">
            <v>x</v>
          </cell>
          <cell r="AC318" t="str">
            <v>x</v>
          </cell>
          <cell r="AD318" t="str">
            <v>x</v>
          </cell>
          <cell r="AE318" t="str">
            <v>x</v>
          </cell>
          <cell r="AF318" t="str">
            <v>x</v>
          </cell>
          <cell r="AG318" t="str">
            <v>x</v>
          </cell>
          <cell r="AH318" t="str">
            <v>x</v>
          </cell>
          <cell r="AJ318" t="str">
            <v>x</v>
          </cell>
          <cell r="AK318" t="str">
            <v>x</v>
          </cell>
          <cell r="AL318" t="str">
            <v>x</v>
          </cell>
          <cell r="AM318">
            <v>25</v>
          </cell>
          <cell r="AN318">
            <v>0</v>
          </cell>
        </row>
        <row r="319">
          <cell r="C319">
            <v>51140</v>
          </cell>
          <cell r="D319">
            <v>44896</v>
          </cell>
          <cell r="E319">
            <v>44958</v>
          </cell>
          <cell r="F319" t="str">
            <v>Tổ Sơ mi 4</v>
          </cell>
          <cell r="H319" t="str">
            <v>LT</v>
          </cell>
          <cell r="J319" t="str">
            <v>x</v>
          </cell>
          <cell r="K319" t="str">
            <v>x</v>
          </cell>
          <cell r="L319" t="str">
            <v>x</v>
          </cell>
          <cell r="M319" t="str">
            <v>x</v>
          </cell>
          <cell r="O319" t="str">
            <v>x</v>
          </cell>
          <cell r="P319" t="str">
            <v>x</v>
          </cell>
          <cell r="Q319" t="str">
            <v>x</v>
          </cell>
          <cell r="R319" t="str">
            <v>x</v>
          </cell>
          <cell r="S319" t="str">
            <v>x</v>
          </cell>
          <cell r="T319" t="str">
            <v>x</v>
          </cell>
          <cell r="U319" t="str">
            <v>x/2</v>
          </cell>
          <cell r="V319" t="str">
            <v>x</v>
          </cell>
          <cell r="W319" t="str">
            <v>x</v>
          </cell>
          <cell r="X319" t="str">
            <v>x</v>
          </cell>
          <cell r="Y319" t="str">
            <v>x</v>
          </cell>
          <cell r="Z319" t="str">
            <v>x</v>
          </cell>
          <cell r="AA319" t="str">
            <v>x</v>
          </cell>
          <cell r="AC319" t="str">
            <v>x</v>
          </cell>
          <cell r="AD319" t="str">
            <v>x</v>
          </cell>
          <cell r="AE319" t="str">
            <v>x</v>
          </cell>
          <cell r="AF319" t="str">
            <v>x</v>
          </cell>
          <cell r="AG319" t="str">
            <v>x</v>
          </cell>
          <cell r="AH319" t="str">
            <v>x</v>
          </cell>
          <cell r="AJ319" t="str">
            <v>x</v>
          </cell>
          <cell r="AK319" t="str">
            <v>x</v>
          </cell>
          <cell r="AL319" t="str">
            <v>x</v>
          </cell>
          <cell r="AM319">
            <v>25</v>
          </cell>
          <cell r="AN319">
            <v>0.5</v>
          </cell>
        </row>
        <row r="320">
          <cell r="C320">
            <v>51152</v>
          </cell>
          <cell r="D320">
            <v>44896</v>
          </cell>
          <cell r="E320">
            <v>44958</v>
          </cell>
          <cell r="F320" t="str">
            <v xml:space="preserve">Tổ 6 </v>
          </cell>
          <cell r="H320" t="str">
            <v>LT</v>
          </cell>
          <cell r="J320" t="str">
            <v>x</v>
          </cell>
          <cell r="K320" t="str">
            <v>x</v>
          </cell>
          <cell r="L320" t="str">
            <v>x</v>
          </cell>
          <cell r="M320" t="str">
            <v>x</v>
          </cell>
          <cell r="O320" t="str">
            <v>x</v>
          </cell>
          <cell r="P320" t="str">
            <v>x</v>
          </cell>
          <cell r="Q320" t="str">
            <v>x</v>
          </cell>
          <cell r="R320" t="str">
            <v>x</v>
          </cell>
          <cell r="S320" t="str">
            <v>x</v>
          </cell>
          <cell r="T320" t="str">
            <v>x</v>
          </cell>
          <cell r="V320" t="str">
            <v>x</v>
          </cell>
          <cell r="W320" t="str">
            <v>x</v>
          </cell>
          <cell r="X320" t="str">
            <v>x</v>
          </cell>
          <cell r="Y320" t="str">
            <v>x</v>
          </cell>
          <cell r="Z320" t="str">
            <v>x</v>
          </cell>
          <cell r="AA320" t="str">
            <v>x</v>
          </cell>
          <cell r="AC320" t="str">
            <v>x</v>
          </cell>
          <cell r="AD320" t="str">
            <v>x</v>
          </cell>
          <cell r="AE320" t="str">
            <v>x</v>
          </cell>
          <cell r="AF320" t="str">
            <v>x</v>
          </cell>
          <cell r="AG320" t="str">
            <v>x</v>
          </cell>
          <cell r="AH320" t="str">
            <v>x</v>
          </cell>
          <cell r="AI320" t="str">
            <v>x/2</v>
          </cell>
          <cell r="AJ320" t="str">
            <v>x</v>
          </cell>
          <cell r="AK320" t="str">
            <v>x</v>
          </cell>
          <cell r="AL320" t="str">
            <v>x</v>
          </cell>
          <cell r="AM320">
            <v>25</v>
          </cell>
          <cell r="AN320">
            <v>0.5</v>
          </cell>
        </row>
        <row r="321">
          <cell r="C321">
            <v>51156</v>
          </cell>
          <cell r="D321">
            <v>44896</v>
          </cell>
          <cell r="E321">
            <v>44958</v>
          </cell>
          <cell r="F321" t="str">
            <v>Tổ 14</v>
          </cell>
          <cell r="H321" t="str">
            <v>LT</v>
          </cell>
          <cell r="J321" t="str">
            <v>x</v>
          </cell>
          <cell r="K321" t="str">
            <v>x</v>
          </cell>
          <cell r="L321" t="str">
            <v>x</v>
          </cell>
          <cell r="M321" t="str">
            <v>x</v>
          </cell>
          <cell r="O321" t="str">
            <v>x</v>
          </cell>
          <cell r="P321" t="str">
            <v>x</v>
          </cell>
          <cell r="Q321" t="str">
            <v>x</v>
          </cell>
          <cell r="R321" t="str">
            <v>x</v>
          </cell>
          <cell r="S321" t="str">
            <v>x</v>
          </cell>
          <cell r="T321" t="str">
            <v>x</v>
          </cell>
          <cell r="V321" t="str">
            <v>x/2</v>
          </cell>
          <cell r="W321" t="str">
            <v>x</v>
          </cell>
          <cell r="X321" t="str">
            <v>x</v>
          </cell>
          <cell r="Y321" t="str">
            <v>x</v>
          </cell>
          <cell r="Z321" t="str">
            <v>x</v>
          </cell>
          <cell r="AA321" t="str">
            <v>x</v>
          </cell>
          <cell r="AC321" t="str">
            <v>x</v>
          </cell>
          <cell r="AD321" t="str">
            <v>x</v>
          </cell>
          <cell r="AE321" t="str">
            <v>x</v>
          </cell>
          <cell r="AF321" t="str">
            <v>x</v>
          </cell>
          <cell r="AG321" t="str">
            <v>x</v>
          </cell>
          <cell r="AH321" t="str">
            <v>x</v>
          </cell>
          <cell r="AJ321" t="str">
            <v>x</v>
          </cell>
          <cell r="AK321" t="str">
            <v>x</v>
          </cell>
          <cell r="AL321" t="str">
            <v>x</v>
          </cell>
          <cell r="AM321">
            <v>24.5</v>
          </cell>
          <cell r="AN321">
            <v>0</v>
          </cell>
        </row>
        <row r="322">
          <cell r="C322">
            <v>51167</v>
          </cell>
          <cell r="D322">
            <v>44896</v>
          </cell>
          <cell r="E322">
            <v>44958</v>
          </cell>
          <cell r="F322" t="str">
            <v>LÀ TP</v>
          </cell>
          <cell r="H322" t="str">
            <v>LT</v>
          </cell>
          <cell r="J322" t="str">
            <v>x</v>
          </cell>
          <cell r="K322" t="str">
            <v>x</v>
          </cell>
          <cell r="L322" t="str">
            <v>Ro</v>
          </cell>
          <cell r="M322" t="str">
            <v>x</v>
          </cell>
          <cell r="O322" t="str">
            <v>x</v>
          </cell>
          <cell r="P322" t="str">
            <v>x</v>
          </cell>
          <cell r="Q322" t="str">
            <v>x</v>
          </cell>
          <cell r="R322" t="str">
            <v>Ro</v>
          </cell>
          <cell r="S322" t="str">
            <v>x</v>
          </cell>
          <cell r="T322" t="str">
            <v>x</v>
          </cell>
          <cell r="V322" t="str">
            <v>x</v>
          </cell>
          <cell r="W322" t="str">
            <v>x</v>
          </cell>
          <cell r="X322" t="str">
            <v>x</v>
          </cell>
          <cell r="Y322" t="str">
            <v>x</v>
          </cell>
          <cell r="Z322" t="str">
            <v>x</v>
          </cell>
          <cell r="AA322" t="str">
            <v>x</v>
          </cell>
          <cell r="AC322" t="str">
            <v>x/2</v>
          </cell>
          <cell r="AD322" t="str">
            <v>x</v>
          </cell>
          <cell r="AE322" t="str">
            <v>x</v>
          </cell>
          <cell r="AF322" t="str">
            <v>x</v>
          </cell>
          <cell r="AG322" t="str">
            <v>x</v>
          </cell>
          <cell r="AH322" t="str">
            <v>x</v>
          </cell>
          <cell r="AJ322" t="str">
            <v>x</v>
          </cell>
          <cell r="AK322" t="str">
            <v>F</v>
          </cell>
          <cell r="AL322" t="str">
            <v>x</v>
          </cell>
          <cell r="AM322">
            <v>21.5</v>
          </cell>
          <cell r="AN322">
            <v>0</v>
          </cell>
        </row>
        <row r="323">
          <cell r="C323">
            <v>51171</v>
          </cell>
          <cell r="D323">
            <v>44896</v>
          </cell>
          <cell r="E323">
            <v>44958</v>
          </cell>
          <cell r="F323" t="str">
            <v>Tổ chi tiết</v>
          </cell>
          <cell r="H323" t="str">
            <v>LT</v>
          </cell>
          <cell r="J323" t="str">
            <v>x</v>
          </cell>
          <cell r="K323" t="str">
            <v>x</v>
          </cell>
          <cell r="L323" t="str">
            <v>x</v>
          </cell>
          <cell r="M323" t="str">
            <v>x</v>
          </cell>
          <cell r="O323" t="str">
            <v>x</v>
          </cell>
          <cell r="P323" t="str">
            <v>x</v>
          </cell>
          <cell r="Q323" t="str">
            <v>x</v>
          </cell>
          <cell r="R323" t="str">
            <v>x</v>
          </cell>
          <cell r="S323" t="str">
            <v>x</v>
          </cell>
          <cell r="T323" t="str">
            <v>x</v>
          </cell>
          <cell r="V323" t="str">
            <v>x</v>
          </cell>
          <cell r="W323" t="str">
            <v>x</v>
          </cell>
          <cell r="X323" t="str">
            <v>x</v>
          </cell>
          <cell r="Y323" t="str">
            <v>x</v>
          </cell>
          <cell r="Z323" t="str">
            <v>x</v>
          </cell>
          <cell r="AA323" t="str">
            <v>x</v>
          </cell>
          <cell r="AC323" t="str">
            <v>x</v>
          </cell>
          <cell r="AD323" t="str">
            <v>x</v>
          </cell>
          <cell r="AE323" t="str">
            <v>x</v>
          </cell>
          <cell r="AF323" t="str">
            <v>x</v>
          </cell>
          <cell r="AG323" t="str">
            <v>x</v>
          </cell>
          <cell r="AH323" t="str">
            <v>x</v>
          </cell>
          <cell r="AJ323" t="str">
            <v>x</v>
          </cell>
          <cell r="AK323" t="str">
            <v>x</v>
          </cell>
          <cell r="AL323" t="str">
            <v>x</v>
          </cell>
          <cell r="AM323">
            <v>25</v>
          </cell>
          <cell r="AN323">
            <v>0</v>
          </cell>
        </row>
        <row r="324">
          <cell r="C324">
            <v>51191</v>
          </cell>
          <cell r="D324">
            <v>44896</v>
          </cell>
          <cell r="E324">
            <v>44958</v>
          </cell>
          <cell r="F324" t="str">
            <v>Tổ Sơ mi 2</v>
          </cell>
          <cell r="H324" t="str">
            <v>LT</v>
          </cell>
          <cell r="J324" t="str">
            <v>x</v>
          </cell>
          <cell r="K324" t="str">
            <v>x</v>
          </cell>
          <cell r="L324" t="str">
            <v>x</v>
          </cell>
          <cell r="M324" t="str">
            <v>x</v>
          </cell>
          <cell r="O324" t="str">
            <v>x</v>
          </cell>
          <cell r="P324" t="str">
            <v>x</v>
          </cell>
          <cell r="Q324" t="str">
            <v>x</v>
          </cell>
          <cell r="R324" t="str">
            <v>x</v>
          </cell>
          <cell r="S324" t="str">
            <v>x</v>
          </cell>
          <cell r="T324" t="str">
            <v>x</v>
          </cell>
          <cell r="V324" t="str">
            <v>x</v>
          </cell>
          <cell r="W324" t="str">
            <v>x</v>
          </cell>
          <cell r="X324" t="str">
            <v>x</v>
          </cell>
          <cell r="Y324" t="str">
            <v>x</v>
          </cell>
          <cell r="Z324" t="str">
            <v>x</v>
          </cell>
          <cell r="AA324" t="str">
            <v>x</v>
          </cell>
          <cell r="AC324" t="str">
            <v>x</v>
          </cell>
          <cell r="AD324" t="str">
            <v>x</v>
          </cell>
          <cell r="AE324" t="str">
            <v>x</v>
          </cell>
          <cell r="AF324" t="str">
            <v>x</v>
          </cell>
          <cell r="AG324" t="str">
            <v>x</v>
          </cell>
          <cell r="AH324" t="str">
            <v>x</v>
          </cell>
          <cell r="AJ324" t="str">
            <v>x</v>
          </cell>
          <cell r="AK324" t="str">
            <v>x</v>
          </cell>
          <cell r="AL324" t="str">
            <v>x</v>
          </cell>
          <cell r="AM324">
            <v>25</v>
          </cell>
          <cell r="AN324">
            <v>0</v>
          </cell>
        </row>
        <row r="325">
          <cell r="C325">
            <v>51208</v>
          </cell>
          <cell r="D325">
            <v>44895</v>
          </cell>
          <cell r="E325">
            <v>44958</v>
          </cell>
          <cell r="F325" t="str">
            <v>Tổ chi tiết</v>
          </cell>
          <cell r="G325" t="str">
            <v>Mang thai</v>
          </cell>
          <cell r="H325" t="str">
            <v>LT</v>
          </cell>
          <cell r="J325" t="str">
            <v>x</v>
          </cell>
          <cell r="K325" t="str">
            <v>x</v>
          </cell>
          <cell r="L325" t="str">
            <v>x</v>
          </cell>
          <cell r="M325" t="str">
            <v>x</v>
          </cell>
          <cell r="O325" t="str">
            <v>x</v>
          </cell>
          <cell r="P325" t="str">
            <v>x</v>
          </cell>
          <cell r="Q325" t="str">
            <v>x</v>
          </cell>
          <cell r="R325" t="str">
            <v>x</v>
          </cell>
          <cell r="S325" t="str">
            <v>x</v>
          </cell>
          <cell r="T325" t="str">
            <v>x</v>
          </cell>
          <cell r="V325" t="str">
            <v>x</v>
          </cell>
          <cell r="W325" t="str">
            <v>x</v>
          </cell>
          <cell r="X325" t="str">
            <v>x</v>
          </cell>
          <cell r="Y325" t="str">
            <v>x</v>
          </cell>
          <cell r="Z325" t="str">
            <v>x</v>
          </cell>
          <cell r="AA325" t="str">
            <v>x</v>
          </cell>
          <cell r="AC325" t="str">
            <v>x</v>
          </cell>
          <cell r="AD325" t="str">
            <v>x</v>
          </cell>
          <cell r="AE325" t="str">
            <v>x</v>
          </cell>
          <cell r="AF325" t="str">
            <v>x</v>
          </cell>
          <cell r="AG325" t="str">
            <v>x</v>
          </cell>
          <cell r="AH325" t="str">
            <v>x</v>
          </cell>
          <cell r="AJ325" t="str">
            <v>x</v>
          </cell>
          <cell r="AK325" t="str">
            <v>x</v>
          </cell>
          <cell r="AL325" t="str">
            <v>x</v>
          </cell>
          <cell r="AM325">
            <v>25</v>
          </cell>
          <cell r="AN325">
            <v>0</v>
          </cell>
        </row>
        <row r="326">
          <cell r="C326">
            <v>51209</v>
          </cell>
          <cell r="D326">
            <v>44896</v>
          </cell>
          <cell r="E326">
            <v>44958</v>
          </cell>
          <cell r="F326" t="str">
            <v>Tổ chi tiết</v>
          </cell>
          <cell r="H326" t="str">
            <v>LT</v>
          </cell>
          <cell r="J326" t="str">
            <v>x</v>
          </cell>
          <cell r="K326" t="str">
            <v>x</v>
          </cell>
          <cell r="L326" t="str">
            <v>x</v>
          </cell>
          <cell r="M326" t="str">
            <v>x</v>
          </cell>
          <cell r="O326" t="str">
            <v>x</v>
          </cell>
          <cell r="P326" t="str">
            <v>x</v>
          </cell>
          <cell r="Q326" t="str">
            <v>x</v>
          </cell>
          <cell r="R326" t="str">
            <v>x</v>
          </cell>
          <cell r="S326" t="str">
            <v>x</v>
          </cell>
          <cell r="T326" t="str">
            <v>x</v>
          </cell>
          <cell r="V326" t="str">
            <v>x</v>
          </cell>
          <cell r="W326" t="str">
            <v>x</v>
          </cell>
          <cell r="X326" t="str">
            <v>x</v>
          </cell>
          <cell r="Y326" t="str">
            <v>x</v>
          </cell>
          <cell r="Z326" t="str">
            <v>x</v>
          </cell>
          <cell r="AA326" t="str">
            <v>x</v>
          </cell>
          <cell r="AC326" t="str">
            <v>x</v>
          </cell>
          <cell r="AD326" t="str">
            <v>x</v>
          </cell>
          <cell r="AE326" t="str">
            <v>x</v>
          </cell>
          <cell r="AF326" t="str">
            <v>x</v>
          </cell>
          <cell r="AG326" t="str">
            <v>x</v>
          </cell>
          <cell r="AH326" t="str">
            <v>x</v>
          </cell>
          <cell r="AI326" t="str">
            <v>x</v>
          </cell>
          <cell r="AJ326" t="str">
            <v>x</v>
          </cell>
          <cell r="AK326" t="str">
            <v>x</v>
          </cell>
          <cell r="AL326" t="str">
            <v>x</v>
          </cell>
          <cell r="AM326">
            <v>25</v>
          </cell>
          <cell r="AN326">
            <v>1</v>
          </cell>
        </row>
        <row r="327">
          <cell r="C327">
            <v>51215</v>
          </cell>
          <cell r="D327">
            <v>44896</v>
          </cell>
          <cell r="E327">
            <v>44958</v>
          </cell>
          <cell r="F327" t="str">
            <v>LÀ TP</v>
          </cell>
          <cell r="H327" t="str">
            <v>LT</v>
          </cell>
          <cell r="J327" t="str">
            <v>x</v>
          </cell>
          <cell r="K327" t="str">
            <v>x</v>
          </cell>
          <cell r="L327" t="str">
            <v>x</v>
          </cell>
          <cell r="M327" t="str">
            <v>x</v>
          </cell>
          <cell r="O327" t="str">
            <v>x</v>
          </cell>
          <cell r="P327" t="str">
            <v>x</v>
          </cell>
          <cell r="Q327" t="str">
            <v>x</v>
          </cell>
          <cell r="R327" t="str">
            <v>x</v>
          </cell>
          <cell r="S327" t="str">
            <v>x</v>
          </cell>
          <cell r="T327" t="str">
            <v>x</v>
          </cell>
          <cell r="V327" t="str">
            <v>x</v>
          </cell>
          <cell r="W327" t="str">
            <v>x</v>
          </cell>
          <cell r="X327" t="str">
            <v>x</v>
          </cell>
          <cell r="Y327" t="str">
            <v>x</v>
          </cell>
          <cell r="Z327" t="str">
            <v>x</v>
          </cell>
          <cell r="AA327" t="str">
            <v>x</v>
          </cell>
          <cell r="AC327" t="str">
            <v>x</v>
          </cell>
          <cell r="AD327" t="str">
            <v>x</v>
          </cell>
          <cell r="AE327" t="str">
            <v>x</v>
          </cell>
          <cell r="AF327" t="str">
            <v>x</v>
          </cell>
          <cell r="AG327" t="str">
            <v>x</v>
          </cell>
          <cell r="AH327" t="str">
            <v>x</v>
          </cell>
          <cell r="AJ327" t="str">
            <v>x</v>
          </cell>
          <cell r="AK327" t="str">
            <v>x</v>
          </cell>
          <cell r="AL327" t="str">
            <v>x</v>
          </cell>
          <cell r="AM327">
            <v>25</v>
          </cell>
          <cell r="AN327">
            <v>0</v>
          </cell>
        </row>
        <row r="328">
          <cell r="C328">
            <v>51216</v>
          </cell>
          <cell r="D328">
            <v>44929</v>
          </cell>
          <cell r="E328">
            <v>44958</v>
          </cell>
          <cell r="F328" t="str">
            <v>Bốc vác</v>
          </cell>
          <cell r="H328" t="str">
            <v>LT</v>
          </cell>
          <cell r="J328" t="str">
            <v>x</v>
          </cell>
          <cell r="K328" t="str">
            <v>x</v>
          </cell>
          <cell r="L328" t="str">
            <v>x</v>
          </cell>
          <cell r="M328" t="str">
            <v>x</v>
          </cell>
          <cell r="O328" t="str">
            <v>x</v>
          </cell>
          <cell r="P328" t="str">
            <v>x</v>
          </cell>
          <cell r="Q328" t="str">
            <v>x</v>
          </cell>
          <cell r="R328" t="str">
            <v>x</v>
          </cell>
          <cell r="S328" t="str">
            <v>x</v>
          </cell>
          <cell r="T328" t="str">
            <v>x</v>
          </cell>
          <cell r="V328" t="str">
            <v>x</v>
          </cell>
          <cell r="W328" t="str">
            <v>x</v>
          </cell>
          <cell r="X328" t="str">
            <v>x</v>
          </cell>
          <cell r="Y328" t="str">
            <v>x</v>
          </cell>
          <cell r="Z328" t="str">
            <v>x</v>
          </cell>
          <cell r="AA328" t="str">
            <v>x</v>
          </cell>
          <cell r="AC328" t="str">
            <v>x</v>
          </cell>
          <cell r="AD328" t="str">
            <v>x</v>
          </cell>
          <cell r="AE328" t="str">
            <v>x</v>
          </cell>
          <cell r="AF328" t="str">
            <v>x</v>
          </cell>
          <cell r="AG328" t="str">
            <v>x</v>
          </cell>
          <cell r="AH328" t="str">
            <v>x</v>
          </cell>
          <cell r="AJ328" t="str">
            <v>x</v>
          </cell>
          <cell r="AK328" t="str">
            <v>x</v>
          </cell>
          <cell r="AL328" t="str">
            <v>x</v>
          </cell>
          <cell r="AM328">
            <v>25</v>
          </cell>
          <cell r="AN328">
            <v>0</v>
          </cell>
        </row>
        <row r="329">
          <cell r="C329">
            <v>51176</v>
          </cell>
          <cell r="D329">
            <v>44929</v>
          </cell>
          <cell r="E329">
            <v>44986</v>
          </cell>
          <cell r="F329" t="str">
            <v>Tổ chi tiết</v>
          </cell>
          <cell r="H329" t="str">
            <v>LT</v>
          </cell>
          <cell r="J329" t="str">
            <v>x</v>
          </cell>
          <cell r="K329" t="str">
            <v>x</v>
          </cell>
          <cell r="L329" t="str">
            <v>x</v>
          </cell>
          <cell r="M329" t="str">
            <v>x</v>
          </cell>
          <cell r="O329" t="str">
            <v>x</v>
          </cell>
          <cell r="P329" t="str">
            <v>x</v>
          </cell>
          <cell r="Q329" t="str">
            <v>x</v>
          </cell>
          <cell r="R329" t="str">
            <v>x</v>
          </cell>
          <cell r="S329" t="str">
            <v>x</v>
          </cell>
          <cell r="T329" t="str">
            <v>x</v>
          </cell>
          <cell r="V329" t="str">
            <v>x</v>
          </cell>
          <cell r="W329" t="str">
            <v>x</v>
          </cell>
          <cell r="X329" t="str">
            <v>x</v>
          </cell>
          <cell r="Y329" t="str">
            <v>x</v>
          </cell>
          <cell r="Z329" t="str">
            <v>x</v>
          </cell>
          <cell r="AA329" t="str">
            <v>x</v>
          </cell>
          <cell r="AC329" t="str">
            <v>x</v>
          </cell>
          <cell r="AD329" t="str">
            <v>x</v>
          </cell>
          <cell r="AE329" t="str">
            <v>x</v>
          </cell>
          <cell r="AF329" t="str">
            <v>x</v>
          </cell>
          <cell r="AG329" t="str">
            <v>x</v>
          </cell>
          <cell r="AH329" t="str">
            <v>x</v>
          </cell>
          <cell r="AJ329" t="str">
            <v>x</v>
          </cell>
          <cell r="AK329" t="str">
            <v>x</v>
          </cell>
          <cell r="AL329" t="str">
            <v>x</v>
          </cell>
          <cell r="AM329">
            <v>25</v>
          </cell>
          <cell r="AN329">
            <v>0</v>
          </cell>
        </row>
        <row r="330">
          <cell r="C330">
            <v>51211</v>
          </cell>
          <cell r="D330">
            <v>44896</v>
          </cell>
          <cell r="E330">
            <v>44986</v>
          </cell>
          <cell r="F330" t="str">
            <v>Tổ chi tiết</v>
          </cell>
          <cell r="H330" t="str">
            <v>LT</v>
          </cell>
          <cell r="J330" t="str">
            <v>x</v>
          </cell>
          <cell r="K330" t="str">
            <v>x</v>
          </cell>
          <cell r="L330" t="str">
            <v>x</v>
          </cell>
          <cell r="M330" t="str">
            <v>x</v>
          </cell>
          <cell r="O330" t="str">
            <v>x</v>
          </cell>
          <cell r="P330" t="str">
            <v>x</v>
          </cell>
          <cell r="Q330" t="str">
            <v>x</v>
          </cell>
          <cell r="R330" t="str">
            <v>x</v>
          </cell>
          <cell r="S330" t="str">
            <v>x</v>
          </cell>
          <cell r="T330" t="str">
            <v>x</v>
          </cell>
          <cell r="V330" t="str">
            <v>x</v>
          </cell>
          <cell r="W330" t="str">
            <v>x</v>
          </cell>
          <cell r="X330" t="str">
            <v>x</v>
          </cell>
          <cell r="Y330" t="str">
            <v>x</v>
          </cell>
          <cell r="Z330" t="str">
            <v>x</v>
          </cell>
          <cell r="AA330" t="str">
            <v>x</v>
          </cell>
          <cell r="AC330" t="str">
            <v>x</v>
          </cell>
          <cell r="AD330" t="str">
            <v>x</v>
          </cell>
          <cell r="AE330" t="str">
            <v>x</v>
          </cell>
          <cell r="AF330" t="str">
            <v>x</v>
          </cell>
          <cell r="AG330" t="str">
            <v>x</v>
          </cell>
          <cell r="AH330" t="str">
            <v>x</v>
          </cell>
          <cell r="AJ330" t="str">
            <v>x</v>
          </cell>
          <cell r="AK330" t="str">
            <v>x</v>
          </cell>
          <cell r="AL330" t="str">
            <v>x</v>
          </cell>
          <cell r="AM330">
            <v>25</v>
          </cell>
          <cell r="AN330">
            <v>0</v>
          </cell>
        </row>
        <row r="331">
          <cell r="C331">
            <v>51217</v>
          </cell>
          <cell r="D331">
            <v>44930</v>
          </cell>
          <cell r="E331">
            <v>44986</v>
          </cell>
          <cell r="F331" t="str">
            <v>Tổ sơ mi 4</v>
          </cell>
          <cell r="H331" t="str">
            <v>LT</v>
          </cell>
          <cell r="J331" t="str">
            <v>x</v>
          </cell>
          <cell r="K331" t="str">
            <v>x</v>
          </cell>
          <cell r="L331" t="str">
            <v>x</v>
          </cell>
          <cell r="M331" t="str">
            <v>x</v>
          </cell>
          <cell r="O331" t="str">
            <v>x</v>
          </cell>
          <cell r="P331" t="str">
            <v>x</v>
          </cell>
          <cell r="Q331" t="str">
            <v>x</v>
          </cell>
          <cell r="R331" t="str">
            <v>x</v>
          </cell>
          <cell r="S331" t="str">
            <v>x</v>
          </cell>
          <cell r="T331" t="str">
            <v>x</v>
          </cell>
          <cell r="V331" t="str">
            <v>x</v>
          </cell>
          <cell r="W331" t="str">
            <v>x</v>
          </cell>
          <cell r="X331" t="str">
            <v>x</v>
          </cell>
          <cell r="Y331" t="str">
            <v>x</v>
          </cell>
          <cell r="Z331" t="str">
            <v>x</v>
          </cell>
          <cell r="AA331" t="str">
            <v>x</v>
          </cell>
          <cell r="AC331" t="str">
            <v>x</v>
          </cell>
          <cell r="AD331" t="str">
            <v>x</v>
          </cell>
          <cell r="AE331" t="str">
            <v>x</v>
          </cell>
          <cell r="AF331" t="str">
            <v>x</v>
          </cell>
          <cell r="AG331" t="str">
            <v>x</v>
          </cell>
          <cell r="AH331" t="str">
            <v>x</v>
          </cell>
          <cell r="AJ331" t="str">
            <v>x</v>
          </cell>
          <cell r="AK331" t="str">
            <v>x</v>
          </cell>
          <cell r="AL331" t="str">
            <v>x</v>
          </cell>
          <cell r="AM331">
            <v>25</v>
          </cell>
          <cell r="AN331">
            <v>0</v>
          </cell>
        </row>
        <row r="332">
          <cell r="C332">
            <v>51218</v>
          </cell>
          <cell r="D332">
            <v>44931</v>
          </cell>
          <cell r="E332">
            <v>44986</v>
          </cell>
          <cell r="F332" t="str">
            <v>Tổ sơ mi 3</v>
          </cell>
          <cell r="H332" t="str">
            <v>LT</v>
          </cell>
          <cell r="J332" t="str">
            <v>x</v>
          </cell>
          <cell r="K332" t="str">
            <v>x</v>
          </cell>
          <cell r="L332" t="str">
            <v>x</v>
          </cell>
          <cell r="M332" t="str">
            <v>x</v>
          </cell>
          <cell r="O332" t="str">
            <v>x</v>
          </cell>
          <cell r="P332" t="str">
            <v>x</v>
          </cell>
          <cell r="Q332" t="str">
            <v>x</v>
          </cell>
          <cell r="R332" t="str">
            <v>x</v>
          </cell>
          <cell r="S332" t="str">
            <v>x</v>
          </cell>
          <cell r="T332" t="str">
            <v>x</v>
          </cell>
          <cell r="V332" t="str">
            <v>x</v>
          </cell>
          <cell r="W332" t="str">
            <v>x</v>
          </cell>
          <cell r="X332" t="str">
            <v>x</v>
          </cell>
          <cell r="Y332" t="str">
            <v>x</v>
          </cell>
          <cell r="Z332" t="str">
            <v>x</v>
          </cell>
          <cell r="AA332" t="str">
            <v>x</v>
          </cell>
          <cell r="AC332" t="str">
            <v>x</v>
          </cell>
          <cell r="AD332" t="str">
            <v>x</v>
          </cell>
          <cell r="AE332" t="str">
            <v>x</v>
          </cell>
          <cell r="AF332" t="str">
            <v>x</v>
          </cell>
          <cell r="AG332" t="str">
            <v>x</v>
          </cell>
          <cell r="AH332" t="str">
            <v>x</v>
          </cell>
          <cell r="AJ332" t="str">
            <v>x</v>
          </cell>
          <cell r="AK332" t="str">
            <v>x</v>
          </cell>
          <cell r="AL332" t="str">
            <v>x</v>
          </cell>
          <cell r="AM332">
            <v>25</v>
          </cell>
          <cell r="AN332">
            <v>0</v>
          </cell>
        </row>
        <row r="333">
          <cell r="C333">
            <v>51219</v>
          </cell>
          <cell r="D333">
            <v>44957</v>
          </cell>
          <cell r="E333">
            <v>44986</v>
          </cell>
          <cell r="F333" t="str">
            <v>Tổ sơ mi 4</v>
          </cell>
          <cell r="H333" t="str">
            <v>LT</v>
          </cell>
          <cell r="J333" t="str">
            <v>x</v>
          </cell>
          <cell r="K333" t="str">
            <v>x</v>
          </cell>
          <cell r="L333" t="str">
            <v>x</v>
          </cell>
          <cell r="M333" t="str">
            <v>x</v>
          </cell>
          <cell r="O333" t="str">
            <v>x</v>
          </cell>
          <cell r="P333" t="str">
            <v>x</v>
          </cell>
          <cell r="Q333" t="str">
            <v>x</v>
          </cell>
          <cell r="R333" t="str">
            <v>x</v>
          </cell>
          <cell r="S333" t="str">
            <v>x</v>
          </cell>
          <cell r="T333" t="str">
            <v>x</v>
          </cell>
          <cell r="V333" t="str">
            <v>x</v>
          </cell>
          <cell r="W333" t="str">
            <v>x</v>
          </cell>
          <cell r="X333" t="str">
            <v>x</v>
          </cell>
          <cell r="Y333" t="str">
            <v>x</v>
          </cell>
          <cell r="Z333" t="str">
            <v>x/2</v>
          </cell>
          <cell r="AA333" t="str">
            <v>x</v>
          </cell>
          <cell r="AC333" t="str">
            <v>x</v>
          </cell>
          <cell r="AD333" t="str">
            <v>x</v>
          </cell>
          <cell r="AE333" t="str">
            <v>x</v>
          </cell>
          <cell r="AF333" t="str">
            <v>x</v>
          </cell>
          <cell r="AG333" t="str">
            <v>x</v>
          </cell>
          <cell r="AH333" t="str">
            <v>x</v>
          </cell>
          <cell r="AJ333" t="str">
            <v>x</v>
          </cell>
          <cell r="AK333" t="str">
            <v>x</v>
          </cell>
          <cell r="AL333" t="str">
            <v>x</v>
          </cell>
          <cell r="AM333">
            <v>24.5</v>
          </cell>
          <cell r="AN333">
            <v>0</v>
          </cell>
        </row>
        <row r="334">
          <cell r="C334">
            <v>51288</v>
          </cell>
          <cell r="D334">
            <v>44958</v>
          </cell>
          <cell r="E334">
            <v>44986</v>
          </cell>
          <cell r="F334" t="str">
            <v>Tổ 15</v>
          </cell>
          <cell r="H334" t="str">
            <v>LT</v>
          </cell>
          <cell r="J334" t="str">
            <v>x</v>
          </cell>
          <cell r="K334" t="str">
            <v>x</v>
          </cell>
          <cell r="L334" t="str">
            <v>x</v>
          </cell>
          <cell r="M334" t="str">
            <v>x</v>
          </cell>
          <cell r="O334" t="str">
            <v>x</v>
          </cell>
          <cell r="P334" t="str">
            <v>x</v>
          </cell>
          <cell r="Q334" t="str">
            <v>x</v>
          </cell>
          <cell r="R334" t="str">
            <v>x</v>
          </cell>
          <cell r="S334" t="str">
            <v>x</v>
          </cell>
          <cell r="T334" t="str">
            <v>x</v>
          </cell>
          <cell r="V334" t="str">
            <v>x</v>
          </cell>
          <cell r="W334" t="str">
            <v>x</v>
          </cell>
          <cell r="X334" t="str">
            <v>x</v>
          </cell>
          <cell r="Y334" t="str">
            <v>x</v>
          </cell>
          <cell r="Z334" t="str">
            <v>x</v>
          </cell>
          <cell r="AA334" t="str">
            <v>x</v>
          </cell>
          <cell r="AC334" t="str">
            <v>x</v>
          </cell>
          <cell r="AD334" t="str">
            <v>x</v>
          </cell>
          <cell r="AE334" t="str">
            <v>x</v>
          </cell>
          <cell r="AF334" t="str">
            <v>x</v>
          </cell>
          <cell r="AG334" t="str">
            <v>x</v>
          </cell>
          <cell r="AH334" t="str">
            <v>x</v>
          </cell>
          <cell r="AJ334" t="str">
            <v>x</v>
          </cell>
          <cell r="AK334" t="str">
            <v>x</v>
          </cell>
          <cell r="AL334" t="str">
            <v>x</v>
          </cell>
          <cell r="AM334">
            <v>25</v>
          </cell>
          <cell r="AN334">
            <v>0</v>
          </cell>
        </row>
        <row r="335">
          <cell r="C335">
            <v>51062</v>
          </cell>
          <cell r="D335">
            <v>44986</v>
          </cell>
          <cell r="E335">
            <v>45017</v>
          </cell>
          <cell r="F335" t="str">
            <v>Tổ 14</v>
          </cell>
          <cell r="H335" t="str">
            <v>LT</v>
          </cell>
          <cell r="J335" t="str">
            <v>F</v>
          </cell>
          <cell r="K335" t="str">
            <v>x/2</v>
          </cell>
          <cell r="L335" t="str">
            <v>x</v>
          </cell>
          <cell r="M335" t="str">
            <v>x</v>
          </cell>
          <cell r="O335" t="str">
            <v>x</v>
          </cell>
          <cell r="P335" t="str">
            <v>x</v>
          </cell>
          <cell r="Q335" t="str">
            <v>x</v>
          </cell>
          <cell r="R335" t="str">
            <v>x</v>
          </cell>
          <cell r="S335" t="str">
            <v>x</v>
          </cell>
          <cell r="T335" t="str">
            <v>x</v>
          </cell>
          <cell r="V335" t="str">
            <v>x</v>
          </cell>
          <cell r="W335" t="str">
            <v>x</v>
          </cell>
          <cell r="X335" t="str">
            <v>x</v>
          </cell>
          <cell r="Y335" t="str">
            <v>x</v>
          </cell>
          <cell r="Z335" t="str">
            <v>x</v>
          </cell>
          <cell r="AA335" t="str">
            <v>x</v>
          </cell>
          <cell r="AC335" t="str">
            <v>x</v>
          </cell>
          <cell r="AD335" t="str">
            <v>x</v>
          </cell>
          <cell r="AE335" t="str">
            <v>x</v>
          </cell>
          <cell r="AF335" t="str">
            <v>x</v>
          </cell>
          <cell r="AG335" t="str">
            <v>x</v>
          </cell>
          <cell r="AH335" t="str">
            <v>x</v>
          </cell>
          <cell r="AJ335" t="str">
            <v>x</v>
          </cell>
          <cell r="AK335" t="str">
            <v>x</v>
          </cell>
          <cell r="AL335" t="str">
            <v>x</v>
          </cell>
          <cell r="AM335">
            <v>23.5</v>
          </cell>
          <cell r="AN335">
            <v>0</v>
          </cell>
        </row>
        <row r="336">
          <cell r="C336">
            <v>51220</v>
          </cell>
          <cell r="D336">
            <v>44958</v>
          </cell>
          <cell r="E336">
            <v>45017</v>
          </cell>
          <cell r="F336" t="str">
            <v>LÀ TP</v>
          </cell>
          <cell r="H336" t="str">
            <v>LT</v>
          </cell>
          <cell r="J336" t="str">
            <v>x</v>
          </cell>
          <cell r="K336" t="str">
            <v>x</v>
          </cell>
          <cell r="L336" t="str">
            <v>x</v>
          </cell>
          <cell r="M336" t="str">
            <v>x</v>
          </cell>
          <cell r="O336" t="str">
            <v>x</v>
          </cell>
          <cell r="P336" t="str">
            <v>x</v>
          </cell>
          <cell r="Q336" t="str">
            <v>x</v>
          </cell>
          <cell r="R336" t="str">
            <v>x</v>
          </cell>
          <cell r="S336" t="str">
            <v>x</v>
          </cell>
          <cell r="T336" t="str">
            <v>x</v>
          </cell>
          <cell r="V336" t="str">
            <v>x</v>
          </cell>
          <cell r="W336" t="str">
            <v>x</v>
          </cell>
          <cell r="X336" t="str">
            <v>x</v>
          </cell>
          <cell r="Y336" t="str">
            <v>x</v>
          </cell>
          <cell r="Z336" t="str">
            <v>x</v>
          </cell>
          <cell r="AA336" t="str">
            <v>x</v>
          </cell>
          <cell r="AC336" t="str">
            <v>x</v>
          </cell>
          <cell r="AD336" t="str">
            <v>x</v>
          </cell>
          <cell r="AE336" t="str">
            <v>x</v>
          </cell>
          <cell r="AF336" t="str">
            <v>x</v>
          </cell>
          <cell r="AG336" t="str">
            <v>x</v>
          </cell>
          <cell r="AH336" t="str">
            <v>x</v>
          </cell>
          <cell r="AJ336" t="str">
            <v>x</v>
          </cell>
          <cell r="AK336" t="str">
            <v>x</v>
          </cell>
          <cell r="AL336" t="str">
            <v>x</v>
          </cell>
          <cell r="AM336">
            <v>25</v>
          </cell>
          <cell r="AN336">
            <v>0</v>
          </cell>
        </row>
        <row r="337">
          <cell r="C337">
            <v>51223</v>
          </cell>
          <cell r="D337">
            <v>44958</v>
          </cell>
          <cell r="E337">
            <v>45017</v>
          </cell>
          <cell r="F337" t="str">
            <v>Tổ sơ mi 4</v>
          </cell>
          <cell r="H337" t="str">
            <v>LT</v>
          </cell>
          <cell r="J337" t="str">
            <v>x</v>
          </cell>
          <cell r="K337" t="str">
            <v>x</v>
          </cell>
          <cell r="L337" t="str">
            <v>x</v>
          </cell>
          <cell r="M337" t="str">
            <v>x</v>
          </cell>
          <cell r="O337" t="str">
            <v>x</v>
          </cell>
          <cell r="P337" t="str">
            <v>x</v>
          </cell>
          <cell r="Q337" t="str">
            <v>x/2</v>
          </cell>
          <cell r="R337" t="str">
            <v>x</v>
          </cell>
          <cell r="S337" t="str">
            <v>x</v>
          </cell>
          <cell r="T337" t="str">
            <v>x</v>
          </cell>
          <cell r="V337" t="str">
            <v>x</v>
          </cell>
          <cell r="W337" t="str">
            <v>x</v>
          </cell>
          <cell r="X337" t="str">
            <v>x</v>
          </cell>
          <cell r="Y337" t="str">
            <v>x</v>
          </cell>
          <cell r="Z337" t="str">
            <v>x</v>
          </cell>
          <cell r="AA337" t="str">
            <v>x</v>
          </cell>
          <cell r="AC337" t="str">
            <v>x</v>
          </cell>
          <cell r="AD337" t="str">
            <v>x</v>
          </cell>
          <cell r="AE337" t="str">
            <v>x</v>
          </cell>
          <cell r="AF337" t="str">
            <v>x</v>
          </cell>
          <cell r="AG337" t="str">
            <v>x</v>
          </cell>
          <cell r="AH337" t="str">
            <v>x</v>
          </cell>
          <cell r="AJ337" t="str">
            <v>x</v>
          </cell>
          <cell r="AK337" t="str">
            <v>x</v>
          </cell>
          <cell r="AL337" t="str">
            <v>x</v>
          </cell>
          <cell r="AM337">
            <v>24.5</v>
          </cell>
          <cell r="AN337">
            <v>0</v>
          </cell>
        </row>
        <row r="338">
          <cell r="C338">
            <v>51226</v>
          </cell>
          <cell r="D338">
            <v>44961</v>
          </cell>
          <cell r="E338">
            <v>45017</v>
          </cell>
          <cell r="F338" t="str">
            <v>LÀ TP</v>
          </cell>
          <cell r="H338" t="str">
            <v>LT</v>
          </cell>
          <cell r="J338" t="str">
            <v>F</v>
          </cell>
          <cell r="K338" t="str">
            <v>x</v>
          </cell>
          <cell r="L338" t="str">
            <v>x</v>
          </cell>
          <cell r="M338" t="str">
            <v>x</v>
          </cell>
          <cell r="O338" t="str">
            <v>x</v>
          </cell>
          <cell r="P338" t="str">
            <v>x</v>
          </cell>
          <cell r="Q338" t="str">
            <v>x</v>
          </cell>
          <cell r="R338" t="str">
            <v>x</v>
          </cell>
          <cell r="S338" t="str">
            <v>x</v>
          </cell>
          <cell r="T338" t="str">
            <v>Ro</v>
          </cell>
          <cell r="V338" t="str">
            <v>Ro</v>
          </cell>
          <cell r="W338" t="str">
            <v>x</v>
          </cell>
          <cell r="X338" t="str">
            <v>x</v>
          </cell>
          <cell r="Y338" t="str">
            <v>x</v>
          </cell>
          <cell r="Z338" t="str">
            <v>x</v>
          </cell>
          <cell r="AA338" t="str">
            <v>x</v>
          </cell>
          <cell r="AC338" t="str">
            <v>x</v>
          </cell>
          <cell r="AD338" t="str">
            <v>x</v>
          </cell>
          <cell r="AE338" t="str">
            <v>x</v>
          </cell>
          <cell r="AF338" t="str">
            <v>x</v>
          </cell>
          <cell r="AG338" t="str">
            <v>x</v>
          </cell>
          <cell r="AH338" t="str">
            <v>x</v>
          </cell>
          <cell r="AJ338" t="str">
            <v>x</v>
          </cell>
          <cell r="AK338" t="str">
            <v>x</v>
          </cell>
          <cell r="AL338" t="str">
            <v>x</v>
          </cell>
          <cell r="AM338">
            <v>22</v>
          </cell>
          <cell r="AN338">
            <v>0</v>
          </cell>
        </row>
        <row r="339">
          <cell r="C339">
            <v>51227</v>
          </cell>
          <cell r="D339">
            <v>44963</v>
          </cell>
          <cell r="E339">
            <v>45017</v>
          </cell>
          <cell r="F339" t="str">
            <v>H.thiện</v>
          </cell>
          <cell r="H339" t="str">
            <v>Ô</v>
          </cell>
          <cell r="J339" t="str">
            <v>Ô</v>
          </cell>
          <cell r="K339" t="str">
            <v>Ô</v>
          </cell>
          <cell r="L339" t="str">
            <v>Ô</v>
          </cell>
          <cell r="M339" t="str">
            <v>Ô</v>
          </cell>
          <cell r="O339" t="str">
            <v>Ô</v>
          </cell>
          <cell r="P339" t="str">
            <v>Ô</v>
          </cell>
          <cell r="Q339" t="str">
            <v>Ô</v>
          </cell>
          <cell r="R339" t="str">
            <v>Ô</v>
          </cell>
          <cell r="S339" t="str">
            <v>Ô</v>
          </cell>
          <cell r="T339" t="str">
            <v>Ô</v>
          </cell>
          <cell r="V339" t="str">
            <v>Ô</v>
          </cell>
          <cell r="W339" t="str">
            <v>Ô</v>
          </cell>
          <cell r="X339" t="str">
            <v>Ô</v>
          </cell>
          <cell r="Y339" t="str">
            <v>Ô</v>
          </cell>
          <cell r="Z339" t="str">
            <v>Ô</v>
          </cell>
          <cell r="AA339" t="str">
            <v>Ô</v>
          </cell>
          <cell r="AC339" t="str">
            <v>Ô</v>
          </cell>
          <cell r="AD339" t="str">
            <v>Ô</v>
          </cell>
          <cell r="AE339" t="str">
            <v>Ô</v>
          </cell>
          <cell r="AF339" t="str">
            <v>Ô</v>
          </cell>
          <cell r="AG339" t="str">
            <v>Ô</v>
          </cell>
          <cell r="AH339" t="str">
            <v>Ô</v>
          </cell>
          <cell r="AJ339" t="str">
            <v>Ô</v>
          </cell>
          <cell r="AK339" t="str">
            <v>Ô</v>
          </cell>
          <cell r="AL339" t="str">
            <v>Ô</v>
          </cell>
          <cell r="AM339">
            <v>0</v>
          </cell>
          <cell r="AN339">
            <v>0</v>
          </cell>
        </row>
        <row r="340">
          <cell r="C340">
            <v>51230</v>
          </cell>
          <cell r="D340">
            <v>44964</v>
          </cell>
          <cell r="E340">
            <v>45017</v>
          </cell>
          <cell r="F340" t="str">
            <v>Tổ Sơ mi 4</v>
          </cell>
          <cell r="H340" t="str">
            <v>LT</v>
          </cell>
          <cell r="J340" t="str">
            <v>x</v>
          </cell>
          <cell r="K340" t="str">
            <v>x</v>
          </cell>
          <cell r="L340" t="str">
            <v>x</v>
          </cell>
          <cell r="M340" t="str">
            <v>x</v>
          </cell>
          <cell r="O340" t="str">
            <v>x</v>
          </cell>
          <cell r="P340" t="str">
            <v>x</v>
          </cell>
          <cell r="Q340" t="str">
            <v>x</v>
          </cell>
          <cell r="R340" t="str">
            <v>x</v>
          </cell>
          <cell r="S340" t="str">
            <v>x</v>
          </cell>
          <cell r="T340" t="str">
            <v>x</v>
          </cell>
          <cell r="V340" t="str">
            <v>x</v>
          </cell>
          <cell r="W340" t="str">
            <v>x</v>
          </cell>
          <cell r="X340" t="str">
            <v>x</v>
          </cell>
          <cell r="Y340" t="str">
            <v>x</v>
          </cell>
          <cell r="Z340" t="str">
            <v>x</v>
          </cell>
          <cell r="AA340" t="str">
            <v>x</v>
          </cell>
          <cell r="AC340" t="str">
            <v>x</v>
          </cell>
          <cell r="AD340" t="str">
            <v>x</v>
          </cell>
          <cell r="AE340" t="str">
            <v>x</v>
          </cell>
          <cell r="AF340" t="str">
            <v>x</v>
          </cell>
          <cell r="AG340" t="str">
            <v>x</v>
          </cell>
          <cell r="AH340" t="str">
            <v>x</v>
          </cell>
          <cell r="AJ340" t="str">
            <v>x</v>
          </cell>
          <cell r="AK340" t="str">
            <v>x</v>
          </cell>
          <cell r="AL340" t="str">
            <v>x</v>
          </cell>
          <cell r="AM340">
            <v>25</v>
          </cell>
          <cell r="AN340">
            <v>0</v>
          </cell>
        </row>
        <row r="341">
          <cell r="C341">
            <v>51234</v>
          </cell>
          <cell r="D341">
            <v>44958</v>
          </cell>
          <cell r="E341">
            <v>45017</v>
          </cell>
          <cell r="F341" t="str">
            <v>Tổ sơ mi 3</v>
          </cell>
          <cell r="H341" t="str">
            <v>LT</v>
          </cell>
          <cell r="J341" t="str">
            <v>x</v>
          </cell>
          <cell r="K341" t="str">
            <v>x</v>
          </cell>
          <cell r="L341" t="str">
            <v>x</v>
          </cell>
          <cell r="M341" t="str">
            <v>x</v>
          </cell>
          <cell r="O341" t="str">
            <v>x</v>
          </cell>
          <cell r="P341" t="str">
            <v>x</v>
          </cell>
          <cell r="Q341" t="str">
            <v>x</v>
          </cell>
          <cell r="R341" t="str">
            <v>x</v>
          </cell>
          <cell r="S341" t="str">
            <v>x</v>
          </cell>
          <cell r="T341" t="str">
            <v>x</v>
          </cell>
          <cell r="V341" t="str">
            <v>x</v>
          </cell>
          <cell r="W341" t="str">
            <v>x</v>
          </cell>
          <cell r="X341" t="str">
            <v>x</v>
          </cell>
          <cell r="Y341" t="str">
            <v>x</v>
          </cell>
          <cell r="Z341" t="str">
            <v>x</v>
          </cell>
          <cell r="AA341" t="str">
            <v>x</v>
          </cell>
          <cell r="AC341" t="str">
            <v>x</v>
          </cell>
          <cell r="AD341" t="str">
            <v>x</v>
          </cell>
          <cell r="AE341" t="str">
            <v>x</v>
          </cell>
          <cell r="AF341" t="str">
            <v>x</v>
          </cell>
          <cell r="AG341" t="str">
            <v>x</v>
          </cell>
          <cell r="AH341" t="str">
            <v>x</v>
          </cell>
          <cell r="AJ341" t="str">
            <v>x</v>
          </cell>
          <cell r="AK341" t="str">
            <v>x</v>
          </cell>
          <cell r="AL341" t="str">
            <v>x</v>
          </cell>
          <cell r="AM341">
            <v>25</v>
          </cell>
          <cell r="AN341">
            <v>0</v>
          </cell>
        </row>
        <row r="342">
          <cell r="C342">
            <v>51235</v>
          </cell>
          <cell r="D342">
            <v>44967</v>
          </cell>
          <cell r="E342">
            <v>45017</v>
          </cell>
          <cell r="F342" t="str">
            <v>Tổ chi tiết</v>
          </cell>
          <cell r="H342" t="str">
            <v>LT</v>
          </cell>
          <cell r="J342" t="str">
            <v>x</v>
          </cell>
          <cell r="K342" t="str">
            <v>x</v>
          </cell>
          <cell r="L342" t="str">
            <v>x</v>
          </cell>
          <cell r="M342" t="str">
            <v>x</v>
          </cell>
          <cell r="O342" t="str">
            <v>x</v>
          </cell>
          <cell r="P342" t="str">
            <v>x</v>
          </cell>
          <cell r="Q342" t="str">
            <v>x</v>
          </cell>
          <cell r="R342" t="str">
            <v>x</v>
          </cell>
          <cell r="S342" t="str">
            <v>x</v>
          </cell>
          <cell r="T342" t="str">
            <v>x</v>
          </cell>
          <cell r="V342" t="str">
            <v>x</v>
          </cell>
          <cell r="W342" t="str">
            <v>x</v>
          </cell>
          <cell r="X342" t="str">
            <v>x</v>
          </cell>
          <cell r="Y342" t="str">
            <v>x</v>
          </cell>
          <cell r="Z342" t="str">
            <v>x/2</v>
          </cell>
          <cell r="AA342" t="str">
            <v>x</v>
          </cell>
          <cell r="AC342" t="str">
            <v>x</v>
          </cell>
          <cell r="AD342" t="str">
            <v>x</v>
          </cell>
          <cell r="AE342" t="str">
            <v>x</v>
          </cell>
          <cell r="AF342" t="str">
            <v>x</v>
          </cell>
          <cell r="AG342" t="str">
            <v>x</v>
          </cell>
          <cell r="AH342" t="str">
            <v>x</v>
          </cell>
          <cell r="AJ342" t="str">
            <v>x</v>
          </cell>
          <cell r="AK342" t="str">
            <v>x</v>
          </cell>
          <cell r="AL342" t="str">
            <v>x</v>
          </cell>
          <cell r="AM342">
            <v>24.5</v>
          </cell>
          <cell r="AN342">
            <v>0</v>
          </cell>
        </row>
        <row r="343">
          <cell r="C343">
            <v>51237</v>
          </cell>
          <cell r="D343">
            <v>44967</v>
          </cell>
          <cell r="E343">
            <v>45017</v>
          </cell>
          <cell r="F343" t="str">
            <v>Tổ chi tiết</v>
          </cell>
          <cell r="H343" t="str">
            <v>LT</v>
          </cell>
          <cell r="J343" t="str">
            <v>x</v>
          </cell>
          <cell r="K343" t="str">
            <v>x</v>
          </cell>
          <cell r="L343" t="str">
            <v>x</v>
          </cell>
          <cell r="M343" t="str">
            <v>x</v>
          </cell>
          <cell r="O343" t="str">
            <v>x</v>
          </cell>
          <cell r="P343" t="str">
            <v>x</v>
          </cell>
          <cell r="Q343" t="str">
            <v>x</v>
          </cell>
          <cell r="R343" t="str">
            <v>x</v>
          </cell>
          <cell r="S343" t="str">
            <v>x</v>
          </cell>
          <cell r="T343" t="str">
            <v>x</v>
          </cell>
          <cell r="V343" t="str">
            <v>x</v>
          </cell>
          <cell r="W343" t="str">
            <v>x</v>
          </cell>
          <cell r="X343" t="str">
            <v>x</v>
          </cell>
          <cell r="Y343" t="str">
            <v>x</v>
          </cell>
          <cell r="Z343" t="str">
            <v>x</v>
          </cell>
          <cell r="AA343" t="str">
            <v>x</v>
          </cell>
          <cell r="AC343" t="str">
            <v>x</v>
          </cell>
          <cell r="AD343" t="str">
            <v>x</v>
          </cell>
          <cell r="AE343" t="str">
            <v>x</v>
          </cell>
          <cell r="AF343" t="str">
            <v>x</v>
          </cell>
          <cell r="AG343" t="str">
            <v>x</v>
          </cell>
          <cell r="AH343" t="str">
            <v>x</v>
          </cell>
          <cell r="AJ343" t="str">
            <v>x</v>
          </cell>
          <cell r="AK343" t="str">
            <v>x</v>
          </cell>
          <cell r="AL343" t="str">
            <v>x</v>
          </cell>
          <cell r="AM343">
            <v>25</v>
          </cell>
          <cell r="AN343">
            <v>0</v>
          </cell>
        </row>
        <row r="344">
          <cell r="C344">
            <v>51238</v>
          </cell>
          <cell r="D344">
            <v>44967</v>
          </cell>
          <cell r="E344">
            <v>45017</v>
          </cell>
          <cell r="F344" t="str">
            <v>Tổ chi tiết</v>
          </cell>
          <cell r="H344" t="str">
            <v>LT</v>
          </cell>
          <cell r="J344" t="str">
            <v>x</v>
          </cell>
          <cell r="K344" t="str">
            <v>x</v>
          </cell>
          <cell r="L344" t="str">
            <v>x</v>
          </cell>
          <cell r="M344" t="str">
            <v>x</v>
          </cell>
          <cell r="O344" t="str">
            <v>x</v>
          </cell>
          <cell r="P344" t="str">
            <v>x</v>
          </cell>
          <cell r="Q344" t="str">
            <v>x</v>
          </cell>
          <cell r="R344" t="str">
            <v>x</v>
          </cell>
          <cell r="S344" t="str">
            <v>x</v>
          </cell>
          <cell r="T344" t="str">
            <v>x</v>
          </cell>
          <cell r="V344" t="str">
            <v>x</v>
          </cell>
          <cell r="W344" t="str">
            <v>x</v>
          </cell>
          <cell r="X344" t="str">
            <v>x</v>
          </cell>
          <cell r="Y344" t="str">
            <v>x</v>
          </cell>
          <cell r="Z344" t="str">
            <v>x</v>
          </cell>
          <cell r="AA344" t="str">
            <v>x</v>
          </cell>
          <cell r="AC344" t="str">
            <v>x</v>
          </cell>
          <cell r="AD344" t="str">
            <v>x</v>
          </cell>
          <cell r="AE344" t="str">
            <v>x</v>
          </cell>
          <cell r="AF344" t="str">
            <v>x</v>
          </cell>
          <cell r="AG344" t="str">
            <v>x</v>
          </cell>
          <cell r="AH344" t="str">
            <v>x</v>
          </cell>
          <cell r="AJ344" t="str">
            <v>x</v>
          </cell>
          <cell r="AK344" t="str">
            <v>x</v>
          </cell>
          <cell r="AL344" t="str">
            <v>x</v>
          </cell>
          <cell r="AM344">
            <v>25</v>
          </cell>
          <cell r="AN344">
            <v>0</v>
          </cell>
        </row>
        <row r="345">
          <cell r="C345">
            <v>51239</v>
          </cell>
          <cell r="D345">
            <v>44967</v>
          </cell>
          <cell r="E345">
            <v>45017</v>
          </cell>
          <cell r="F345" t="str">
            <v>Tổ 15</v>
          </cell>
          <cell r="H345" t="str">
            <v>LT</v>
          </cell>
          <cell r="J345" t="str">
            <v>x</v>
          </cell>
          <cell r="K345" t="str">
            <v>x</v>
          </cell>
          <cell r="L345" t="str">
            <v>x</v>
          </cell>
          <cell r="M345" t="str">
            <v>x</v>
          </cell>
          <cell r="O345" t="str">
            <v>x</v>
          </cell>
          <cell r="P345" t="str">
            <v>x</v>
          </cell>
          <cell r="Q345" t="str">
            <v>x</v>
          </cell>
          <cell r="R345" t="str">
            <v>x</v>
          </cell>
          <cell r="S345" t="str">
            <v>x</v>
          </cell>
          <cell r="T345" t="str">
            <v>x</v>
          </cell>
          <cell r="V345" t="str">
            <v>x</v>
          </cell>
          <cell r="W345" t="str">
            <v>x</v>
          </cell>
          <cell r="X345" t="str">
            <v>x</v>
          </cell>
          <cell r="Y345" t="str">
            <v>x</v>
          </cell>
          <cell r="Z345" t="str">
            <v>x</v>
          </cell>
          <cell r="AA345" t="str">
            <v>x</v>
          </cell>
          <cell r="AC345" t="str">
            <v>x</v>
          </cell>
          <cell r="AD345" t="str">
            <v>x</v>
          </cell>
          <cell r="AE345" t="str">
            <v>x</v>
          </cell>
          <cell r="AF345" t="str">
            <v>x</v>
          </cell>
          <cell r="AG345" t="str">
            <v>x</v>
          </cell>
          <cell r="AH345" t="str">
            <v>x</v>
          </cell>
          <cell r="AJ345" t="str">
            <v>x</v>
          </cell>
          <cell r="AK345" t="str">
            <v>x</v>
          </cell>
          <cell r="AL345" t="str">
            <v>x</v>
          </cell>
          <cell r="AM345">
            <v>25</v>
          </cell>
          <cell r="AN345">
            <v>0</v>
          </cell>
        </row>
        <row r="346">
          <cell r="C346">
            <v>51241</v>
          </cell>
          <cell r="D346">
            <v>44968</v>
          </cell>
          <cell r="E346">
            <v>45017</v>
          </cell>
          <cell r="F346" t="str">
            <v>Tổ sơ mi 3</v>
          </cell>
          <cell r="G346" t="str">
            <v>Mang thai</v>
          </cell>
          <cell r="H346" t="str">
            <v>LT</v>
          </cell>
          <cell r="J346" t="str">
            <v>Ô</v>
          </cell>
          <cell r="K346" t="str">
            <v>x</v>
          </cell>
          <cell r="L346" t="str">
            <v>x</v>
          </cell>
          <cell r="M346" t="str">
            <v>x</v>
          </cell>
          <cell r="O346" t="str">
            <v>x</v>
          </cell>
          <cell r="P346" t="str">
            <v>x</v>
          </cell>
          <cell r="Q346" t="str">
            <v>x</v>
          </cell>
          <cell r="R346" t="str">
            <v>x</v>
          </cell>
          <cell r="S346" t="str">
            <v>x</v>
          </cell>
          <cell r="T346" t="str">
            <v>x</v>
          </cell>
          <cell r="V346" t="str">
            <v>x</v>
          </cell>
          <cell r="W346" t="str">
            <v>x</v>
          </cell>
          <cell r="X346" t="str">
            <v>R</v>
          </cell>
          <cell r="Y346" t="str">
            <v>x</v>
          </cell>
          <cell r="Z346" t="str">
            <v>x</v>
          </cell>
          <cell r="AA346" t="str">
            <v>x</v>
          </cell>
          <cell r="AC346" t="str">
            <v>x</v>
          </cell>
          <cell r="AD346" t="str">
            <v>x</v>
          </cell>
          <cell r="AE346" t="str">
            <v>x</v>
          </cell>
          <cell r="AF346" t="str">
            <v>x</v>
          </cell>
          <cell r="AG346" t="str">
            <v>x</v>
          </cell>
          <cell r="AH346" t="str">
            <v>x</v>
          </cell>
          <cell r="AJ346" t="str">
            <v>R</v>
          </cell>
          <cell r="AK346" t="str">
            <v>x</v>
          </cell>
          <cell r="AL346" t="str">
            <v>R</v>
          </cell>
          <cell r="AM346">
            <v>21</v>
          </cell>
          <cell r="AN346">
            <v>0</v>
          </cell>
        </row>
        <row r="347">
          <cell r="C347">
            <v>51244</v>
          </cell>
          <cell r="D347">
            <v>44968</v>
          </cell>
          <cell r="E347">
            <v>45017</v>
          </cell>
          <cell r="F347" t="str">
            <v>Tổ sơ mi 4</v>
          </cell>
          <cell r="H347" t="str">
            <v>LT</v>
          </cell>
          <cell r="J347" t="str">
            <v>x</v>
          </cell>
          <cell r="K347" t="str">
            <v>x</v>
          </cell>
          <cell r="L347" t="str">
            <v>x</v>
          </cell>
          <cell r="M347" t="str">
            <v>x</v>
          </cell>
          <cell r="O347" t="str">
            <v>x</v>
          </cell>
          <cell r="P347" t="str">
            <v>x</v>
          </cell>
          <cell r="Q347" t="str">
            <v>x</v>
          </cell>
          <cell r="R347" t="str">
            <v>x</v>
          </cell>
          <cell r="S347" t="str">
            <v>x</v>
          </cell>
          <cell r="T347" t="str">
            <v>x</v>
          </cell>
          <cell r="V347" t="str">
            <v>x</v>
          </cell>
          <cell r="W347" t="str">
            <v>x</v>
          </cell>
          <cell r="X347" t="str">
            <v>F</v>
          </cell>
          <cell r="Y347" t="str">
            <v>x</v>
          </cell>
          <cell r="Z347" t="str">
            <v>x</v>
          </cell>
          <cell r="AA347" t="str">
            <v>x</v>
          </cell>
          <cell r="AC347" t="str">
            <v>x</v>
          </cell>
          <cell r="AD347" t="str">
            <v>x</v>
          </cell>
          <cell r="AE347" t="str">
            <v>x</v>
          </cell>
          <cell r="AF347" t="str">
            <v>x</v>
          </cell>
          <cell r="AG347" t="str">
            <v>x</v>
          </cell>
          <cell r="AH347" t="str">
            <v>x</v>
          </cell>
          <cell r="AJ347" t="str">
            <v>x</v>
          </cell>
          <cell r="AK347" t="str">
            <v>x/2</v>
          </cell>
          <cell r="AL347" t="str">
            <v>F</v>
          </cell>
          <cell r="AM347">
            <v>22.5</v>
          </cell>
          <cell r="AN347">
            <v>0</v>
          </cell>
        </row>
        <row r="348">
          <cell r="C348">
            <v>51250</v>
          </cell>
          <cell r="D348">
            <v>44971</v>
          </cell>
          <cell r="E348">
            <v>45017</v>
          </cell>
          <cell r="F348" t="str">
            <v>Tổ sơ mi 2</v>
          </cell>
          <cell r="H348" t="str">
            <v>LT</v>
          </cell>
          <cell r="J348" t="str">
            <v>x</v>
          </cell>
          <cell r="K348" t="str">
            <v>x</v>
          </cell>
          <cell r="L348" t="str">
            <v>x</v>
          </cell>
          <cell r="M348" t="str">
            <v>x</v>
          </cell>
          <cell r="O348" t="str">
            <v>x</v>
          </cell>
          <cell r="P348" t="str">
            <v>x</v>
          </cell>
          <cell r="Q348" t="str">
            <v>x</v>
          </cell>
          <cell r="R348" t="str">
            <v>x</v>
          </cell>
          <cell r="S348" t="str">
            <v>x</v>
          </cell>
          <cell r="T348" t="str">
            <v>x</v>
          </cell>
          <cell r="V348" t="str">
            <v>x</v>
          </cell>
          <cell r="W348" t="str">
            <v>x</v>
          </cell>
          <cell r="X348" t="str">
            <v>x</v>
          </cell>
          <cell r="Y348" t="str">
            <v>x</v>
          </cell>
          <cell r="Z348" t="str">
            <v>x</v>
          </cell>
          <cell r="AA348" t="str">
            <v>x</v>
          </cell>
          <cell r="AC348" t="str">
            <v>x</v>
          </cell>
          <cell r="AD348" t="str">
            <v>x</v>
          </cell>
          <cell r="AE348" t="str">
            <v>x</v>
          </cell>
          <cell r="AF348" t="str">
            <v>x</v>
          </cell>
          <cell r="AG348" t="str">
            <v>x</v>
          </cell>
          <cell r="AH348" t="str">
            <v>x</v>
          </cell>
          <cell r="AJ348" t="str">
            <v>x</v>
          </cell>
          <cell r="AK348" t="str">
            <v>x</v>
          </cell>
          <cell r="AL348" t="str">
            <v>x</v>
          </cell>
          <cell r="AM348">
            <v>25</v>
          </cell>
          <cell r="AN348">
            <v>0</v>
          </cell>
        </row>
        <row r="349">
          <cell r="C349">
            <v>51251</v>
          </cell>
          <cell r="D349">
            <v>44972</v>
          </cell>
          <cell r="E349">
            <v>45017</v>
          </cell>
          <cell r="F349" t="str">
            <v xml:space="preserve">Tổ 6 </v>
          </cell>
          <cell r="H349" t="str">
            <v>LT</v>
          </cell>
          <cell r="J349" t="str">
            <v>x</v>
          </cell>
          <cell r="K349" t="str">
            <v>x</v>
          </cell>
          <cell r="L349" t="str">
            <v>x</v>
          </cell>
          <cell r="M349" t="str">
            <v>x</v>
          </cell>
          <cell r="O349" t="str">
            <v>x</v>
          </cell>
          <cell r="P349" t="str">
            <v>x</v>
          </cell>
          <cell r="Q349" t="str">
            <v>x</v>
          </cell>
          <cell r="R349" t="str">
            <v>x</v>
          </cell>
          <cell r="S349" t="str">
            <v>x</v>
          </cell>
          <cell r="T349" t="str">
            <v>x</v>
          </cell>
          <cell r="V349" t="str">
            <v>x</v>
          </cell>
          <cell r="W349" t="str">
            <v>x</v>
          </cell>
          <cell r="X349" t="str">
            <v>x</v>
          </cell>
          <cell r="Y349" t="str">
            <v>x</v>
          </cell>
          <cell r="Z349" t="str">
            <v>x</v>
          </cell>
          <cell r="AA349" t="str">
            <v>x</v>
          </cell>
          <cell r="AC349" t="str">
            <v>x</v>
          </cell>
          <cell r="AD349" t="str">
            <v>x</v>
          </cell>
          <cell r="AE349" t="str">
            <v>x</v>
          </cell>
          <cell r="AF349" t="str">
            <v>x</v>
          </cell>
          <cell r="AG349" t="str">
            <v>x</v>
          </cell>
          <cell r="AH349" t="str">
            <v>x</v>
          </cell>
          <cell r="AI349" t="str">
            <v>x</v>
          </cell>
          <cell r="AJ349" t="str">
            <v>x</v>
          </cell>
          <cell r="AK349" t="str">
            <v>x</v>
          </cell>
          <cell r="AL349" t="str">
            <v>x</v>
          </cell>
          <cell r="AM349">
            <v>25</v>
          </cell>
          <cell r="AN349">
            <v>1</v>
          </cell>
        </row>
        <row r="350">
          <cell r="C350">
            <v>51253</v>
          </cell>
          <cell r="D350">
            <v>44972</v>
          </cell>
          <cell r="E350">
            <v>45017</v>
          </cell>
          <cell r="F350" t="str">
            <v>Tổ sơ mi 1</v>
          </cell>
          <cell r="H350" t="str">
            <v>LT</v>
          </cell>
          <cell r="J350" t="str">
            <v>x</v>
          </cell>
          <cell r="K350" t="str">
            <v>x</v>
          </cell>
          <cell r="L350" t="str">
            <v>x</v>
          </cell>
          <cell r="M350" t="str">
            <v>x</v>
          </cell>
          <cell r="O350" t="str">
            <v>x</v>
          </cell>
          <cell r="P350" t="str">
            <v>x</v>
          </cell>
          <cell r="Q350" t="str">
            <v>x</v>
          </cell>
          <cell r="R350" t="str">
            <v>x</v>
          </cell>
          <cell r="S350" t="str">
            <v>x</v>
          </cell>
          <cell r="T350" t="str">
            <v>x</v>
          </cell>
          <cell r="V350" t="str">
            <v>x</v>
          </cell>
          <cell r="W350" t="str">
            <v>x</v>
          </cell>
          <cell r="X350" t="str">
            <v>x</v>
          </cell>
          <cell r="Y350" t="str">
            <v>x</v>
          </cell>
          <cell r="Z350" t="str">
            <v>x</v>
          </cell>
          <cell r="AA350" t="str">
            <v>x</v>
          </cell>
          <cell r="AC350" t="str">
            <v>x</v>
          </cell>
          <cell r="AD350" t="str">
            <v>x</v>
          </cell>
          <cell r="AE350" t="str">
            <v>x</v>
          </cell>
          <cell r="AF350" t="str">
            <v>x</v>
          </cell>
          <cell r="AG350" t="str">
            <v>x</v>
          </cell>
          <cell r="AH350" t="str">
            <v>x</v>
          </cell>
          <cell r="AJ350" t="str">
            <v>x</v>
          </cell>
          <cell r="AK350" t="str">
            <v>x</v>
          </cell>
          <cell r="AL350" t="str">
            <v>x</v>
          </cell>
          <cell r="AM350">
            <v>25</v>
          </cell>
          <cell r="AN350">
            <v>0</v>
          </cell>
        </row>
        <row r="351">
          <cell r="C351">
            <v>51254</v>
          </cell>
          <cell r="D351">
            <v>44972</v>
          </cell>
          <cell r="E351">
            <v>45017</v>
          </cell>
          <cell r="F351" t="str">
            <v>Tổ sơ mi 1</v>
          </cell>
          <cell r="H351" t="str">
            <v>LT</v>
          </cell>
          <cell r="J351" t="str">
            <v>x</v>
          </cell>
          <cell r="K351" t="str">
            <v>x</v>
          </cell>
          <cell r="L351" t="str">
            <v>x</v>
          </cell>
          <cell r="M351" t="str">
            <v>x</v>
          </cell>
          <cell r="O351" t="str">
            <v>x</v>
          </cell>
          <cell r="P351" t="str">
            <v>x</v>
          </cell>
          <cell r="Q351" t="str">
            <v>x</v>
          </cell>
          <cell r="R351" t="str">
            <v>x</v>
          </cell>
          <cell r="S351" t="str">
            <v>x</v>
          </cell>
          <cell r="T351" t="str">
            <v>x</v>
          </cell>
          <cell r="V351" t="str">
            <v>x</v>
          </cell>
          <cell r="W351" t="str">
            <v>x</v>
          </cell>
          <cell r="X351" t="str">
            <v>x</v>
          </cell>
          <cell r="Y351" t="str">
            <v>x</v>
          </cell>
          <cell r="Z351" t="str">
            <v>x</v>
          </cell>
          <cell r="AA351" t="str">
            <v>x</v>
          </cell>
          <cell r="AC351" t="str">
            <v>x</v>
          </cell>
          <cell r="AD351" t="str">
            <v>x</v>
          </cell>
          <cell r="AE351" t="str">
            <v>x</v>
          </cell>
          <cell r="AF351" t="str">
            <v>x</v>
          </cell>
          <cell r="AG351" t="str">
            <v>x</v>
          </cell>
          <cell r="AH351" t="str">
            <v>x</v>
          </cell>
          <cell r="AJ351" t="str">
            <v>x</v>
          </cell>
          <cell r="AK351" t="str">
            <v>x</v>
          </cell>
          <cell r="AL351" t="str">
            <v>x</v>
          </cell>
          <cell r="AM351">
            <v>25</v>
          </cell>
          <cell r="AN351">
            <v>0</v>
          </cell>
        </row>
        <row r="352">
          <cell r="C352">
            <v>51255</v>
          </cell>
          <cell r="D352">
            <v>44972</v>
          </cell>
          <cell r="E352">
            <v>45017</v>
          </cell>
          <cell r="F352" t="str">
            <v>H.thiện</v>
          </cell>
          <cell r="H352" t="str">
            <v>LT</v>
          </cell>
          <cell r="J352" t="str">
            <v>x</v>
          </cell>
          <cell r="K352" t="str">
            <v>x</v>
          </cell>
          <cell r="L352" t="str">
            <v>x</v>
          </cell>
          <cell r="M352" t="str">
            <v>x</v>
          </cell>
          <cell r="O352" t="str">
            <v>x</v>
          </cell>
          <cell r="P352" t="str">
            <v>x</v>
          </cell>
          <cell r="Q352" t="str">
            <v>x</v>
          </cell>
          <cell r="R352" t="str">
            <v>x</v>
          </cell>
          <cell r="S352" t="str">
            <v>x</v>
          </cell>
          <cell r="T352" t="str">
            <v>x</v>
          </cell>
          <cell r="V352" t="str">
            <v>x</v>
          </cell>
          <cell r="W352" t="str">
            <v>x</v>
          </cell>
          <cell r="X352" t="str">
            <v>x</v>
          </cell>
          <cell r="Y352" t="str">
            <v>x</v>
          </cell>
          <cell r="Z352" t="str">
            <v>x</v>
          </cell>
          <cell r="AA352" t="str">
            <v>x</v>
          </cell>
          <cell r="AC352" t="str">
            <v>x</v>
          </cell>
          <cell r="AD352" t="str">
            <v>x</v>
          </cell>
          <cell r="AE352" t="str">
            <v>x</v>
          </cell>
          <cell r="AF352" t="str">
            <v>x</v>
          </cell>
          <cell r="AG352" t="str">
            <v>x</v>
          </cell>
          <cell r="AH352" t="str">
            <v>x</v>
          </cell>
          <cell r="AJ352" t="str">
            <v>x</v>
          </cell>
          <cell r="AK352" t="str">
            <v>x</v>
          </cell>
          <cell r="AL352" t="str">
            <v>x</v>
          </cell>
          <cell r="AM352">
            <v>25</v>
          </cell>
          <cell r="AN352">
            <v>0</v>
          </cell>
        </row>
        <row r="353">
          <cell r="C353">
            <v>51258</v>
          </cell>
          <cell r="D353">
            <v>44973</v>
          </cell>
          <cell r="E353">
            <v>45017</v>
          </cell>
          <cell r="F353" t="str">
            <v>Tổ sơ mi 3</v>
          </cell>
          <cell r="H353" t="str">
            <v>LT</v>
          </cell>
          <cell r="J353" t="str">
            <v>x</v>
          </cell>
          <cell r="K353" t="str">
            <v>x</v>
          </cell>
          <cell r="L353" t="str">
            <v>x</v>
          </cell>
          <cell r="M353" t="str">
            <v>x</v>
          </cell>
          <cell r="O353" t="str">
            <v>x</v>
          </cell>
          <cell r="P353" t="str">
            <v>x</v>
          </cell>
          <cell r="Q353" t="str">
            <v>x</v>
          </cell>
          <cell r="R353" t="str">
            <v>x</v>
          </cell>
          <cell r="S353" t="str">
            <v>x</v>
          </cell>
          <cell r="T353" t="str">
            <v>x</v>
          </cell>
          <cell r="V353" t="str">
            <v>x</v>
          </cell>
          <cell r="W353" t="str">
            <v>x</v>
          </cell>
          <cell r="X353" t="str">
            <v>x</v>
          </cell>
          <cell r="Y353" t="str">
            <v>x</v>
          </cell>
          <cell r="Z353" t="str">
            <v>x</v>
          </cell>
          <cell r="AA353" t="str">
            <v>x</v>
          </cell>
          <cell r="AC353" t="str">
            <v>x</v>
          </cell>
          <cell r="AD353" t="str">
            <v>x</v>
          </cell>
          <cell r="AE353" t="str">
            <v>x</v>
          </cell>
          <cell r="AF353" t="str">
            <v>x</v>
          </cell>
          <cell r="AG353" t="str">
            <v>x</v>
          </cell>
          <cell r="AH353" t="str">
            <v>x</v>
          </cell>
          <cell r="AJ353" t="str">
            <v>x</v>
          </cell>
          <cell r="AK353" t="str">
            <v>x</v>
          </cell>
          <cell r="AL353" t="str">
            <v>x</v>
          </cell>
          <cell r="AM353">
            <v>25</v>
          </cell>
          <cell r="AN353">
            <v>0</v>
          </cell>
        </row>
        <row r="354">
          <cell r="C354">
            <v>51259</v>
          </cell>
          <cell r="D354">
            <v>44971</v>
          </cell>
          <cell r="E354">
            <v>45017</v>
          </cell>
          <cell r="F354" t="str">
            <v>Kiểm hoá</v>
          </cell>
          <cell r="H354" t="str">
            <v>LT</v>
          </cell>
          <cell r="J354" t="str">
            <v>x</v>
          </cell>
          <cell r="K354" t="str">
            <v>x/2</v>
          </cell>
          <cell r="L354" t="str">
            <v>Ô</v>
          </cell>
          <cell r="M354" t="str">
            <v>Ô</v>
          </cell>
          <cell r="O354" t="str">
            <v>x</v>
          </cell>
          <cell r="P354" t="str">
            <v>x</v>
          </cell>
          <cell r="Q354" t="str">
            <v>x/2</v>
          </cell>
          <cell r="R354" t="str">
            <v>x</v>
          </cell>
          <cell r="S354" t="str">
            <v>x</v>
          </cell>
          <cell r="T354" t="str">
            <v>x</v>
          </cell>
          <cell r="V354" t="str">
            <v>x</v>
          </cell>
          <cell r="W354" t="str">
            <v>x</v>
          </cell>
          <cell r="X354" t="str">
            <v>x</v>
          </cell>
          <cell r="Y354" t="str">
            <v>x</v>
          </cell>
          <cell r="Z354" t="str">
            <v>x</v>
          </cell>
          <cell r="AA354" t="str">
            <v>x</v>
          </cell>
          <cell r="AC354" t="str">
            <v>x</v>
          </cell>
          <cell r="AD354" t="str">
            <v>x</v>
          </cell>
          <cell r="AE354" t="str">
            <v>x</v>
          </cell>
          <cell r="AF354" t="str">
            <v>x</v>
          </cell>
          <cell r="AG354" t="str">
            <v>x</v>
          </cell>
          <cell r="AH354" t="str">
            <v>x</v>
          </cell>
          <cell r="AJ354" t="str">
            <v>x</v>
          </cell>
          <cell r="AK354" t="str">
            <v>x</v>
          </cell>
          <cell r="AL354" t="str">
            <v>x</v>
          </cell>
          <cell r="AM354">
            <v>22</v>
          </cell>
          <cell r="AN354">
            <v>0</v>
          </cell>
        </row>
        <row r="355">
          <cell r="C355">
            <v>51263</v>
          </cell>
          <cell r="D355">
            <v>44977</v>
          </cell>
          <cell r="E355">
            <v>45017</v>
          </cell>
          <cell r="F355" t="str">
            <v>Cắt</v>
          </cell>
          <cell r="H355" t="str">
            <v>LT</v>
          </cell>
          <cell r="J355" t="str">
            <v>x</v>
          </cell>
          <cell r="K355" t="str">
            <v>x</v>
          </cell>
          <cell r="L355" t="str">
            <v>x</v>
          </cell>
          <cell r="M355" t="str">
            <v>x</v>
          </cell>
          <cell r="O355" t="str">
            <v>x</v>
          </cell>
          <cell r="P355" t="str">
            <v>x</v>
          </cell>
          <cell r="Q355" t="str">
            <v>x</v>
          </cell>
          <cell r="R355" t="str">
            <v>x</v>
          </cell>
          <cell r="S355" t="str">
            <v>x</v>
          </cell>
          <cell r="T355" t="str">
            <v>x</v>
          </cell>
          <cell r="U355" t="str">
            <v>x/2</v>
          </cell>
          <cell r="V355" t="str">
            <v>x</v>
          </cell>
          <cell r="W355" t="str">
            <v>x</v>
          </cell>
          <cell r="X355" t="str">
            <v>x</v>
          </cell>
          <cell r="Y355" t="str">
            <v>x</v>
          </cell>
          <cell r="Z355" t="str">
            <v>x</v>
          </cell>
          <cell r="AA355" t="str">
            <v>x</v>
          </cell>
          <cell r="AC355" t="str">
            <v>x</v>
          </cell>
          <cell r="AD355" t="str">
            <v>x</v>
          </cell>
          <cell r="AE355" t="str">
            <v>x</v>
          </cell>
          <cell r="AF355" t="str">
            <v>x</v>
          </cell>
          <cell r="AG355" t="str">
            <v>x</v>
          </cell>
          <cell r="AH355" t="str">
            <v>x</v>
          </cell>
          <cell r="AJ355" t="str">
            <v>x</v>
          </cell>
          <cell r="AK355" t="str">
            <v>x</v>
          </cell>
          <cell r="AL355" t="str">
            <v>x</v>
          </cell>
          <cell r="AM355">
            <v>25</v>
          </cell>
          <cell r="AN355">
            <v>0.5</v>
          </cell>
        </row>
        <row r="356">
          <cell r="C356">
            <v>51268</v>
          </cell>
          <cell r="D356">
            <v>44979</v>
          </cell>
          <cell r="E356">
            <v>45017</v>
          </cell>
          <cell r="F356" t="str">
            <v>Tổ chi tiết</v>
          </cell>
          <cell r="H356" t="str">
            <v>LT</v>
          </cell>
          <cell r="J356" t="str">
            <v>x</v>
          </cell>
          <cell r="K356" t="str">
            <v>x</v>
          </cell>
          <cell r="L356" t="str">
            <v>x</v>
          </cell>
          <cell r="M356" t="str">
            <v>x</v>
          </cell>
          <cell r="O356" t="str">
            <v>Ro</v>
          </cell>
          <cell r="P356" t="str">
            <v>Ro</v>
          </cell>
          <cell r="Q356" t="str">
            <v>Ro</v>
          </cell>
          <cell r="R356" t="str">
            <v>Ro</v>
          </cell>
          <cell r="S356" t="str">
            <v>Ro</v>
          </cell>
          <cell r="T356" t="str">
            <v>Ro</v>
          </cell>
          <cell r="V356" t="str">
            <v>x</v>
          </cell>
          <cell r="W356" t="str">
            <v>x</v>
          </cell>
          <cell r="X356" t="str">
            <v>x</v>
          </cell>
          <cell r="Y356" t="str">
            <v>x</v>
          </cell>
          <cell r="Z356" t="str">
            <v>x</v>
          </cell>
          <cell r="AA356" t="str">
            <v>x</v>
          </cell>
          <cell r="AC356" t="str">
            <v>x</v>
          </cell>
          <cell r="AD356" t="str">
            <v>x</v>
          </cell>
          <cell r="AE356" t="str">
            <v>x</v>
          </cell>
          <cell r="AF356" t="str">
            <v>x</v>
          </cell>
          <cell r="AG356" t="str">
            <v>x</v>
          </cell>
          <cell r="AH356" t="str">
            <v>x</v>
          </cell>
          <cell r="AJ356" t="str">
            <v>x</v>
          </cell>
          <cell r="AK356" t="str">
            <v>x</v>
          </cell>
          <cell r="AL356" t="str">
            <v>x</v>
          </cell>
          <cell r="AM356">
            <v>19</v>
          </cell>
          <cell r="AN356">
            <v>0</v>
          </cell>
        </row>
        <row r="357">
          <cell r="C357">
            <v>51342</v>
          </cell>
          <cell r="D357">
            <v>44986</v>
          </cell>
          <cell r="E357">
            <v>45017</v>
          </cell>
          <cell r="F357" t="str">
            <v>Tổ Sơ mi 1</v>
          </cell>
          <cell r="H357" t="str">
            <v>LT</v>
          </cell>
          <cell r="J357" t="str">
            <v>x</v>
          </cell>
          <cell r="K357" t="str">
            <v>x</v>
          </cell>
          <cell r="L357" t="str">
            <v>x</v>
          </cell>
          <cell r="M357" t="str">
            <v>x</v>
          </cell>
          <cell r="O357" t="str">
            <v>x</v>
          </cell>
          <cell r="P357" t="str">
            <v>x</v>
          </cell>
          <cell r="Q357" t="str">
            <v>x</v>
          </cell>
          <cell r="R357" t="str">
            <v>x</v>
          </cell>
          <cell r="S357" t="str">
            <v>x</v>
          </cell>
          <cell r="T357" t="str">
            <v>x</v>
          </cell>
          <cell r="V357" t="str">
            <v>x</v>
          </cell>
          <cell r="W357" t="str">
            <v>x</v>
          </cell>
          <cell r="X357" t="str">
            <v>x</v>
          </cell>
          <cell r="Y357" t="str">
            <v>x</v>
          </cell>
          <cell r="Z357" t="str">
            <v>x</v>
          </cell>
          <cell r="AA357" t="str">
            <v>x</v>
          </cell>
          <cell r="AC357" t="str">
            <v>x</v>
          </cell>
          <cell r="AD357" t="str">
            <v>x</v>
          </cell>
          <cell r="AE357" t="str">
            <v>x</v>
          </cell>
          <cell r="AF357" t="str">
            <v>x</v>
          </cell>
          <cell r="AG357" t="str">
            <v>x</v>
          </cell>
          <cell r="AH357" t="str">
            <v>x</v>
          </cell>
          <cell r="AJ357" t="str">
            <v>x</v>
          </cell>
          <cell r="AK357" t="str">
            <v>F</v>
          </cell>
          <cell r="AL357" t="str">
            <v>x</v>
          </cell>
          <cell r="AM357">
            <v>24</v>
          </cell>
          <cell r="AN357">
            <v>0</v>
          </cell>
        </row>
        <row r="358">
          <cell r="C358">
            <v>51337</v>
          </cell>
          <cell r="D358">
            <v>45017</v>
          </cell>
          <cell r="E358">
            <v>45047</v>
          </cell>
          <cell r="F358" t="str">
            <v>In</v>
          </cell>
          <cell r="H358" t="str">
            <v>LT</v>
          </cell>
          <cell r="J358" t="str">
            <v>x</v>
          </cell>
          <cell r="K358" t="str">
            <v>x</v>
          </cell>
          <cell r="L358" t="str">
            <v>x</v>
          </cell>
          <cell r="M358" t="str">
            <v>x</v>
          </cell>
          <cell r="O358" t="str">
            <v>x</v>
          </cell>
          <cell r="P358" t="str">
            <v>x</v>
          </cell>
          <cell r="Q358" t="str">
            <v>x</v>
          </cell>
          <cell r="R358" t="str">
            <v>x</v>
          </cell>
          <cell r="S358" t="str">
            <v>x</v>
          </cell>
          <cell r="T358" t="str">
            <v>x</v>
          </cell>
          <cell r="V358" t="str">
            <v>x</v>
          </cell>
          <cell r="W358" t="str">
            <v>x</v>
          </cell>
          <cell r="X358" t="str">
            <v>x</v>
          </cell>
          <cell r="Y358" t="str">
            <v>x</v>
          </cell>
          <cell r="Z358" t="str">
            <v>x</v>
          </cell>
          <cell r="AA358" t="str">
            <v>x</v>
          </cell>
          <cell r="AC358" t="str">
            <v>x</v>
          </cell>
          <cell r="AD358" t="str">
            <v>x</v>
          </cell>
          <cell r="AE358" t="str">
            <v>x</v>
          </cell>
          <cell r="AF358" t="str">
            <v>x</v>
          </cell>
          <cell r="AG358" t="str">
            <v>x</v>
          </cell>
          <cell r="AH358" t="str">
            <v>x</v>
          </cell>
          <cell r="AJ358" t="str">
            <v>x</v>
          </cell>
          <cell r="AK358" t="str">
            <v>F</v>
          </cell>
          <cell r="AL358" t="str">
            <v>x</v>
          </cell>
          <cell r="AM358">
            <v>24</v>
          </cell>
          <cell r="AN358">
            <v>0</v>
          </cell>
        </row>
        <row r="359">
          <cell r="C359">
            <v>51340</v>
          </cell>
          <cell r="D359">
            <v>45017</v>
          </cell>
          <cell r="E359">
            <v>45047</v>
          </cell>
          <cell r="F359" t="str">
            <v>Tổ sơ mi 4</v>
          </cell>
          <cell r="H359" t="str">
            <v>LT</v>
          </cell>
          <cell r="J359" t="str">
            <v>x</v>
          </cell>
          <cell r="K359" t="str">
            <v>x</v>
          </cell>
          <cell r="L359" t="str">
            <v>x</v>
          </cell>
          <cell r="M359" t="str">
            <v>x</v>
          </cell>
          <cell r="O359" t="str">
            <v>x</v>
          </cell>
          <cell r="P359" t="str">
            <v>x</v>
          </cell>
          <cell r="Q359" t="str">
            <v>x</v>
          </cell>
          <cell r="R359" t="str">
            <v>x</v>
          </cell>
          <cell r="S359" t="str">
            <v>x</v>
          </cell>
          <cell r="T359" t="str">
            <v>x</v>
          </cell>
          <cell r="V359" t="str">
            <v>x</v>
          </cell>
          <cell r="W359" t="str">
            <v>x</v>
          </cell>
          <cell r="X359" t="str">
            <v>x</v>
          </cell>
          <cell r="Y359" t="str">
            <v>x</v>
          </cell>
          <cell r="Z359" t="str">
            <v>x</v>
          </cell>
          <cell r="AA359" t="str">
            <v>x</v>
          </cell>
          <cell r="AC359" t="str">
            <v>x</v>
          </cell>
          <cell r="AD359" t="str">
            <v>x</v>
          </cell>
          <cell r="AE359" t="str">
            <v>x</v>
          </cell>
          <cell r="AF359" t="str">
            <v>x</v>
          </cell>
          <cell r="AG359" t="str">
            <v>x</v>
          </cell>
          <cell r="AH359" t="str">
            <v>x</v>
          </cell>
          <cell r="AJ359" t="str">
            <v>x</v>
          </cell>
          <cell r="AK359" t="str">
            <v>x</v>
          </cell>
          <cell r="AL359" t="str">
            <v>x</v>
          </cell>
          <cell r="AM359">
            <v>25</v>
          </cell>
          <cell r="AN359">
            <v>0</v>
          </cell>
        </row>
        <row r="360">
          <cell r="C360">
            <v>51341</v>
          </cell>
          <cell r="D360">
            <v>45017</v>
          </cell>
          <cell r="E360">
            <v>45047</v>
          </cell>
          <cell r="F360" t="str">
            <v>LÀ TP</v>
          </cell>
          <cell r="H360" t="str">
            <v>LT</v>
          </cell>
          <cell r="J360" t="str">
            <v>x</v>
          </cell>
          <cell r="K360" t="str">
            <v>x</v>
          </cell>
          <cell r="L360" t="str">
            <v>x</v>
          </cell>
          <cell r="M360" t="str">
            <v>x</v>
          </cell>
          <cell r="O360" t="str">
            <v>x</v>
          </cell>
          <cell r="P360" t="str">
            <v>x</v>
          </cell>
          <cell r="Q360" t="str">
            <v>x</v>
          </cell>
          <cell r="R360" t="str">
            <v>x</v>
          </cell>
          <cell r="S360" t="str">
            <v>x</v>
          </cell>
          <cell r="T360" t="str">
            <v>F</v>
          </cell>
          <cell r="V360" t="str">
            <v>x</v>
          </cell>
          <cell r="W360" t="str">
            <v>x</v>
          </cell>
          <cell r="X360" t="str">
            <v>x</v>
          </cell>
          <cell r="Y360" t="str">
            <v>x</v>
          </cell>
          <cell r="Z360" t="str">
            <v>x</v>
          </cell>
          <cell r="AA360" t="str">
            <v>x</v>
          </cell>
          <cell r="AC360" t="str">
            <v>Ro</v>
          </cell>
          <cell r="AD360" t="str">
            <v>x</v>
          </cell>
          <cell r="AE360" t="str">
            <v>x</v>
          </cell>
          <cell r="AF360" t="str">
            <v>x</v>
          </cell>
          <cell r="AG360" t="str">
            <v>Ro</v>
          </cell>
          <cell r="AH360" t="str">
            <v>Ro</v>
          </cell>
          <cell r="AJ360" t="str">
            <v>x</v>
          </cell>
          <cell r="AK360" t="str">
            <v>x</v>
          </cell>
          <cell r="AL360" t="str">
            <v>x</v>
          </cell>
          <cell r="AM360">
            <v>21</v>
          </cell>
          <cell r="AN360">
            <v>0</v>
          </cell>
        </row>
        <row r="361">
          <cell r="C361">
            <v>51233</v>
          </cell>
          <cell r="D361">
            <v>44965</v>
          </cell>
          <cell r="E361">
            <v>45047</v>
          </cell>
          <cell r="F361" t="str">
            <v>H.thiện</v>
          </cell>
          <cell r="H361" t="str">
            <v>LT</v>
          </cell>
          <cell r="J361" t="str">
            <v>x</v>
          </cell>
          <cell r="K361" t="str">
            <v>x</v>
          </cell>
          <cell r="L361" t="str">
            <v>x</v>
          </cell>
          <cell r="M361" t="str">
            <v>x</v>
          </cell>
          <cell r="O361" t="str">
            <v>x</v>
          </cell>
          <cell r="P361" t="str">
            <v>x</v>
          </cell>
          <cell r="Q361" t="str">
            <v>x</v>
          </cell>
          <cell r="R361" t="str">
            <v>x</v>
          </cell>
          <cell r="S361" t="str">
            <v>x</v>
          </cell>
          <cell r="T361" t="str">
            <v>x</v>
          </cell>
          <cell r="U361" t="str">
            <v>x/2</v>
          </cell>
          <cell r="V361" t="str">
            <v>x</v>
          </cell>
          <cell r="W361" t="str">
            <v>x</v>
          </cell>
          <cell r="X361" t="str">
            <v>x</v>
          </cell>
          <cell r="Y361" t="str">
            <v>x</v>
          </cell>
          <cell r="Z361" t="str">
            <v>x</v>
          </cell>
          <cell r="AA361" t="str">
            <v>x</v>
          </cell>
          <cell r="AC361" t="str">
            <v>x</v>
          </cell>
          <cell r="AD361" t="str">
            <v>x</v>
          </cell>
          <cell r="AE361" t="str">
            <v>x</v>
          </cell>
          <cell r="AF361" t="str">
            <v>x</v>
          </cell>
          <cell r="AG361" t="str">
            <v>x</v>
          </cell>
          <cell r="AH361" t="str">
            <v>x</v>
          </cell>
          <cell r="AJ361" t="str">
            <v>x</v>
          </cell>
          <cell r="AK361" t="str">
            <v>x</v>
          </cell>
          <cell r="AL361" t="str">
            <v>x</v>
          </cell>
          <cell r="AM361">
            <v>25</v>
          </cell>
          <cell r="AN361">
            <v>0.5</v>
          </cell>
        </row>
        <row r="362">
          <cell r="C362">
            <v>51252</v>
          </cell>
          <cell r="D362">
            <v>44972</v>
          </cell>
          <cell r="E362">
            <v>45047</v>
          </cell>
          <cell r="F362" t="str">
            <v>Tổ sơ mi 3</v>
          </cell>
          <cell r="H362" t="str">
            <v>LT</v>
          </cell>
          <cell r="J362" t="str">
            <v>x</v>
          </cell>
          <cell r="K362" t="str">
            <v>x</v>
          </cell>
          <cell r="L362" t="str">
            <v>x</v>
          </cell>
          <cell r="M362" t="str">
            <v>x</v>
          </cell>
          <cell r="O362" t="str">
            <v>x</v>
          </cell>
          <cell r="P362" t="str">
            <v>x</v>
          </cell>
          <cell r="Q362" t="str">
            <v>x</v>
          </cell>
          <cell r="R362" t="str">
            <v>x</v>
          </cell>
          <cell r="S362" t="str">
            <v>x</v>
          </cell>
          <cell r="T362" t="str">
            <v>x</v>
          </cell>
          <cell r="V362" t="str">
            <v>x</v>
          </cell>
          <cell r="W362" t="str">
            <v>x</v>
          </cell>
          <cell r="X362" t="str">
            <v>x</v>
          </cell>
          <cell r="Y362" t="str">
            <v>x</v>
          </cell>
          <cell r="Z362" t="str">
            <v>x</v>
          </cell>
          <cell r="AA362" t="str">
            <v>x</v>
          </cell>
          <cell r="AC362" t="str">
            <v>x/2</v>
          </cell>
          <cell r="AD362" t="str">
            <v>x</v>
          </cell>
          <cell r="AE362" t="str">
            <v>x</v>
          </cell>
          <cell r="AF362" t="str">
            <v>x</v>
          </cell>
          <cell r="AG362" t="str">
            <v>x</v>
          </cell>
          <cell r="AH362" t="str">
            <v>x</v>
          </cell>
          <cell r="AJ362" t="str">
            <v>x</v>
          </cell>
          <cell r="AK362" t="str">
            <v>x</v>
          </cell>
          <cell r="AL362" t="str">
            <v>x</v>
          </cell>
          <cell r="AM362">
            <v>24.5</v>
          </cell>
          <cell r="AN362">
            <v>0</v>
          </cell>
        </row>
        <row r="363">
          <cell r="C363">
            <v>51257</v>
          </cell>
          <cell r="D363">
            <v>44972</v>
          </cell>
          <cell r="E363">
            <v>45047</v>
          </cell>
          <cell r="F363" t="str">
            <v xml:space="preserve">Tổ 6 </v>
          </cell>
          <cell r="H363" t="str">
            <v>LT</v>
          </cell>
          <cell r="J363" t="str">
            <v>x</v>
          </cell>
          <cell r="K363" t="str">
            <v>x</v>
          </cell>
          <cell r="L363" t="str">
            <v>x</v>
          </cell>
          <cell r="M363" t="str">
            <v>x</v>
          </cell>
          <cell r="O363" t="str">
            <v>x</v>
          </cell>
          <cell r="P363" t="str">
            <v>x</v>
          </cell>
          <cell r="Q363" t="str">
            <v>x</v>
          </cell>
          <cell r="R363" t="str">
            <v>x</v>
          </cell>
          <cell r="S363" t="str">
            <v>x</v>
          </cell>
          <cell r="T363" t="str">
            <v>x</v>
          </cell>
          <cell r="V363" t="str">
            <v>x</v>
          </cell>
          <cell r="W363" t="str">
            <v>x</v>
          </cell>
          <cell r="X363" t="str">
            <v>x</v>
          </cell>
          <cell r="Y363" t="str">
            <v>x</v>
          </cell>
          <cell r="Z363" t="str">
            <v>x</v>
          </cell>
          <cell r="AA363" t="str">
            <v>x</v>
          </cell>
          <cell r="AC363" t="str">
            <v>x</v>
          </cell>
          <cell r="AD363" t="str">
            <v>x</v>
          </cell>
          <cell r="AE363" t="str">
            <v>x</v>
          </cell>
          <cell r="AF363" t="str">
            <v>x</v>
          </cell>
          <cell r="AG363" t="str">
            <v>x</v>
          </cell>
          <cell r="AH363" t="str">
            <v>x</v>
          </cell>
          <cell r="AI363" t="str">
            <v>x</v>
          </cell>
          <cell r="AJ363" t="str">
            <v>x</v>
          </cell>
          <cell r="AK363" t="str">
            <v>x</v>
          </cell>
          <cell r="AL363" t="str">
            <v>x</v>
          </cell>
          <cell r="AM363">
            <v>25</v>
          </cell>
          <cell r="AN363">
            <v>1</v>
          </cell>
        </row>
        <row r="364">
          <cell r="C364">
            <v>51261</v>
          </cell>
          <cell r="D364">
            <v>44975</v>
          </cell>
          <cell r="E364">
            <v>45047</v>
          </cell>
          <cell r="F364" t="str">
            <v>H.thiện</v>
          </cell>
          <cell r="H364" t="str">
            <v>LT</v>
          </cell>
          <cell r="J364" t="str">
            <v>x</v>
          </cell>
          <cell r="K364" t="str">
            <v>x</v>
          </cell>
          <cell r="L364" t="str">
            <v>x</v>
          </cell>
          <cell r="M364" t="str">
            <v>x</v>
          </cell>
          <cell r="O364" t="str">
            <v>x</v>
          </cell>
          <cell r="P364" t="str">
            <v>x</v>
          </cell>
          <cell r="Q364" t="str">
            <v>x</v>
          </cell>
          <cell r="R364" t="str">
            <v>x</v>
          </cell>
          <cell r="S364" t="str">
            <v>x</v>
          </cell>
          <cell r="T364" t="str">
            <v>x</v>
          </cell>
          <cell r="U364" t="str">
            <v>x/2</v>
          </cell>
          <cell r="V364" t="str">
            <v>x</v>
          </cell>
          <cell r="W364" t="str">
            <v>x</v>
          </cell>
          <cell r="X364" t="str">
            <v>x</v>
          </cell>
          <cell r="Y364" t="str">
            <v>x</v>
          </cell>
          <cell r="Z364" t="str">
            <v>x</v>
          </cell>
          <cell r="AA364" t="str">
            <v>x</v>
          </cell>
          <cell r="AC364" t="str">
            <v>x</v>
          </cell>
          <cell r="AD364" t="str">
            <v>x</v>
          </cell>
          <cell r="AE364" t="str">
            <v>x</v>
          </cell>
          <cell r="AF364" t="str">
            <v>x</v>
          </cell>
          <cell r="AG364" t="str">
            <v>x</v>
          </cell>
          <cell r="AH364" t="str">
            <v>x</v>
          </cell>
          <cell r="AJ364" t="str">
            <v>x</v>
          </cell>
          <cell r="AK364" t="str">
            <v>x</v>
          </cell>
          <cell r="AL364" t="str">
            <v>x</v>
          </cell>
          <cell r="AM364">
            <v>25</v>
          </cell>
          <cell r="AN364">
            <v>0.5</v>
          </cell>
        </row>
        <row r="365">
          <cell r="C365">
            <v>51264</v>
          </cell>
          <cell r="D365">
            <v>44978</v>
          </cell>
          <cell r="E365">
            <v>45047</v>
          </cell>
          <cell r="F365" t="str">
            <v>Tổ sơ mi 2</v>
          </cell>
          <cell r="H365" t="str">
            <v>LT</v>
          </cell>
          <cell r="J365" t="str">
            <v>x</v>
          </cell>
          <cell r="K365" t="str">
            <v>x</v>
          </cell>
          <cell r="L365" t="str">
            <v>x</v>
          </cell>
          <cell r="M365" t="str">
            <v>x</v>
          </cell>
          <cell r="O365" t="str">
            <v>x</v>
          </cell>
          <cell r="P365" t="str">
            <v>F</v>
          </cell>
          <cell r="Q365" t="str">
            <v>F</v>
          </cell>
          <cell r="R365" t="str">
            <v>x</v>
          </cell>
          <cell r="S365" t="str">
            <v>x</v>
          </cell>
          <cell r="T365" t="str">
            <v>x</v>
          </cell>
          <cell r="V365" t="str">
            <v>x</v>
          </cell>
          <cell r="W365" t="str">
            <v>x</v>
          </cell>
          <cell r="X365" t="str">
            <v>x</v>
          </cell>
          <cell r="Y365" t="str">
            <v>x</v>
          </cell>
          <cell r="Z365" t="str">
            <v>x</v>
          </cell>
          <cell r="AA365" t="str">
            <v>x</v>
          </cell>
          <cell r="AC365" t="str">
            <v>x</v>
          </cell>
          <cell r="AD365" t="str">
            <v>x</v>
          </cell>
          <cell r="AE365" t="str">
            <v>x</v>
          </cell>
          <cell r="AF365" t="str">
            <v>x</v>
          </cell>
          <cell r="AG365" t="str">
            <v>x</v>
          </cell>
          <cell r="AH365" t="str">
            <v>x</v>
          </cell>
          <cell r="AJ365" t="str">
            <v>x</v>
          </cell>
          <cell r="AK365" t="str">
            <v>x</v>
          </cell>
          <cell r="AL365" t="str">
            <v>x</v>
          </cell>
          <cell r="AM365">
            <v>23</v>
          </cell>
          <cell r="AN365">
            <v>0</v>
          </cell>
        </row>
        <row r="366">
          <cell r="C366">
            <v>51273</v>
          </cell>
          <cell r="D366">
            <v>44984</v>
          </cell>
          <cell r="E366">
            <v>45047</v>
          </cell>
          <cell r="F366" t="str">
            <v>Tổ chi tiết</v>
          </cell>
          <cell r="H366" t="str">
            <v>LT</v>
          </cell>
          <cell r="J366" t="str">
            <v>x</v>
          </cell>
          <cell r="K366" t="str">
            <v>x</v>
          </cell>
          <cell r="L366" t="str">
            <v>x</v>
          </cell>
          <cell r="M366" t="str">
            <v>x</v>
          </cell>
          <cell r="O366" t="str">
            <v>x</v>
          </cell>
          <cell r="P366" t="str">
            <v>x</v>
          </cell>
          <cell r="Q366" t="str">
            <v>x</v>
          </cell>
          <cell r="R366" t="str">
            <v>x</v>
          </cell>
          <cell r="S366" t="str">
            <v>x</v>
          </cell>
          <cell r="T366" t="str">
            <v>x</v>
          </cell>
          <cell r="V366" t="str">
            <v>x</v>
          </cell>
          <cell r="W366" t="str">
            <v>x</v>
          </cell>
          <cell r="X366" t="str">
            <v>x</v>
          </cell>
          <cell r="Y366" t="str">
            <v>x</v>
          </cell>
          <cell r="Z366" t="str">
            <v>x</v>
          </cell>
          <cell r="AA366" t="str">
            <v>x</v>
          </cell>
          <cell r="AC366" t="str">
            <v>x/2</v>
          </cell>
          <cell r="AD366" t="str">
            <v>x</v>
          </cell>
          <cell r="AE366" t="str">
            <v>x</v>
          </cell>
          <cell r="AF366" t="str">
            <v>x</v>
          </cell>
          <cell r="AG366" t="str">
            <v>x</v>
          </cell>
          <cell r="AH366" t="str">
            <v>x</v>
          </cell>
          <cell r="AJ366" t="str">
            <v>x</v>
          </cell>
          <cell r="AK366" t="str">
            <v>Ô</v>
          </cell>
          <cell r="AL366" t="str">
            <v>Ô</v>
          </cell>
          <cell r="AM366">
            <v>22.5</v>
          </cell>
          <cell r="AN366">
            <v>0</v>
          </cell>
        </row>
        <row r="367">
          <cell r="C367">
            <v>51274</v>
          </cell>
          <cell r="D367">
            <v>44984</v>
          </cell>
          <cell r="E367">
            <v>45047</v>
          </cell>
          <cell r="F367" t="str">
            <v>Tổ chi tiết</v>
          </cell>
          <cell r="H367" t="str">
            <v>LT</v>
          </cell>
          <cell r="J367" t="str">
            <v>x</v>
          </cell>
          <cell r="K367" t="str">
            <v>x</v>
          </cell>
          <cell r="L367" t="str">
            <v>x</v>
          </cell>
          <cell r="M367" t="str">
            <v>x</v>
          </cell>
          <cell r="O367" t="str">
            <v>x</v>
          </cell>
          <cell r="P367" t="str">
            <v>x</v>
          </cell>
          <cell r="Q367" t="str">
            <v>x</v>
          </cell>
          <cell r="R367" t="str">
            <v>x</v>
          </cell>
          <cell r="S367" t="str">
            <v>x</v>
          </cell>
          <cell r="T367" t="str">
            <v>x</v>
          </cell>
          <cell r="V367" t="str">
            <v>x</v>
          </cell>
          <cell r="W367" t="str">
            <v>x</v>
          </cell>
          <cell r="X367" t="str">
            <v>x</v>
          </cell>
          <cell r="Y367" t="str">
            <v>x</v>
          </cell>
          <cell r="Z367" t="str">
            <v>x</v>
          </cell>
          <cell r="AA367" t="str">
            <v>x</v>
          </cell>
          <cell r="AC367" t="str">
            <v>x</v>
          </cell>
          <cell r="AD367" t="str">
            <v>x</v>
          </cell>
          <cell r="AE367" t="str">
            <v>x</v>
          </cell>
          <cell r="AF367" t="str">
            <v>x</v>
          </cell>
          <cell r="AG367" t="str">
            <v>x</v>
          </cell>
          <cell r="AH367" t="str">
            <v>x</v>
          </cell>
          <cell r="AJ367" t="str">
            <v>x</v>
          </cell>
          <cell r="AK367" t="str">
            <v>x</v>
          </cell>
          <cell r="AL367" t="str">
            <v>x</v>
          </cell>
          <cell r="AM367">
            <v>25</v>
          </cell>
          <cell r="AN367">
            <v>0</v>
          </cell>
        </row>
        <row r="368">
          <cell r="C368">
            <v>51276</v>
          </cell>
          <cell r="D368">
            <v>44985</v>
          </cell>
          <cell r="E368">
            <v>45047</v>
          </cell>
          <cell r="F368" t="str">
            <v>Tổ 14</v>
          </cell>
          <cell r="H368" t="str">
            <v>LT</v>
          </cell>
          <cell r="J368" t="str">
            <v>ro</v>
          </cell>
          <cell r="K368" t="str">
            <v>x</v>
          </cell>
          <cell r="L368" t="str">
            <v>x</v>
          </cell>
          <cell r="M368" t="str">
            <v>x</v>
          </cell>
          <cell r="O368" t="str">
            <v>x</v>
          </cell>
          <cell r="P368" t="str">
            <v>x</v>
          </cell>
          <cell r="Q368" t="str">
            <v>x</v>
          </cell>
          <cell r="R368" t="str">
            <v>x</v>
          </cell>
          <cell r="S368" t="str">
            <v>x</v>
          </cell>
          <cell r="T368" t="str">
            <v>x</v>
          </cell>
          <cell r="V368" t="str">
            <v>x</v>
          </cell>
          <cell r="W368" t="str">
            <v>x</v>
          </cell>
          <cell r="X368" t="str">
            <v>x</v>
          </cell>
          <cell r="Y368" t="str">
            <v>x</v>
          </cell>
          <cell r="Z368" t="str">
            <v>x</v>
          </cell>
          <cell r="AA368" t="str">
            <v>x</v>
          </cell>
          <cell r="AC368" t="str">
            <v>x</v>
          </cell>
          <cell r="AD368" t="str">
            <v>x</v>
          </cell>
          <cell r="AE368" t="str">
            <v>x</v>
          </cell>
          <cell r="AF368" t="str">
            <v>x</v>
          </cell>
          <cell r="AG368" t="str">
            <v>x/2</v>
          </cell>
          <cell r="AH368" t="str">
            <v>x</v>
          </cell>
          <cell r="AJ368" t="str">
            <v>x</v>
          </cell>
          <cell r="AK368" t="str">
            <v>x</v>
          </cell>
          <cell r="AL368" t="str">
            <v>F</v>
          </cell>
          <cell r="AM368">
            <v>22.5</v>
          </cell>
          <cell r="AN368">
            <v>0</v>
          </cell>
        </row>
        <row r="369">
          <cell r="C369">
            <v>51279</v>
          </cell>
          <cell r="D369">
            <v>44987</v>
          </cell>
          <cell r="E369">
            <v>45047</v>
          </cell>
          <cell r="F369" t="str">
            <v>Tổ sơ mi 2</v>
          </cell>
          <cell r="H369" t="str">
            <v>LT</v>
          </cell>
          <cell r="J369" t="str">
            <v>x</v>
          </cell>
          <cell r="K369" t="str">
            <v>x</v>
          </cell>
          <cell r="L369" t="str">
            <v>x</v>
          </cell>
          <cell r="M369" t="str">
            <v>x</v>
          </cell>
          <cell r="O369" t="str">
            <v>x</v>
          </cell>
          <cell r="P369" t="str">
            <v>x</v>
          </cell>
          <cell r="Q369" t="str">
            <v>x</v>
          </cell>
          <cell r="R369" t="str">
            <v>x</v>
          </cell>
          <cell r="S369" t="str">
            <v>x</v>
          </cell>
          <cell r="T369" t="str">
            <v>x</v>
          </cell>
          <cell r="V369" t="str">
            <v>x</v>
          </cell>
          <cell r="W369" t="str">
            <v>x</v>
          </cell>
          <cell r="X369" t="str">
            <v>x</v>
          </cell>
          <cell r="Y369" t="str">
            <v>x</v>
          </cell>
          <cell r="Z369" t="str">
            <v>x</v>
          </cell>
          <cell r="AA369" t="str">
            <v>x</v>
          </cell>
          <cell r="AC369" t="str">
            <v>x</v>
          </cell>
          <cell r="AD369" t="str">
            <v>x</v>
          </cell>
          <cell r="AE369" t="str">
            <v>x</v>
          </cell>
          <cell r="AF369" t="str">
            <v>x</v>
          </cell>
          <cell r="AG369" t="str">
            <v>x</v>
          </cell>
          <cell r="AH369" t="str">
            <v>x</v>
          </cell>
          <cell r="AJ369" t="str">
            <v>x</v>
          </cell>
          <cell r="AK369" t="str">
            <v>x</v>
          </cell>
          <cell r="AL369" t="str">
            <v>x</v>
          </cell>
          <cell r="AM369">
            <v>25</v>
          </cell>
          <cell r="AN369">
            <v>0</v>
          </cell>
        </row>
        <row r="370">
          <cell r="C370">
            <v>51280</v>
          </cell>
          <cell r="D370">
            <v>44991</v>
          </cell>
          <cell r="E370">
            <v>45047</v>
          </cell>
          <cell r="F370" t="str">
            <v>Kiểm hoá</v>
          </cell>
          <cell r="H370" t="str">
            <v>LT</v>
          </cell>
          <cell r="J370" t="str">
            <v>x</v>
          </cell>
          <cell r="K370" t="str">
            <v>x</v>
          </cell>
          <cell r="L370" t="str">
            <v>x</v>
          </cell>
          <cell r="M370" t="str">
            <v>x</v>
          </cell>
          <cell r="O370" t="str">
            <v>x</v>
          </cell>
          <cell r="P370" t="str">
            <v>x</v>
          </cell>
          <cell r="Q370" t="str">
            <v>x</v>
          </cell>
          <cell r="R370" t="str">
            <v>x</v>
          </cell>
          <cell r="S370" t="str">
            <v>x</v>
          </cell>
          <cell r="T370" t="str">
            <v>x</v>
          </cell>
          <cell r="V370" t="str">
            <v>x</v>
          </cell>
          <cell r="W370" t="str">
            <v>x</v>
          </cell>
          <cell r="X370" t="str">
            <v>x</v>
          </cell>
          <cell r="Y370" t="str">
            <v>x</v>
          </cell>
          <cell r="Z370" t="str">
            <v>x</v>
          </cell>
          <cell r="AA370" t="str">
            <v>x</v>
          </cell>
          <cell r="AC370" t="str">
            <v>x</v>
          </cell>
          <cell r="AD370" t="str">
            <v>x</v>
          </cell>
          <cell r="AE370" t="str">
            <v>x</v>
          </cell>
          <cell r="AF370" t="str">
            <v>x</v>
          </cell>
          <cell r="AG370" t="str">
            <v>x</v>
          </cell>
          <cell r="AH370" t="str">
            <v>x</v>
          </cell>
          <cell r="AJ370" t="str">
            <v>x</v>
          </cell>
          <cell r="AK370" t="str">
            <v>x</v>
          </cell>
          <cell r="AL370" t="str">
            <v>x</v>
          </cell>
          <cell r="AM370">
            <v>25</v>
          </cell>
          <cell r="AN370">
            <v>0</v>
          </cell>
        </row>
        <row r="371">
          <cell r="C371">
            <v>51282</v>
          </cell>
          <cell r="D371">
            <v>44991</v>
          </cell>
          <cell r="E371">
            <v>45047</v>
          </cell>
          <cell r="F371" t="str">
            <v>Tổ sơ mi 2</v>
          </cell>
          <cell r="H371" t="str">
            <v>LT</v>
          </cell>
          <cell r="J371" t="str">
            <v>x</v>
          </cell>
          <cell r="K371" t="str">
            <v>x</v>
          </cell>
          <cell r="L371" t="str">
            <v>x</v>
          </cell>
          <cell r="M371" t="str">
            <v>x</v>
          </cell>
          <cell r="O371" t="str">
            <v>x</v>
          </cell>
          <cell r="P371" t="str">
            <v>x</v>
          </cell>
          <cell r="Q371" t="str">
            <v>x</v>
          </cell>
          <cell r="R371" t="str">
            <v>x</v>
          </cell>
          <cell r="S371" t="str">
            <v>x</v>
          </cell>
          <cell r="T371" t="str">
            <v>x</v>
          </cell>
          <cell r="V371" t="str">
            <v>x</v>
          </cell>
          <cell r="W371" t="str">
            <v>x</v>
          </cell>
          <cell r="X371" t="str">
            <v>x</v>
          </cell>
          <cell r="Y371" t="str">
            <v>x</v>
          </cell>
          <cell r="Z371" t="str">
            <v>x</v>
          </cell>
          <cell r="AA371" t="str">
            <v>x</v>
          </cell>
          <cell r="AC371" t="str">
            <v>x</v>
          </cell>
          <cell r="AD371" t="str">
            <v>x</v>
          </cell>
          <cell r="AE371" t="str">
            <v>x</v>
          </cell>
          <cell r="AF371" t="str">
            <v>x</v>
          </cell>
          <cell r="AG371" t="str">
            <v>x</v>
          </cell>
          <cell r="AH371" t="str">
            <v>x</v>
          </cell>
          <cell r="AJ371" t="str">
            <v>x</v>
          </cell>
          <cell r="AK371" t="str">
            <v>x</v>
          </cell>
          <cell r="AL371" t="str">
            <v>x</v>
          </cell>
          <cell r="AM371">
            <v>25</v>
          </cell>
          <cell r="AN371">
            <v>0</v>
          </cell>
        </row>
        <row r="372">
          <cell r="C372">
            <v>51283</v>
          </cell>
          <cell r="D372">
            <v>44991</v>
          </cell>
          <cell r="E372">
            <v>45047</v>
          </cell>
          <cell r="F372" t="str">
            <v>Tổ sơ mi 4</v>
          </cell>
          <cell r="H372" t="str">
            <v>LT</v>
          </cell>
          <cell r="J372" t="str">
            <v>x</v>
          </cell>
          <cell r="K372" t="str">
            <v>x</v>
          </cell>
          <cell r="L372" t="str">
            <v>x</v>
          </cell>
          <cell r="M372" t="str">
            <v>x</v>
          </cell>
          <cell r="O372" t="str">
            <v>x</v>
          </cell>
          <cell r="P372" t="str">
            <v>x</v>
          </cell>
          <cell r="Q372" t="str">
            <v>x</v>
          </cell>
          <cell r="R372" t="str">
            <v>x</v>
          </cell>
          <cell r="S372" t="str">
            <v>x</v>
          </cell>
          <cell r="T372" t="str">
            <v>x</v>
          </cell>
          <cell r="V372" t="str">
            <v>x</v>
          </cell>
          <cell r="W372" t="str">
            <v>x</v>
          </cell>
          <cell r="X372" t="str">
            <v>x</v>
          </cell>
          <cell r="Y372" t="str">
            <v>x</v>
          </cell>
          <cell r="Z372" t="str">
            <v>x</v>
          </cell>
          <cell r="AA372" t="str">
            <v>x</v>
          </cell>
          <cell r="AC372" t="str">
            <v>x</v>
          </cell>
          <cell r="AD372" t="str">
            <v>x</v>
          </cell>
          <cell r="AE372" t="str">
            <v>x</v>
          </cell>
          <cell r="AF372" t="str">
            <v>x</v>
          </cell>
          <cell r="AG372" t="str">
            <v>x</v>
          </cell>
          <cell r="AH372" t="str">
            <v>x</v>
          </cell>
          <cell r="AJ372" t="str">
            <v>x</v>
          </cell>
          <cell r="AK372" t="str">
            <v>x</v>
          </cell>
          <cell r="AL372" t="str">
            <v>x</v>
          </cell>
          <cell r="AM372">
            <v>25</v>
          </cell>
          <cell r="AN372">
            <v>0</v>
          </cell>
        </row>
        <row r="373">
          <cell r="C373">
            <v>51284</v>
          </cell>
          <cell r="D373">
            <v>44991</v>
          </cell>
          <cell r="E373">
            <v>45047</v>
          </cell>
          <cell r="F373" t="str">
            <v>Tổ chi tiết</v>
          </cell>
          <cell r="H373" t="str">
            <v>LT</v>
          </cell>
          <cell r="J373" t="str">
            <v>x</v>
          </cell>
          <cell r="K373" t="str">
            <v>x</v>
          </cell>
          <cell r="L373" t="str">
            <v>x</v>
          </cell>
          <cell r="M373" t="str">
            <v>x</v>
          </cell>
          <cell r="O373" t="str">
            <v>x</v>
          </cell>
          <cell r="P373" t="str">
            <v>x</v>
          </cell>
          <cell r="Q373" t="str">
            <v>x</v>
          </cell>
          <cell r="R373" t="str">
            <v>x</v>
          </cell>
          <cell r="S373" t="str">
            <v>x</v>
          </cell>
          <cell r="T373" t="str">
            <v>x</v>
          </cell>
          <cell r="V373" t="str">
            <v>x</v>
          </cell>
          <cell r="W373" t="str">
            <v>x</v>
          </cell>
          <cell r="X373" t="str">
            <v>x</v>
          </cell>
          <cell r="Y373" t="str">
            <v>x</v>
          </cell>
          <cell r="Z373" t="str">
            <v>x</v>
          </cell>
          <cell r="AA373" t="str">
            <v>x</v>
          </cell>
          <cell r="AC373" t="str">
            <v>x</v>
          </cell>
          <cell r="AD373" t="str">
            <v>x</v>
          </cell>
          <cell r="AE373" t="str">
            <v>x</v>
          </cell>
          <cell r="AF373" t="str">
            <v>x</v>
          </cell>
          <cell r="AG373" t="str">
            <v>x</v>
          </cell>
          <cell r="AH373" t="str">
            <v>x</v>
          </cell>
          <cell r="AJ373" t="str">
            <v>x</v>
          </cell>
          <cell r="AK373" t="str">
            <v>x</v>
          </cell>
          <cell r="AL373" t="str">
            <v>x</v>
          </cell>
          <cell r="AM373">
            <v>25</v>
          </cell>
          <cell r="AN373">
            <v>0</v>
          </cell>
        </row>
        <row r="374">
          <cell r="C374">
            <v>51289</v>
          </cell>
          <cell r="D374">
            <v>44994</v>
          </cell>
          <cell r="E374">
            <v>45047</v>
          </cell>
          <cell r="F374" t="str">
            <v>Bốc vác</v>
          </cell>
          <cell r="H374" t="str">
            <v>LT</v>
          </cell>
          <cell r="J374" t="str">
            <v>x</v>
          </cell>
          <cell r="K374" t="str">
            <v>x</v>
          </cell>
          <cell r="L374" t="str">
            <v>x</v>
          </cell>
          <cell r="M374" t="str">
            <v>x</v>
          </cell>
          <cell r="O374" t="str">
            <v>x</v>
          </cell>
          <cell r="P374" t="str">
            <v>x</v>
          </cell>
          <cell r="Q374" t="str">
            <v>x/2</v>
          </cell>
          <cell r="R374" t="str">
            <v>x</v>
          </cell>
          <cell r="S374" t="str">
            <v>x</v>
          </cell>
          <cell r="T374" t="str">
            <v>x</v>
          </cell>
          <cell r="V374" t="str">
            <v>x</v>
          </cell>
          <cell r="W374" t="str">
            <v>x/2</v>
          </cell>
          <cell r="X374" t="str">
            <v>x</v>
          </cell>
          <cell r="Y374" t="str">
            <v>x</v>
          </cell>
          <cell r="Z374" t="str">
            <v>x</v>
          </cell>
          <cell r="AA374" t="str">
            <v>x</v>
          </cell>
          <cell r="AC374" t="str">
            <v>x</v>
          </cell>
          <cell r="AD374" t="str">
            <v>x</v>
          </cell>
          <cell r="AE374" t="str">
            <v>x</v>
          </cell>
          <cell r="AF374" t="str">
            <v>x</v>
          </cell>
          <cell r="AG374" t="str">
            <v>x</v>
          </cell>
          <cell r="AH374" t="str">
            <v>x</v>
          </cell>
          <cell r="AJ374" t="str">
            <v>x</v>
          </cell>
          <cell r="AK374" t="str">
            <v>x</v>
          </cell>
          <cell r="AL374" t="str">
            <v>x</v>
          </cell>
          <cell r="AM374">
            <v>24</v>
          </cell>
          <cell r="AN374">
            <v>0</v>
          </cell>
        </row>
        <row r="375">
          <cell r="C375">
            <v>51291</v>
          </cell>
          <cell r="D375">
            <v>44996</v>
          </cell>
          <cell r="E375">
            <v>45047</v>
          </cell>
          <cell r="F375" t="str">
            <v xml:space="preserve">Tổ 6 </v>
          </cell>
          <cell r="H375" t="str">
            <v>LT</v>
          </cell>
          <cell r="J375" t="str">
            <v>x</v>
          </cell>
          <cell r="K375" t="str">
            <v>x</v>
          </cell>
          <cell r="L375" t="str">
            <v>x</v>
          </cell>
          <cell r="M375" t="str">
            <v>x</v>
          </cell>
          <cell r="O375" t="str">
            <v>x</v>
          </cell>
          <cell r="P375" t="str">
            <v>x</v>
          </cell>
          <cell r="Q375" t="str">
            <v>x</v>
          </cell>
          <cell r="R375" t="str">
            <v>x</v>
          </cell>
          <cell r="S375" t="str">
            <v>x</v>
          </cell>
          <cell r="T375" t="str">
            <v>x</v>
          </cell>
          <cell r="V375" t="str">
            <v>x</v>
          </cell>
          <cell r="W375" t="str">
            <v>x</v>
          </cell>
          <cell r="X375" t="str">
            <v>x</v>
          </cell>
          <cell r="Y375" t="str">
            <v>x</v>
          </cell>
          <cell r="Z375" t="str">
            <v>x</v>
          </cell>
          <cell r="AA375" t="str">
            <v>x</v>
          </cell>
          <cell r="AC375" t="str">
            <v>x</v>
          </cell>
          <cell r="AD375" t="str">
            <v>x</v>
          </cell>
          <cell r="AE375" t="str">
            <v>x</v>
          </cell>
          <cell r="AF375" t="str">
            <v>x</v>
          </cell>
          <cell r="AG375" t="str">
            <v>x</v>
          </cell>
          <cell r="AH375" t="str">
            <v>x</v>
          </cell>
          <cell r="AJ375" t="str">
            <v>x</v>
          </cell>
          <cell r="AK375" t="str">
            <v>x</v>
          </cell>
          <cell r="AL375" t="str">
            <v>x</v>
          </cell>
          <cell r="AM375">
            <v>25</v>
          </cell>
          <cell r="AN375">
            <v>0</v>
          </cell>
        </row>
        <row r="376">
          <cell r="C376">
            <v>51292</v>
          </cell>
          <cell r="D376">
            <v>44998</v>
          </cell>
          <cell r="E376">
            <v>45047</v>
          </cell>
          <cell r="F376" t="str">
            <v xml:space="preserve">Tổ 6 </v>
          </cell>
          <cell r="H376" t="str">
            <v>LT</v>
          </cell>
          <cell r="J376" t="str">
            <v>x</v>
          </cell>
          <cell r="K376" t="str">
            <v>x</v>
          </cell>
          <cell r="L376" t="str">
            <v>x</v>
          </cell>
          <cell r="M376" t="str">
            <v>x</v>
          </cell>
          <cell r="O376" t="str">
            <v>x</v>
          </cell>
          <cell r="P376" t="str">
            <v>x</v>
          </cell>
          <cell r="Q376" t="str">
            <v>x</v>
          </cell>
          <cell r="R376" t="str">
            <v>x</v>
          </cell>
          <cell r="S376" t="str">
            <v>x</v>
          </cell>
          <cell r="T376" t="str">
            <v>x</v>
          </cell>
          <cell r="V376" t="str">
            <v>x</v>
          </cell>
          <cell r="W376" t="str">
            <v>x</v>
          </cell>
          <cell r="X376" t="str">
            <v>x</v>
          </cell>
          <cell r="Y376" t="str">
            <v>x</v>
          </cell>
          <cell r="Z376" t="str">
            <v>x</v>
          </cell>
          <cell r="AA376" t="str">
            <v>x</v>
          </cell>
          <cell r="AC376" t="str">
            <v>x</v>
          </cell>
          <cell r="AD376" t="str">
            <v>x</v>
          </cell>
          <cell r="AE376" t="str">
            <v>x</v>
          </cell>
          <cell r="AF376" t="str">
            <v>Ro</v>
          </cell>
          <cell r="AG376" t="str">
            <v>x</v>
          </cell>
          <cell r="AH376" t="str">
            <v>x</v>
          </cell>
          <cell r="AJ376" t="str">
            <v>x</v>
          </cell>
          <cell r="AK376" t="str">
            <v>x</v>
          </cell>
          <cell r="AL376" t="str">
            <v>x</v>
          </cell>
          <cell r="AM376">
            <v>24</v>
          </cell>
          <cell r="AN376">
            <v>0</v>
          </cell>
        </row>
        <row r="377">
          <cell r="C377">
            <v>51298</v>
          </cell>
          <cell r="D377">
            <v>45001</v>
          </cell>
          <cell r="E377">
            <v>45047</v>
          </cell>
          <cell r="F377" t="str">
            <v xml:space="preserve">Tổ 6 </v>
          </cell>
          <cell r="H377" t="str">
            <v>LT</v>
          </cell>
          <cell r="J377" t="str">
            <v>x</v>
          </cell>
          <cell r="K377" t="str">
            <v>x</v>
          </cell>
          <cell r="L377" t="str">
            <v>x</v>
          </cell>
          <cell r="M377" t="str">
            <v>x</v>
          </cell>
          <cell r="O377" t="str">
            <v>x</v>
          </cell>
          <cell r="P377" t="str">
            <v>x</v>
          </cell>
          <cell r="Q377" t="str">
            <v>x</v>
          </cell>
          <cell r="R377" t="str">
            <v>x</v>
          </cell>
          <cell r="S377" t="str">
            <v>x</v>
          </cell>
          <cell r="T377" t="str">
            <v>x</v>
          </cell>
          <cell r="U377" t="str">
            <v>x/2</v>
          </cell>
          <cell r="V377" t="str">
            <v>F</v>
          </cell>
          <cell r="W377" t="str">
            <v>x</v>
          </cell>
          <cell r="X377" t="str">
            <v>x</v>
          </cell>
          <cell r="Y377" t="str">
            <v>x</v>
          </cell>
          <cell r="Z377" t="str">
            <v>x</v>
          </cell>
          <cell r="AA377" t="str">
            <v>x</v>
          </cell>
          <cell r="AC377" t="str">
            <v>x</v>
          </cell>
          <cell r="AD377" t="str">
            <v>x</v>
          </cell>
          <cell r="AE377" t="str">
            <v>x</v>
          </cell>
          <cell r="AF377" t="str">
            <v>x</v>
          </cell>
          <cell r="AG377" t="str">
            <v>x</v>
          </cell>
          <cell r="AH377" t="str">
            <v>x</v>
          </cell>
          <cell r="AI377" t="str">
            <v>x</v>
          </cell>
          <cell r="AJ377" t="str">
            <v>x</v>
          </cell>
          <cell r="AK377" t="str">
            <v>x</v>
          </cell>
          <cell r="AL377" t="str">
            <v>x</v>
          </cell>
          <cell r="AM377">
            <v>24</v>
          </cell>
          <cell r="AN377">
            <v>1.5</v>
          </cell>
        </row>
        <row r="378">
          <cell r="C378">
            <v>51304</v>
          </cell>
          <cell r="D378">
            <v>45006</v>
          </cell>
          <cell r="E378">
            <v>45047</v>
          </cell>
          <cell r="F378" t="str">
            <v xml:space="preserve">Tổ 6 </v>
          </cell>
          <cell r="H378" t="str">
            <v>LT</v>
          </cell>
          <cell r="J378" t="str">
            <v>x</v>
          </cell>
          <cell r="K378" t="str">
            <v>x</v>
          </cell>
          <cell r="L378" t="str">
            <v>x</v>
          </cell>
          <cell r="M378" t="str">
            <v>x</v>
          </cell>
          <cell r="O378" t="str">
            <v>x</v>
          </cell>
          <cell r="P378" t="str">
            <v>x</v>
          </cell>
          <cell r="Q378" t="str">
            <v>x</v>
          </cell>
          <cell r="R378" t="str">
            <v>x</v>
          </cell>
          <cell r="S378" t="str">
            <v>x</v>
          </cell>
          <cell r="T378" t="str">
            <v>x</v>
          </cell>
          <cell r="V378" t="str">
            <v>x</v>
          </cell>
          <cell r="W378" t="str">
            <v>x</v>
          </cell>
          <cell r="X378" t="str">
            <v>x</v>
          </cell>
          <cell r="Y378" t="str">
            <v>x</v>
          </cell>
          <cell r="Z378" t="str">
            <v>x</v>
          </cell>
          <cell r="AA378" t="str">
            <v>x</v>
          </cell>
          <cell r="AC378" t="str">
            <v>x</v>
          </cell>
          <cell r="AD378" t="str">
            <v>x</v>
          </cell>
          <cell r="AE378" t="str">
            <v>x</v>
          </cell>
          <cell r="AF378" t="str">
            <v>x</v>
          </cell>
          <cell r="AG378" t="str">
            <v>x</v>
          </cell>
          <cell r="AH378" t="str">
            <v>x</v>
          </cell>
          <cell r="AI378" t="str">
            <v>x</v>
          </cell>
          <cell r="AJ378" t="str">
            <v>x</v>
          </cell>
          <cell r="AK378" t="str">
            <v>x</v>
          </cell>
          <cell r="AL378" t="str">
            <v>x</v>
          </cell>
          <cell r="AM378">
            <v>25</v>
          </cell>
          <cell r="AN378">
            <v>1</v>
          </cell>
        </row>
        <row r="379">
          <cell r="C379">
            <v>51305</v>
          </cell>
          <cell r="D379">
            <v>45006</v>
          </cell>
          <cell r="E379">
            <v>45047</v>
          </cell>
          <cell r="F379" t="str">
            <v xml:space="preserve">Tổ 7 </v>
          </cell>
          <cell r="H379" t="str">
            <v>LT</v>
          </cell>
          <cell r="J379" t="str">
            <v>x</v>
          </cell>
          <cell r="K379" t="str">
            <v>F</v>
          </cell>
          <cell r="L379" t="str">
            <v>x</v>
          </cell>
          <cell r="M379" t="str">
            <v>x</v>
          </cell>
          <cell r="O379" t="str">
            <v>x</v>
          </cell>
          <cell r="P379" t="str">
            <v>x</v>
          </cell>
          <cell r="Q379" t="str">
            <v>x</v>
          </cell>
          <cell r="R379" t="str">
            <v>x</v>
          </cell>
          <cell r="S379" t="str">
            <v>x</v>
          </cell>
          <cell r="T379" t="str">
            <v>x</v>
          </cell>
          <cell r="V379" t="str">
            <v>x</v>
          </cell>
          <cell r="W379" t="str">
            <v>x</v>
          </cell>
          <cell r="X379" t="str">
            <v>x</v>
          </cell>
          <cell r="Y379" t="str">
            <v>x</v>
          </cell>
          <cell r="Z379" t="str">
            <v>x</v>
          </cell>
          <cell r="AA379" t="str">
            <v>x</v>
          </cell>
          <cell r="AC379" t="str">
            <v>x</v>
          </cell>
          <cell r="AD379" t="str">
            <v>x</v>
          </cell>
          <cell r="AE379" t="str">
            <v>x</v>
          </cell>
          <cell r="AF379" t="str">
            <v>x</v>
          </cell>
          <cell r="AG379" t="str">
            <v>x</v>
          </cell>
          <cell r="AH379" t="str">
            <v>x</v>
          </cell>
          <cell r="AJ379" t="str">
            <v>x</v>
          </cell>
          <cell r="AK379" t="str">
            <v>x</v>
          </cell>
          <cell r="AL379" t="str">
            <v>x</v>
          </cell>
          <cell r="AM379">
            <v>24</v>
          </cell>
          <cell r="AN379">
            <v>0</v>
          </cell>
        </row>
        <row r="380">
          <cell r="C380">
            <v>51317</v>
          </cell>
          <cell r="D380">
            <v>45009</v>
          </cell>
          <cell r="E380">
            <v>45047</v>
          </cell>
          <cell r="F380" t="str">
            <v xml:space="preserve">Tổ 7 </v>
          </cell>
          <cell r="H380" t="str">
            <v>LT</v>
          </cell>
          <cell r="J380" t="str">
            <v>x</v>
          </cell>
          <cell r="K380" t="str">
            <v>x</v>
          </cell>
          <cell r="L380" t="str">
            <v>x</v>
          </cell>
          <cell r="M380" t="str">
            <v>x</v>
          </cell>
          <cell r="O380" t="str">
            <v>x</v>
          </cell>
          <cell r="P380" t="str">
            <v>x</v>
          </cell>
          <cell r="Q380" t="str">
            <v>x</v>
          </cell>
          <cell r="R380" t="str">
            <v>x</v>
          </cell>
          <cell r="S380" t="str">
            <v>x</v>
          </cell>
          <cell r="T380" t="str">
            <v>x</v>
          </cell>
          <cell r="V380" t="str">
            <v>x</v>
          </cell>
          <cell r="W380" t="str">
            <v>x</v>
          </cell>
          <cell r="X380" t="str">
            <v>x</v>
          </cell>
          <cell r="Y380" t="str">
            <v>x</v>
          </cell>
          <cell r="Z380" t="str">
            <v>x</v>
          </cell>
          <cell r="AA380" t="str">
            <v>x</v>
          </cell>
          <cell r="AC380" t="str">
            <v>x</v>
          </cell>
          <cell r="AD380" t="str">
            <v>x</v>
          </cell>
          <cell r="AE380" t="str">
            <v>x</v>
          </cell>
          <cell r="AF380" t="str">
            <v>x</v>
          </cell>
          <cell r="AG380" t="str">
            <v>x</v>
          </cell>
          <cell r="AH380" t="str">
            <v>x</v>
          </cell>
          <cell r="AJ380" t="str">
            <v>x</v>
          </cell>
          <cell r="AK380" t="str">
            <v>x</v>
          </cell>
          <cell r="AL380" t="str">
            <v>x</v>
          </cell>
          <cell r="AM380">
            <v>25</v>
          </cell>
          <cell r="AN380">
            <v>0</v>
          </cell>
        </row>
        <row r="381">
          <cell r="C381">
            <v>51320</v>
          </cell>
          <cell r="D381">
            <v>45012</v>
          </cell>
          <cell r="E381">
            <v>45047</v>
          </cell>
          <cell r="F381" t="str">
            <v xml:space="preserve">Tổ 6 </v>
          </cell>
          <cell r="H381" t="str">
            <v>LT</v>
          </cell>
          <cell r="J381" t="str">
            <v>x</v>
          </cell>
          <cell r="K381" t="str">
            <v>x</v>
          </cell>
          <cell r="L381" t="str">
            <v>x</v>
          </cell>
          <cell r="M381" t="str">
            <v>x</v>
          </cell>
          <cell r="O381" t="str">
            <v>x</v>
          </cell>
          <cell r="P381" t="str">
            <v>x</v>
          </cell>
          <cell r="Q381" t="str">
            <v>x</v>
          </cell>
          <cell r="R381" t="str">
            <v>x</v>
          </cell>
          <cell r="S381" t="str">
            <v>x</v>
          </cell>
          <cell r="T381" t="str">
            <v>x</v>
          </cell>
          <cell r="U381" t="str">
            <v>x/2</v>
          </cell>
          <cell r="V381" t="str">
            <v>x</v>
          </cell>
          <cell r="W381" t="str">
            <v>x</v>
          </cell>
          <cell r="X381" t="str">
            <v>x</v>
          </cell>
          <cell r="Y381" t="str">
            <v>x</v>
          </cell>
          <cell r="Z381" t="str">
            <v>x</v>
          </cell>
          <cell r="AA381" t="str">
            <v>x</v>
          </cell>
          <cell r="AC381" t="str">
            <v>x</v>
          </cell>
          <cell r="AD381" t="str">
            <v>x</v>
          </cell>
          <cell r="AE381" t="str">
            <v>x</v>
          </cell>
          <cell r="AF381" t="str">
            <v>x</v>
          </cell>
          <cell r="AG381" t="str">
            <v>x</v>
          </cell>
          <cell r="AH381" t="str">
            <v>x</v>
          </cell>
          <cell r="AJ381" t="str">
            <v>x</v>
          </cell>
          <cell r="AK381" t="str">
            <v>x</v>
          </cell>
          <cell r="AL381" t="str">
            <v>x</v>
          </cell>
          <cell r="AM381">
            <v>25</v>
          </cell>
          <cell r="AN381">
            <v>0.5</v>
          </cell>
        </row>
        <row r="382">
          <cell r="C382">
            <v>51322</v>
          </cell>
          <cell r="D382">
            <v>45013</v>
          </cell>
          <cell r="E382">
            <v>45047</v>
          </cell>
          <cell r="F382" t="str">
            <v>Tổ 14</v>
          </cell>
          <cell r="H382" t="str">
            <v>LT</v>
          </cell>
          <cell r="J382" t="str">
            <v>x</v>
          </cell>
          <cell r="K382" t="str">
            <v>x</v>
          </cell>
          <cell r="L382" t="str">
            <v>x</v>
          </cell>
          <cell r="M382" t="str">
            <v>x</v>
          </cell>
          <cell r="O382" t="str">
            <v>x</v>
          </cell>
          <cell r="P382" t="str">
            <v>x</v>
          </cell>
          <cell r="Q382" t="str">
            <v>x</v>
          </cell>
          <cell r="R382" t="str">
            <v>x</v>
          </cell>
          <cell r="S382" t="str">
            <v>x</v>
          </cell>
          <cell r="T382" t="str">
            <v>x</v>
          </cell>
          <cell r="V382" t="str">
            <v>x</v>
          </cell>
          <cell r="W382" t="str">
            <v>x</v>
          </cell>
          <cell r="X382" t="str">
            <v>x</v>
          </cell>
          <cell r="Y382" t="str">
            <v>x</v>
          </cell>
          <cell r="Z382" t="str">
            <v>x</v>
          </cell>
          <cell r="AA382" t="str">
            <v>x</v>
          </cell>
          <cell r="AC382" t="str">
            <v>x</v>
          </cell>
          <cell r="AD382" t="str">
            <v>x</v>
          </cell>
          <cell r="AE382" t="str">
            <v>x</v>
          </cell>
          <cell r="AF382" t="str">
            <v>x</v>
          </cell>
          <cell r="AG382" t="str">
            <v>x</v>
          </cell>
          <cell r="AH382" t="str">
            <v>x</v>
          </cell>
          <cell r="AI382" t="str">
            <v>x</v>
          </cell>
          <cell r="AJ382" t="str">
            <v>x</v>
          </cell>
          <cell r="AK382" t="str">
            <v>x</v>
          </cell>
          <cell r="AL382" t="str">
            <v>x</v>
          </cell>
          <cell r="AM382">
            <v>25</v>
          </cell>
          <cell r="AN382">
            <v>1</v>
          </cell>
        </row>
        <row r="383">
          <cell r="C383">
            <v>51343</v>
          </cell>
          <cell r="D383">
            <v>45017</v>
          </cell>
          <cell r="E383">
            <v>45047</v>
          </cell>
          <cell r="F383" t="str">
            <v xml:space="preserve">Tổ 7 </v>
          </cell>
          <cell r="H383" t="str">
            <v>LT</v>
          </cell>
          <cell r="J383" t="str">
            <v>x</v>
          </cell>
          <cell r="K383" t="str">
            <v>x</v>
          </cell>
          <cell r="L383" t="str">
            <v>x</v>
          </cell>
          <cell r="M383" t="str">
            <v>x</v>
          </cell>
          <cell r="O383" t="str">
            <v>x</v>
          </cell>
          <cell r="P383" t="str">
            <v>x</v>
          </cell>
          <cell r="Q383" t="str">
            <v>x</v>
          </cell>
          <cell r="R383" t="str">
            <v>x</v>
          </cell>
          <cell r="S383" t="str">
            <v>x</v>
          </cell>
          <cell r="T383" t="str">
            <v>x</v>
          </cell>
          <cell r="V383" t="str">
            <v>x</v>
          </cell>
          <cell r="W383" t="str">
            <v>x</v>
          </cell>
          <cell r="X383" t="str">
            <v>x</v>
          </cell>
          <cell r="Y383" t="str">
            <v>x</v>
          </cell>
          <cell r="Z383" t="str">
            <v>x</v>
          </cell>
          <cell r="AA383" t="str">
            <v>x</v>
          </cell>
          <cell r="AC383" t="str">
            <v>x</v>
          </cell>
          <cell r="AD383" t="str">
            <v>x</v>
          </cell>
          <cell r="AE383" t="str">
            <v>x</v>
          </cell>
          <cell r="AF383" t="str">
            <v>x</v>
          </cell>
          <cell r="AG383" t="str">
            <v>x</v>
          </cell>
          <cell r="AH383" t="str">
            <v>x</v>
          </cell>
          <cell r="AJ383" t="str">
            <v>x</v>
          </cell>
          <cell r="AK383" t="str">
            <v>x</v>
          </cell>
          <cell r="AL383" t="str">
            <v>x</v>
          </cell>
          <cell r="AM383">
            <v>25</v>
          </cell>
          <cell r="AN383">
            <v>0</v>
          </cell>
        </row>
        <row r="384">
          <cell r="C384">
            <v>51345</v>
          </cell>
          <cell r="D384">
            <v>45017</v>
          </cell>
          <cell r="E384">
            <v>45047</v>
          </cell>
          <cell r="F384" t="str">
            <v>H.thiện</v>
          </cell>
          <cell r="H384" t="str">
            <v>LT</v>
          </cell>
          <cell r="J384" t="str">
            <v>x</v>
          </cell>
          <cell r="K384" t="str">
            <v>x</v>
          </cell>
          <cell r="L384" t="str">
            <v>x</v>
          </cell>
          <cell r="M384" t="str">
            <v>x</v>
          </cell>
          <cell r="O384" t="str">
            <v>x</v>
          </cell>
          <cell r="P384" t="str">
            <v>x</v>
          </cell>
          <cell r="Q384" t="str">
            <v>x</v>
          </cell>
          <cell r="R384" t="str">
            <v>x</v>
          </cell>
          <cell r="S384" t="str">
            <v>x</v>
          </cell>
          <cell r="T384" t="str">
            <v>x</v>
          </cell>
          <cell r="U384" t="str">
            <v>x/2</v>
          </cell>
          <cell r="V384" t="str">
            <v>x</v>
          </cell>
          <cell r="W384" t="str">
            <v>x</v>
          </cell>
          <cell r="X384" t="str">
            <v>x</v>
          </cell>
          <cell r="Y384" t="str">
            <v>x</v>
          </cell>
          <cell r="Z384" t="str">
            <v>x</v>
          </cell>
          <cell r="AA384" t="str">
            <v>x</v>
          </cell>
          <cell r="AC384" t="str">
            <v>x</v>
          </cell>
          <cell r="AD384" t="str">
            <v>x</v>
          </cell>
          <cell r="AE384" t="str">
            <v>x</v>
          </cell>
          <cell r="AF384" t="str">
            <v>x</v>
          </cell>
          <cell r="AG384" t="str">
            <v>x</v>
          </cell>
          <cell r="AH384" t="str">
            <v>x</v>
          </cell>
          <cell r="AJ384" t="str">
            <v>x</v>
          </cell>
          <cell r="AK384" t="str">
            <v>x</v>
          </cell>
          <cell r="AL384" t="str">
            <v>x</v>
          </cell>
          <cell r="AM384">
            <v>25</v>
          </cell>
          <cell r="AN384">
            <v>0.5</v>
          </cell>
        </row>
        <row r="385">
          <cell r="C385">
            <v>51346</v>
          </cell>
          <cell r="D385">
            <v>45026</v>
          </cell>
          <cell r="E385">
            <v>45047</v>
          </cell>
          <cell r="F385" t="str">
            <v>H.thiện</v>
          </cell>
          <cell r="H385" t="str">
            <v>LT</v>
          </cell>
          <cell r="J385" t="str">
            <v>x</v>
          </cell>
          <cell r="K385" t="str">
            <v>x</v>
          </cell>
          <cell r="L385" t="str">
            <v>x</v>
          </cell>
          <cell r="M385" t="str">
            <v>x</v>
          </cell>
          <cell r="O385" t="str">
            <v>x</v>
          </cell>
          <cell r="P385" t="str">
            <v>x</v>
          </cell>
          <cell r="Q385" t="str">
            <v>x</v>
          </cell>
          <cell r="R385" t="str">
            <v>x</v>
          </cell>
          <cell r="S385" t="str">
            <v>x</v>
          </cell>
          <cell r="T385" t="str">
            <v>x</v>
          </cell>
          <cell r="U385" t="str">
            <v>x/2</v>
          </cell>
          <cell r="V385" t="str">
            <v>x</v>
          </cell>
          <cell r="W385" t="str">
            <v>x</v>
          </cell>
          <cell r="X385" t="str">
            <v>x</v>
          </cell>
          <cell r="Y385" t="str">
            <v>x</v>
          </cell>
          <cell r="Z385" t="str">
            <v>x</v>
          </cell>
          <cell r="AA385" t="str">
            <v>x</v>
          </cell>
          <cell r="AC385" t="str">
            <v>x</v>
          </cell>
          <cell r="AD385" t="str">
            <v>x</v>
          </cell>
          <cell r="AE385" t="str">
            <v>x</v>
          </cell>
          <cell r="AF385" t="str">
            <v>x</v>
          </cell>
          <cell r="AG385" t="str">
            <v>x</v>
          </cell>
          <cell r="AH385" t="str">
            <v>x</v>
          </cell>
          <cell r="AJ385" t="str">
            <v>x</v>
          </cell>
          <cell r="AK385" t="str">
            <v>x</v>
          </cell>
          <cell r="AL385" t="str">
            <v>x</v>
          </cell>
          <cell r="AM385">
            <v>25</v>
          </cell>
          <cell r="AN385">
            <v>0.5</v>
          </cell>
        </row>
        <row r="386">
          <cell r="C386">
            <v>50111</v>
          </cell>
          <cell r="D386" t="e">
            <v>#N/A</v>
          </cell>
          <cell r="F386" t="str">
            <v>Tổ chi tiết</v>
          </cell>
          <cell r="G386" t="str">
            <v>Nghỉ việc</v>
          </cell>
          <cell r="H386" t="str">
            <v>LT</v>
          </cell>
          <cell r="J386" t="str">
            <v>x</v>
          </cell>
          <cell r="K386" t="str">
            <v>x</v>
          </cell>
          <cell r="L386" t="str">
            <v>x</v>
          </cell>
          <cell r="M386" t="str">
            <v>x</v>
          </cell>
          <cell r="O386" t="str">
            <v>x</v>
          </cell>
          <cell r="P386" t="str">
            <v>x</v>
          </cell>
          <cell r="Q386" t="str">
            <v>x</v>
          </cell>
          <cell r="R386" t="str">
            <v>Ô</v>
          </cell>
          <cell r="S386" t="str">
            <v>x</v>
          </cell>
          <cell r="T386" t="str">
            <v>x</v>
          </cell>
          <cell r="V386" t="str">
            <v>x</v>
          </cell>
          <cell r="W386" t="str">
            <v>x</v>
          </cell>
          <cell r="X386" t="str">
            <v>x</v>
          </cell>
          <cell r="AM386">
            <v>12</v>
          </cell>
          <cell r="AN386">
            <v>0</v>
          </cell>
        </row>
        <row r="387">
          <cell r="C387">
            <v>50641</v>
          </cell>
          <cell r="D387" t="e">
            <v>#N/A</v>
          </cell>
          <cell r="F387" t="str">
            <v>Kiểm hoá</v>
          </cell>
          <cell r="G387" t="str">
            <v>Nghỉ việc</v>
          </cell>
          <cell r="H387" t="str">
            <v>LT</v>
          </cell>
          <cell r="J387" t="str">
            <v>x</v>
          </cell>
          <cell r="K387" t="str">
            <v>x</v>
          </cell>
          <cell r="L387" t="str">
            <v>x</v>
          </cell>
          <cell r="M387" t="str">
            <v>x</v>
          </cell>
          <cell r="O387" t="str">
            <v>x</v>
          </cell>
          <cell r="P387" t="str">
            <v>x</v>
          </cell>
          <cell r="Q387" t="str">
            <v>x</v>
          </cell>
          <cell r="R387" t="str">
            <v>x</v>
          </cell>
          <cell r="S387" t="str">
            <v>Ro</v>
          </cell>
          <cell r="T387" t="str">
            <v>x</v>
          </cell>
          <cell r="U387" t="str">
            <v>x/2</v>
          </cell>
          <cell r="V387" t="str">
            <v>x</v>
          </cell>
          <cell r="W387" t="str">
            <v>x</v>
          </cell>
          <cell r="AM387">
            <v>11</v>
          </cell>
          <cell r="AN387">
            <v>0.5</v>
          </cell>
        </row>
        <row r="388">
          <cell r="C388">
            <v>50737</v>
          </cell>
          <cell r="D388" t="e">
            <v>#N/A</v>
          </cell>
          <cell r="F388" t="str">
            <v>LÀ TP</v>
          </cell>
          <cell r="G388" t="str">
            <v>Nghỉ việc</v>
          </cell>
          <cell r="H388" t="str">
            <v>LT</v>
          </cell>
          <cell r="J388" t="str">
            <v>x</v>
          </cell>
          <cell r="K388" t="str">
            <v>x</v>
          </cell>
          <cell r="L388" t="str">
            <v>x</v>
          </cell>
          <cell r="M388" t="str">
            <v>x</v>
          </cell>
          <cell r="O388" t="str">
            <v>x</v>
          </cell>
          <cell r="P388" t="str">
            <v>x</v>
          </cell>
          <cell r="Q388" t="str">
            <v>x</v>
          </cell>
          <cell r="R388" t="str">
            <v>x</v>
          </cell>
          <cell r="S388" t="str">
            <v>x</v>
          </cell>
          <cell r="T388" t="str">
            <v>x</v>
          </cell>
          <cell r="V388" t="str">
            <v>x</v>
          </cell>
          <cell r="W388" t="str">
            <v>x</v>
          </cell>
          <cell r="X388" t="str">
            <v>x</v>
          </cell>
          <cell r="Y388" t="str">
            <v>x</v>
          </cell>
          <cell r="Z388" t="str">
            <v>x</v>
          </cell>
          <cell r="AA388" t="str">
            <v>x</v>
          </cell>
          <cell r="AC388" t="str">
            <v>x</v>
          </cell>
          <cell r="AM388">
            <v>17</v>
          </cell>
          <cell r="AN388">
            <v>0</v>
          </cell>
        </row>
        <row r="389">
          <cell r="C389">
            <v>50848</v>
          </cell>
          <cell r="D389" t="e">
            <v>#N/A</v>
          </cell>
          <cell r="F389" t="str">
            <v>Tổ 14</v>
          </cell>
          <cell r="G389" t="str">
            <v>Nghỉ việc</v>
          </cell>
          <cell r="H389" t="str">
            <v>LT</v>
          </cell>
          <cell r="J389" t="str">
            <v>x</v>
          </cell>
          <cell r="K389" t="str">
            <v>x</v>
          </cell>
          <cell r="L389" t="str">
            <v>x</v>
          </cell>
          <cell r="M389" t="str">
            <v>x</v>
          </cell>
          <cell r="AM389">
            <v>4</v>
          </cell>
          <cell r="AN389">
            <v>0</v>
          </cell>
        </row>
        <row r="390">
          <cell r="C390">
            <v>51000</v>
          </cell>
          <cell r="D390" t="e">
            <v>#N/A</v>
          </cell>
          <cell r="F390" t="str">
            <v>LÀ TP</v>
          </cell>
          <cell r="G390" t="str">
            <v>Nghỉ việc</v>
          </cell>
          <cell r="H390" t="str">
            <v>LT</v>
          </cell>
          <cell r="J390" t="str">
            <v>x</v>
          </cell>
          <cell r="K390" t="str">
            <v>x</v>
          </cell>
          <cell r="L390" t="str">
            <v>x</v>
          </cell>
          <cell r="M390" t="str">
            <v>R</v>
          </cell>
          <cell r="O390" t="str">
            <v>x</v>
          </cell>
          <cell r="P390" t="str">
            <v>x</v>
          </cell>
          <cell r="Q390" t="str">
            <v>x</v>
          </cell>
          <cell r="R390" t="str">
            <v>x/2</v>
          </cell>
          <cell r="AM390">
            <v>6.5</v>
          </cell>
          <cell r="AN390">
            <v>0</v>
          </cell>
        </row>
        <row r="391">
          <cell r="C391">
            <v>51011</v>
          </cell>
          <cell r="D391">
            <v>44772</v>
          </cell>
          <cell r="F391" t="str">
            <v>LÀ TP</v>
          </cell>
          <cell r="H391" t="str">
            <v>LT</v>
          </cell>
          <cell r="J391" t="str">
            <v>x</v>
          </cell>
          <cell r="K391" t="str">
            <v>x</v>
          </cell>
          <cell r="L391" t="str">
            <v>x</v>
          </cell>
          <cell r="M391" t="str">
            <v>x</v>
          </cell>
          <cell r="O391" t="str">
            <v>x</v>
          </cell>
          <cell r="P391" t="str">
            <v>x</v>
          </cell>
          <cell r="Q391" t="str">
            <v>x</v>
          </cell>
          <cell r="R391" t="str">
            <v>x</v>
          </cell>
          <cell r="S391" t="str">
            <v>x</v>
          </cell>
          <cell r="T391" t="str">
            <v>x</v>
          </cell>
          <cell r="V391" t="str">
            <v>x</v>
          </cell>
          <cell r="W391" t="str">
            <v>x</v>
          </cell>
          <cell r="X391" t="str">
            <v>x</v>
          </cell>
          <cell r="Y391" t="str">
            <v>x</v>
          </cell>
          <cell r="Z391" t="str">
            <v>x</v>
          </cell>
          <cell r="AA391" t="str">
            <v>x</v>
          </cell>
          <cell r="AC391" t="str">
            <v>x</v>
          </cell>
          <cell r="AD391" t="str">
            <v>x</v>
          </cell>
          <cell r="AE391" t="str">
            <v>x</v>
          </cell>
          <cell r="AF391" t="str">
            <v>x</v>
          </cell>
          <cell r="AG391" t="str">
            <v>x</v>
          </cell>
          <cell r="AH391" t="str">
            <v>x</v>
          </cell>
          <cell r="AJ391" t="str">
            <v>x</v>
          </cell>
          <cell r="AK391" t="str">
            <v>x</v>
          </cell>
          <cell r="AL391" t="str">
            <v>x</v>
          </cell>
          <cell r="AM391">
            <v>25</v>
          </cell>
          <cell r="AN391">
            <v>0</v>
          </cell>
        </row>
        <row r="392">
          <cell r="C392">
            <v>51077</v>
          </cell>
          <cell r="D392">
            <v>44811</v>
          </cell>
          <cell r="F392" t="str">
            <v>LÀ TP</v>
          </cell>
          <cell r="H392" t="str">
            <v>LT</v>
          </cell>
          <cell r="J392" t="str">
            <v>x</v>
          </cell>
          <cell r="K392" t="str">
            <v>x</v>
          </cell>
          <cell r="L392" t="str">
            <v>x</v>
          </cell>
          <cell r="M392" t="str">
            <v>x</v>
          </cell>
          <cell r="O392" t="str">
            <v>x</v>
          </cell>
          <cell r="P392" t="str">
            <v>x</v>
          </cell>
          <cell r="Q392" t="str">
            <v>x</v>
          </cell>
          <cell r="R392" t="str">
            <v>x</v>
          </cell>
          <cell r="S392" t="str">
            <v>x</v>
          </cell>
          <cell r="T392" t="str">
            <v>x</v>
          </cell>
          <cell r="V392" t="str">
            <v>x</v>
          </cell>
          <cell r="W392" t="str">
            <v>x</v>
          </cell>
          <cell r="X392" t="str">
            <v>x</v>
          </cell>
          <cell r="Y392" t="str">
            <v>x</v>
          </cell>
          <cell r="Z392" t="str">
            <v>x</v>
          </cell>
          <cell r="AA392" t="str">
            <v>x</v>
          </cell>
          <cell r="AC392" t="str">
            <v>x</v>
          </cell>
          <cell r="AD392" t="str">
            <v>x</v>
          </cell>
          <cell r="AE392" t="str">
            <v>x</v>
          </cell>
          <cell r="AF392" t="str">
            <v>x</v>
          </cell>
          <cell r="AG392" t="str">
            <v>x</v>
          </cell>
          <cell r="AH392" t="str">
            <v>x</v>
          </cell>
          <cell r="AJ392" t="str">
            <v>x</v>
          </cell>
          <cell r="AK392" t="str">
            <v>x</v>
          </cell>
          <cell r="AL392" t="str">
            <v>x</v>
          </cell>
          <cell r="AM392">
            <v>25</v>
          </cell>
          <cell r="AN392">
            <v>0</v>
          </cell>
        </row>
        <row r="393">
          <cell r="C393">
            <v>51089</v>
          </cell>
          <cell r="D393" t="e">
            <v>#N/A</v>
          </cell>
          <cell r="F393" t="str">
            <v>C.điện</v>
          </cell>
          <cell r="G393" t="str">
            <v>Nghỉ việc</v>
          </cell>
          <cell r="H393" t="str">
            <v>LT</v>
          </cell>
          <cell r="J393" t="str">
            <v>x</v>
          </cell>
          <cell r="K393" t="str">
            <v>x</v>
          </cell>
          <cell r="L393" t="str">
            <v>x</v>
          </cell>
          <cell r="M393" t="str">
            <v>x</v>
          </cell>
          <cell r="O393" t="str">
            <v>x</v>
          </cell>
          <cell r="P393" t="str">
            <v>x</v>
          </cell>
          <cell r="Q393" t="str">
            <v>x</v>
          </cell>
          <cell r="R393" t="str">
            <v>x</v>
          </cell>
          <cell r="S393" t="str">
            <v>x</v>
          </cell>
          <cell r="T393" t="str">
            <v>x</v>
          </cell>
          <cell r="V393" t="str">
            <v>x</v>
          </cell>
          <cell r="AM393">
            <v>11</v>
          </cell>
          <cell r="AN393">
            <v>0</v>
          </cell>
        </row>
        <row r="394">
          <cell r="C394">
            <v>51107</v>
          </cell>
          <cell r="D394" t="e">
            <v>#N/A</v>
          </cell>
          <cell r="F394" t="str">
            <v>LÀ TP</v>
          </cell>
          <cell r="G394" t="str">
            <v>Nghỉ việc</v>
          </cell>
          <cell r="J394" t="str">
            <v>x</v>
          </cell>
          <cell r="AM394">
            <v>1</v>
          </cell>
          <cell r="AN394">
            <v>0</v>
          </cell>
        </row>
        <row r="395">
          <cell r="C395">
            <v>51133</v>
          </cell>
          <cell r="D395" t="e">
            <v>#N/A</v>
          </cell>
          <cell r="F395" t="str">
            <v>Tổ Sơ mi 1</v>
          </cell>
          <cell r="G395" t="str">
            <v>Nghỉ việc</v>
          </cell>
          <cell r="H395" t="str">
            <v>LT</v>
          </cell>
          <cell r="J395" t="str">
            <v>x</v>
          </cell>
          <cell r="K395" t="str">
            <v>x</v>
          </cell>
          <cell r="L395" t="str">
            <v>x</v>
          </cell>
          <cell r="M395" t="str">
            <v>x</v>
          </cell>
          <cell r="O395" t="str">
            <v>Ô</v>
          </cell>
          <cell r="P395" t="str">
            <v>Ô</v>
          </cell>
          <cell r="Q395" t="str">
            <v>x</v>
          </cell>
          <cell r="R395" t="str">
            <v>x</v>
          </cell>
          <cell r="S395" t="str">
            <v>Ô</v>
          </cell>
          <cell r="T395" t="str">
            <v>x</v>
          </cell>
          <cell r="V395" t="str">
            <v>x</v>
          </cell>
          <cell r="W395" t="str">
            <v>x</v>
          </cell>
          <cell r="X395" t="str">
            <v>x</v>
          </cell>
          <cell r="Y395" t="str">
            <v>x</v>
          </cell>
          <cell r="Z395" t="str">
            <v>x</v>
          </cell>
          <cell r="AA395" t="str">
            <v>Ô</v>
          </cell>
          <cell r="AM395">
            <v>12</v>
          </cell>
          <cell r="AN395">
            <v>0</v>
          </cell>
        </row>
        <row r="396">
          <cell r="C396">
            <v>51150</v>
          </cell>
          <cell r="D396" t="e">
            <v>#N/A</v>
          </cell>
          <cell r="F396" t="str">
            <v>Tổ chi tiết</v>
          </cell>
          <cell r="G396" t="str">
            <v>Nghỉ việc</v>
          </cell>
          <cell r="H396" t="str">
            <v>LT</v>
          </cell>
          <cell r="J396" t="str">
            <v>x/2</v>
          </cell>
          <cell r="K396" t="str">
            <v>x</v>
          </cell>
          <cell r="L396" t="str">
            <v>x</v>
          </cell>
          <cell r="M396" t="str">
            <v>x</v>
          </cell>
          <cell r="O396" t="str">
            <v>x</v>
          </cell>
          <cell r="P396" t="str">
            <v>x</v>
          </cell>
          <cell r="Q396" t="str">
            <v>x</v>
          </cell>
          <cell r="R396" t="str">
            <v>x</v>
          </cell>
          <cell r="S396" t="str">
            <v>x</v>
          </cell>
          <cell r="T396" t="str">
            <v>x</v>
          </cell>
          <cell r="V396" t="str">
            <v>x</v>
          </cell>
          <cell r="W396" t="str">
            <v>x</v>
          </cell>
          <cell r="X396" t="str">
            <v>x</v>
          </cell>
          <cell r="Y396" t="str">
            <v>x</v>
          </cell>
          <cell r="Z396" t="str">
            <v>x</v>
          </cell>
          <cell r="AM396">
            <v>14.5</v>
          </cell>
          <cell r="AN396">
            <v>0</v>
          </cell>
        </row>
        <row r="397">
          <cell r="C397">
            <v>51170</v>
          </cell>
          <cell r="D397">
            <v>44846</v>
          </cell>
          <cell r="F397" t="str">
            <v>LÀ TP</v>
          </cell>
          <cell r="H397" t="str">
            <v>LT</v>
          </cell>
          <cell r="J397" t="str">
            <v>x</v>
          </cell>
          <cell r="K397" t="str">
            <v>x</v>
          </cell>
          <cell r="L397" t="str">
            <v>x</v>
          </cell>
          <cell r="M397" t="str">
            <v>x</v>
          </cell>
          <cell r="O397" t="str">
            <v>x</v>
          </cell>
          <cell r="P397" t="str">
            <v>x</v>
          </cell>
          <cell r="Q397" t="str">
            <v>x</v>
          </cell>
          <cell r="R397" t="str">
            <v>x</v>
          </cell>
          <cell r="S397" t="str">
            <v>x</v>
          </cell>
          <cell r="T397" t="str">
            <v>x</v>
          </cell>
          <cell r="V397" t="str">
            <v>x</v>
          </cell>
          <cell r="W397" t="str">
            <v>x</v>
          </cell>
          <cell r="X397" t="str">
            <v>x</v>
          </cell>
          <cell r="Y397" t="str">
            <v>x</v>
          </cell>
          <cell r="Z397" t="str">
            <v>x</v>
          </cell>
          <cell r="AA397" t="str">
            <v>x</v>
          </cell>
          <cell r="AC397" t="str">
            <v>x</v>
          </cell>
          <cell r="AD397" t="str">
            <v>x</v>
          </cell>
          <cell r="AE397" t="str">
            <v>x</v>
          </cell>
          <cell r="AF397" t="str">
            <v>x</v>
          </cell>
          <cell r="AG397" t="str">
            <v>x</v>
          </cell>
          <cell r="AH397" t="str">
            <v>x</v>
          </cell>
          <cell r="AJ397" t="str">
            <v>x</v>
          </cell>
          <cell r="AK397" t="str">
            <v>x</v>
          </cell>
          <cell r="AL397" t="str">
            <v>x</v>
          </cell>
          <cell r="AM397">
            <v>25</v>
          </cell>
          <cell r="AN397">
            <v>0</v>
          </cell>
        </row>
        <row r="398">
          <cell r="C398">
            <v>51177</v>
          </cell>
          <cell r="D398" t="e">
            <v>#N/A</v>
          </cell>
          <cell r="F398" t="str">
            <v>LÀ TP</v>
          </cell>
          <cell r="G398" t="str">
            <v>Nghỉ việc</v>
          </cell>
          <cell r="H398" t="str">
            <v>LT</v>
          </cell>
          <cell r="J398" t="str">
            <v>ro</v>
          </cell>
          <cell r="K398" t="str">
            <v>x</v>
          </cell>
          <cell r="L398" t="str">
            <v>x</v>
          </cell>
          <cell r="M398" t="str">
            <v>x</v>
          </cell>
          <cell r="O398" t="str">
            <v>x</v>
          </cell>
          <cell r="P398" t="str">
            <v>x</v>
          </cell>
          <cell r="Q398" t="str">
            <v>x</v>
          </cell>
          <cell r="R398" t="str">
            <v>x</v>
          </cell>
          <cell r="S398" t="str">
            <v>x</v>
          </cell>
          <cell r="T398" t="str">
            <v>x</v>
          </cell>
          <cell r="V398" t="str">
            <v>Ro</v>
          </cell>
          <cell r="W398" t="str">
            <v>x</v>
          </cell>
          <cell r="X398" t="str">
            <v>x</v>
          </cell>
          <cell r="Y398" t="str">
            <v>x</v>
          </cell>
          <cell r="Z398" t="str">
            <v>x</v>
          </cell>
          <cell r="AA398" t="str">
            <v>x</v>
          </cell>
          <cell r="AC398" t="str">
            <v>Ro</v>
          </cell>
          <cell r="AD398" t="str">
            <v>x</v>
          </cell>
          <cell r="AE398" t="str">
            <v>x</v>
          </cell>
          <cell r="AF398" t="str">
            <v>x</v>
          </cell>
          <cell r="AG398" t="str">
            <v>x</v>
          </cell>
          <cell r="AH398" t="str">
            <v>x</v>
          </cell>
          <cell r="AJ398" t="str">
            <v>Ro</v>
          </cell>
          <cell r="AK398" t="str">
            <v>x</v>
          </cell>
          <cell r="AL398" t="str">
            <v>Ro</v>
          </cell>
          <cell r="AM398">
            <v>20</v>
          </cell>
          <cell r="AN398">
            <v>0</v>
          </cell>
        </row>
        <row r="399">
          <cell r="C399">
            <v>51182</v>
          </cell>
          <cell r="D399" t="e">
            <v>#N/A</v>
          </cell>
          <cell r="F399" t="str">
            <v>Tổ chi tiết</v>
          </cell>
          <cell r="G399" t="str">
            <v>Nghỉ việc</v>
          </cell>
          <cell r="H399" t="str">
            <v>LT</v>
          </cell>
          <cell r="J399" t="str">
            <v>x</v>
          </cell>
          <cell r="K399" t="str">
            <v>x</v>
          </cell>
          <cell r="L399" t="str">
            <v>x</v>
          </cell>
          <cell r="M399" t="str">
            <v>x</v>
          </cell>
          <cell r="O399" t="str">
            <v>x</v>
          </cell>
          <cell r="P399" t="str">
            <v>x</v>
          </cell>
          <cell r="Q399" t="str">
            <v>x</v>
          </cell>
          <cell r="R399" t="str">
            <v>x</v>
          </cell>
          <cell r="S399" t="str">
            <v>x</v>
          </cell>
          <cell r="T399" t="str">
            <v>x</v>
          </cell>
          <cell r="V399" t="str">
            <v>x</v>
          </cell>
          <cell r="W399" t="str">
            <v>x</v>
          </cell>
          <cell r="X399" t="str">
            <v>x</v>
          </cell>
          <cell r="Y399" t="str">
            <v>x</v>
          </cell>
          <cell r="Z399" t="str">
            <v>x</v>
          </cell>
          <cell r="AA399" t="str">
            <v>x</v>
          </cell>
          <cell r="AC399" t="str">
            <v>Ô</v>
          </cell>
          <cell r="AD399" t="str">
            <v>O</v>
          </cell>
          <cell r="AE399" t="str">
            <v>x</v>
          </cell>
          <cell r="AF399" t="str">
            <v>Ô</v>
          </cell>
          <cell r="AG399" t="str">
            <v>x</v>
          </cell>
          <cell r="AH399" t="str">
            <v>x</v>
          </cell>
          <cell r="AJ399" t="str">
            <v>x</v>
          </cell>
          <cell r="AK399" t="str">
            <v>x</v>
          </cell>
          <cell r="AL399" t="str">
            <v>x</v>
          </cell>
          <cell r="AM399">
            <v>22</v>
          </cell>
          <cell r="AN399">
            <v>0</v>
          </cell>
        </row>
        <row r="400">
          <cell r="C400">
            <v>51200</v>
          </cell>
          <cell r="D400">
            <v>44868</v>
          </cell>
          <cell r="F400" t="str">
            <v>Tổ 15</v>
          </cell>
          <cell r="H400" t="str">
            <v>LT</v>
          </cell>
          <cell r="J400" t="str">
            <v>x</v>
          </cell>
          <cell r="K400" t="str">
            <v>x</v>
          </cell>
          <cell r="L400" t="str">
            <v>x</v>
          </cell>
          <cell r="M400" t="str">
            <v>x</v>
          </cell>
          <cell r="O400" t="str">
            <v>x</v>
          </cell>
          <cell r="P400" t="str">
            <v>x</v>
          </cell>
          <cell r="Q400" t="str">
            <v>x</v>
          </cell>
          <cell r="R400" t="str">
            <v>x</v>
          </cell>
          <cell r="S400" t="str">
            <v>x</v>
          </cell>
          <cell r="T400" t="str">
            <v>x</v>
          </cell>
          <cell r="V400" t="str">
            <v>Ro</v>
          </cell>
          <cell r="W400" t="str">
            <v>Ro</v>
          </cell>
          <cell r="X400" t="str">
            <v>Ro</v>
          </cell>
          <cell r="Y400" t="str">
            <v>Ro</v>
          </cell>
          <cell r="Z400" t="str">
            <v>Ro</v>
          </cell>
          <cell r="AA400" t="str">
            <v>Ro</v>
          </cell>
          <cell r="AC400" t="str">
            <v>Ro</v>
          </cell>
          <cell r="AD400" t="str">
            <v>Ro</v>
          </cell>
          <cell r="AE400" t="str">
            <v>Ro</v>
          </cell>
          <cell r="AF400" t="str">
            <v>Ro</v>
          </cell>
          <cell r="AG400" t="str">
            <v>Ro</v>
          </cell>
          <cell r="AH400" t="str">
            <v>Ro</v>
          </cell>
          <cell r="AJ400" t="str">
            <v>Ro</v>
          </cell>
          <cell r="AK400" t="str">
            <v>Ro</v>
          </cell>
          <cell r="AL400" t="str">
            <v>Ro</v>
          </cell>
          <cell r="AM400">
            <v>10</v>
          </cell>
          <cell r="AN400">
            <v>0</v>
          </cell>
        </row>
        <row r="401">
          <cell r="C401">
            <v>51222</v>
          </cell>
          <cell r="D401">
            <v>44958</v>
          </cell>
          <cell r="F401" t="str">
            <v>HN</v>
          </cell>
          <cell r="H401" t="str">
            <v>LT</v>
          </cell>
          <cell r="J401" t="str">
            <v>x</v>
          </cell>
          <cell r="K401" t="str">
            <v>x</v>
          </cell>
          <cell r="L401" t="str">
            <v>x</v>
          </cell>
          <cell r="M401" t="str">
            <v>x</v>
          </cell>
          <cell r="O401" t="str">
            <v>x</v>
          </cell>
          <cell r="P401" t="str">
            <v>x</v>
          </cell>
          <cell r="Q401" t="str">
            <v>x</v>
          </cell>
          <cell r="R401" t="str">
            <v>x</v>
          </cell>
          <cell r="S401" t="str">
            <v>x</v>
          </cell>
          <cell r="T401" t="str">
            <v>x</v>
          </cell>
          <cell r="V401" t="str">
            <v>x</v>
          </cell>
          <cell r="W401" t="str">
            <v>x</v>
          </cell>
          <cell r="X401" t="str">
            <v>x</v>
          </cell>
          <cell r="Y401" t="str">
            <v>x</v>
          </cell>
          <cell r="Z401" t="str">
            <v>x</v>
          </cell>
          <cell r="AA401" t="str">
            <v>x</v>
          </cell>
          <cell r="AC401" t="str">
            <v>x</v>
          </cell>
          <cell r="AD401" t="str">
            <v>x</v>
          </cell>
          <cell r="AE401" t="str">
            <v>x</v>
          </cell>
          <cell r="AF401" t="str">
            <v>x</v>
          </cell>
          <cell r="AG401" t="str">
            <v>x</v>
          </cell>
          <cell r="AH401" t="str">
            <v>x</v>
          </cell>
          <cell r="AI401" t="str">
            <v>x</v>
          </cell>
          <cell r="AJ401" t="str">
            <v>x</v>
          </cell>
          <cell r="AK401" t="str">
            <v>x</v>
          </cell>
          <cell r="AL401" t="str">
            <v>x</v>
          </cell>
          <cell r="AM401">
            <v>25</v>
          </cell>
          <cell r="AN401">
            <v>1</v>
          </cell>
        </row>
        <row r="402">
          <cell r="C402">
            <v>51225</v>
          </cell>
          <cell r="D402">
            <v>44960</v>
          </cell>
          <cell r="F402" t="str">
            <v>LÀ TP</v>
          </cell>
          <cell r="H402" t="str">
            <v>LT</v>
          </cell>
          <cell r="J402" t="str">
            <v>x</v>
          </cell>
          <cell r="K402" t="str">
            <v>x</v>
          </cell>
          <cell r="L402" t="str">
            <v>x</v>
          </cell>
          <cell r="M402" t="str">
            <v>x</v>
          </cell>
          <cell r="O402" t="str">
            <v>x</v>
          </cell>
          <cell r="P402" t="str">
            <v>x</v>
          </cell>
          <cell r="Q402" t="str">
            <v>x</v>
          </cell>
          <cell r="R402" t="str">
            <v>x</v>
          </cell>
          <cell r="S402" t="str">
            <v>x</v>
          </cell>
          <cell r="T402" t="str">
            <v>x</v>
          </cell>
          <cell r="V402" t="str">
            <v>x</v>
          </cell>
          <cell r="W402" t="str">
            <v>x</v>
          </cell>
          <cell r="X402" t="str">
            <v>x</v>
          </cell>
          <cell r="Y402" t="str">
            <v>x</v>
          </cell>
          <cell r="Z402" t="str">
            <v>x</v>
          </cell>
          <cell r="AA402" t="str">
            <v>x</v>
          </cell>
          <cell r="AC402" t="str">
            <v>x</v>
          </cell>
          <cell r="AD402" t="str">
            <v>x</v>
          </cell>
          <cell r="AE402" t="str">
            <v>x</v>
          </cell>
          <cell r="AF402" t="str">
            <v>x</v>
          </cell>
          <cell r="AG402" t="str">
            <v>x</v>
          </cell>
          <cell r="AH402" t="str">
            <v>x</v>
          </cell>
          <cell r="AJ402" t="str">
            <v>x</v>
          </cell>
          <cell r="AK402" t="str">
            <v>x</v>
          </cell>
          <cell r="AL402" t="str">
            <v>x</v>
          </cell>
          <cell r="AM402">
            <v>25</v>
          </cell>
          <cell r="AN402">
            <v>0</v>
          </cell>
        </row>
        <row r="403">
          <cell r="C403">
            <v>51229</v>
          </cell>
          <cell r="D403">
            <v>44963</v>
          </cell>
          <cell r="F403" t="str">
            <v>Tổ sơ mi 3</v>
          </cell>
          <cell r="H403" t="str">
            <v>LT</v>
          </cell>
          <cell r="J403" t="str">
            <v>x</v>
          </cell>
          <cell r="K403" t="str">
            <v>x</v>
          </cell>
          <cell r="L403" t="str">
            <v>x</v>
          </cell>
          <cell r="M403" t="str">
            <v>x</v>
          </cell>
          <cell r="O403" t="str">
            <v>x</v>
          </cell>
          <cell r="P403" t="str">
            <v>x</v>
          </cell>
          <cell r="Q403" t="str">
            <v>x</v>
          </cell>
          <cell r="R403" t="str">
            <v>x</v>
          </cell>
          <cell r="S403" t="str">
            <v>x</v>
          </cell>
          <cell r="T403" t="str">
            <v>x</v>
          </cell>
          <cell r="V403" t="str">
            <v>x</v>
          </cell>
          <cell r="W403" t="str">
            <v>x</v>
          </cell>
          <cell r="X403" t="str">
            <v>x</v>
          </cell>
          <cell r="Y403" t="str">
            <v>x</v>
          </cell>
          <cell r="Z403" t="str">
            <v>x</v>
          </cell>
          <cell r="AA403" t="str">
            <v>x</v>
          </cell>
          <cell r="AC403" t="str">
            <v>x</v>
          </cell>
          <cell r="AD403" t="str">
            <v>x</v>
          </cell>
          <cell r="AE403" t="str">
            <v>x</v>
          </cell>
          <cell r="AF403" t="str">
            <v>x</v>
          </cell>
          <cell r="AG403" t="str">
            <v>x</v>
          </cell>
          <cell r="AH403" t="str">
            <v>x</v>
          </cell>
          <cell r="AJ403" t="str">
            <v>x</v>
          </cell>
          <cell r="AK403" t="str">
            <v>x</v>
          </cell>
          <cell r="AL403" t="str">
            <v>x</v>
          </cell>
          <cell r="AM403">
            <v>25</v>
          </cell>
          <cell r="AN403">
            <v>0</v>
          </cell>
        </row>
        <row r="404">
          <cell r="C404">
            <v>51232</v>
          </cell>
          <cell r="D404">
            <v>44965</v>
          </cell>
          <cell r="F404" t="str">
            <v>Kiểm hoá</v>
          </cell>
          <cell r="H404" t="str">
            <v>LT</v>
          </cell>
          <cell r="J404" t="str">
            <v>x</v>
          </cell>
          <cell r="K404" t="str">
            <v>x</v>
          </cell>
          <cell r="L404" t="str">
            <v>x</v>
          </cell>
          <cell r="M404" t="str">
            <v>x</v>
          </cell>
          <cell r="O404" t="str">
            <v>x</v>
          </cell>
          <cell r="P404" t="str">
            <v>x</v>
          </cell>
          <cell r="Q404" t="str">
            <v>x</v>
          </cell>
          <cell r="R404" t="str">
            <v>x</v>
          </cell>
          <cell r="S404" t="str">
            <v>x</v>
          </cell>
          <cell r="T404" t="str">
            <v>x</v>
          </cell>
          <cell r="V404" t="str">
            <v>x</v>
          </cell>
          <cell r="W404" t="str">
            <v>x</v>
          </cell>
          <cell r="X404" t="str">
            <v>x</v>
          </cell>
          <cell r="Y404" t="str">
            <v>x</v>
          </cell>
          <cell r="Z404" t="str">
            <v>x</v>
          </cell>
          <cell r="AA404" t="str">
            <v>x</v>
          </cell>
          <cell r="AC404" t="str">
            <v>x</v>
          </cell>
          <cell r="AD404" t="str">
            <v>x</v>
          </cell>
          <cell r="AE404" t="str">
            <v>x</v>
          </cell>
          <cell r="AF404" t="str">
            <v>x</v>
          </cell>
          <cell r="AG404" t="str">
            <v>x</v>
          </cell>
          <cell r="AH404" t="str">
            <v>x</v>
          </cell>
          <cell r="AJ404" t="str">
            <v>x</v>
          </cell>
          <cell r="AK404" t="str">
            <v>x</v>
          </cell>
          <cell r="AL404" t="str">
            <v>x</v>
          </cell>
          <cell r="AM404">
            <v>25</v>
          </cell>
          <cell r="AN404">
            <v>0</v>
          </cell>
        </row>
        <row r="405">
          <cell r="C405">
            <v>51236</v>
          </cell>
          <cell r="D405">
            <v>44967</v>
          </cell>
          <cell r="F405" t="str">
            <v xml:space="preserve">Tổ 7 </v>
          </cell>
          <cell r="H405" t="str">
            <v>LT</v>
          </cell>
          <cell r="J405" t="str">
            <v>x</v>
          </cell>
          <cell r="K405" t="str">
            <v>x</v>
          </cell>
          <cell r="L405" t="str">
            <v>x</v>
          </cell>
          <cell r="M405" t="str">
            <v>x</v>
          </cell>
          <cell r="O405" t="str">
            <v>x</v>
          </cell>
          <cell r="P405" t="str">
            <v>x</v>
          </cell>
          <cell r="Q405" t="str">
            <v>x</v>
          </cell>
          <cell r="R405" t="str">
            <v>x</v>
          </cell>
          <cell r="S405" t="str">
            <v>x</v>
          </cell>
          <cell r="T405" t="str">
            <v>x</v>
          </cell>
          <cell r="V405" t="str">
            <v>x</v>
          </cell>
          <cell r="W405" t="str">
            <v>x</v>
          </cell>
          <cell r="X405" t="str">
            <v>x</v>
          </cell>
          <cell r="Y405" t="str">
            <v>x</v>
          </cell>
          <cell r="Z405" t="str">
            <v>x/2</v>
          </cell>
          <cell r="AA405" t="str">
            <v>x</v>
          </cell>
          <cell r="AC405" t="str">
            <v>x</v>
          </cell>
          <cell r="AD405" t="str">
            <v>x</v>
          </cell>
          <cell r="AE405" t="str">
            <v>x</v>
          </cell>
          <cell r="AF405" t="str">
            <v>x</v>
          </cell>
          <cell r="AG405" t="str">
            <v>x</v>
          </cell>
          <cell r="AH405" t="str">
            <v>x</v>
          </cell>
          <cell r="AJ405" t="str">
            <v>x</v>
          </cell>
          <cell r="AK405" t="str">
            <v>x</v>
          </cell>
          <cell r="AL405" t="str">
            <v>x</v>
          </cell>
          <cell r="AM405">
            <v>24.5</v>
          </cell>
          <cell r="AN405">
            <v>0</v>
          </cell>
        </row>
        <row r="406">
          <cell r="C406">
            <v>51242</v>
          </cell>
          <cell r="D406" t="e">
            <v>#N/A</v>
          </cell>
          <cell r="F406" t="str">
            <v>HN</v>
          </cell>
          <cell r="G406" t="str">
            <v>Nghỉ việc</v>
          </cell>
          <cell r="H406" t="str">
            <v>LT</v>
          </cell>
          <cell r="J406" t="str">
            <v>x</v>
          </cell>
          <cell r="K406" t="str">
            <v>x</v>
          </cell>
          <cell r="L406" t="str">
            <v>x</v>
          </cell>
          <cell r="M406" t="str">
            <v>x</v>
          </cell>
          <cell r="O406" t="str">
            <v>x</v>
          </cell>
          <cell r="P406" t="str">
            <v>x</v>
          </cell>
          <cell r="Q406" t="str">
            <v>x</v>
          </cell>
          <cell r="R406" t="str">
            <v>x</v>
          </cell>
          <cell r="S406" t="str">
            <v>x</v>
          </cell>
          <cell r="T406" t="str">
            <v>x</v>
          </cell>
          <cell r="V406" t="str">
            <v>x</v>
          </cell>
          <cell r="W406" t="str">
            <v>x</v>
          </cell>
          <cell r="AM406">
            <v>12</v>
          </cell>
          <cell r="AN406">
            <v>0</v>
          </cell>
        </row>
        <row r="407">
          <cell r="C407">
            <v>51243</v>
          </cell>
          <cell r="D407">
            <v>44968</v>
          </cell>
          <cell r="F407" t="str">
            <v>Tổ chi tiết</v>
          </cell>
          <cell r="H407" t="str">
            <v>LT</v>
          </cell>
          <cell r="J407" t="str">
            <v>x</v>
          </cell>
          <cell r="K407" t="str">
            <v>x</v>
          </cell>
          <cell r="L407" t="str">
            <v>x</v>
          </cell>
          <cell r="M407" t="str">
            <v>x</v>
          </cell>
          <cell r="O407" t="str">
            <v>x</v>
          </cell>
          <cell r="P407" t="str">
            <v>x</v>
          </cell>
          <cell r="Q407" t="str">
            <v>x</v>
          </cell>
          <cell r="R407" t="str">
            <v>x</v>
          </cell>
          <cell r="S407" t="str">
            <v>x</v>
          </cell>
          <cell r="T407" t="str">
            <v>x</v>
          </cell>
          <cell r="V407" t="str">
            <v>x</v>
          </cell>
          <cell r="W407" t="str">
            <v>x</v>
          </cell>
          <cell r="X407" t="str">
            <v>x</v>
          </cell>
          <cell r="Y407" t="str">
            <v>x</v>
          </cell>
          <cell r="Z407" t="str">
            <v>x</v>
          </cell>
          <cell r="AA407" t="str">
            <v>x</v>
          </cell>
          <cell r="AC407" t="str">
            <v>x</v>
          </cell>
          <cell r="AD407" t="str">
            <v>x</v>
          </cell>
          <cell r="AE407" t="str">
            <v>x</v>
          </cell>
          <cell r="AF407" t="str">
            <v>x</v>
          </cell>
          <cell r="AG407" t="str">
            <v>x</v>
          </cell>
          <cell r="AH407" t="str">
            <v>x</v>
          </cell>
          <cell r="AJ407" t="str">
            <v>x</v>
          </cell>
          <cell r="AK407" t="str">
            <v>x</v>
          </cell>
          <cell r="AL407" t="str">
            <v>x</v>
          </cell>
          <cell r="AM407">
            <v>25</v>
          </cell>
          <cell r="AN407">
            <v>0</v>
          </cell>
        </row>
        <row r="408">
          <cell r="C408">
            <v>51245</v>
          </cell>
          <cell r="D408">
            <v>44970</v>
          </cell>
          <cell r="F408" t="str">
            <v>Tổ chi tiết</v>
          </cell>
          <cell r="H408" t="str">
            <v>LT</v>
          </cell>
          <cell r="J408" t="str">
            <v>x</v>
          </cell>
          <cell r="K408" t="str">
            <v>x</v>
          </cell>
          <cell r="L408" t="str">
            <v>x</v>
          </cell>
          <cell r="M408" t="str">
            <v>x</v>
          </cell>
          <cell r="O408" t="str">
            <v>x</v>
          </cell>
          <cell r="P408" t="str">
            <v>x</v>
          </cell>
          <cell r="Q408" t="str">
            <v>x</v>
          </cell>
          <cell r="R408" t="str">
            <v>x</v>
          </cell>
          <cell r="S408" t="str">
            <v>x</v>
          </cell>
          <cell r="T408" t="str">
            <v>x</v>
          </cell>
          <cell r="V408" t="str">
            <v>x</v>
          </cell>
          <cell r="W408" t="str">
            <v>x</v>
          </cell>
          <cell r="X408" t="str">
            <v>x</v>
          </cell>
          <cell r="Y408" t="str">
            <v>x</v>
          </cell>
          <cell r="Z408" t="str">
            <v>x</v>
          </cell>
          <cell r="AA408" t="str">
            <v>x</v>
          </cell>
          <cell r="AC408" t="str">
            <v>x</v>
          </cell>
          <cell r="AD408" t="str">
            <v>x</v>
          </cell>
          <cell r="AE408" t="str">
            <v>x</v>
          </cell>
          <cell r="AF408" t="str">
            <v>x</v>
          </cell>
          <cell r="AG408" t="str">
            <v>x</v>
          </cell>
          <cell r="AH408" t="str">
            <v>x</v>
          </cell>
          <cell r="AJ408" t="str">
            <v>x</v>
          </cell>
          <cell r="AK408" t="str">
            <v>x</v>
          </cell>
          <cell r="AL408" t="str">
            <v>x</v>
          </cell>
          <cell r="AM408">
            <v>25</v>
          </cell>
          <cell r="AN408">
            <v>0</v>
          </cell>
        </row>
        <row r="409">
          <cell r="C409">
            <v>51248</v>
          </cell>
          <cell r="D409">
            <v>44971</v>
          </cell>
          <cell r="F409" t="str">
            <v>Tổ chi tiết</v>
          </cell>
          <cell r="H409" t="str">
            <v>LT</v>
          </cell>
          <cell r="J409" t="str">
            <v>x</v>
          </cell>
          <cell r="K409" t="str">
            <v>x</v>
          </cell>
          <cell r="L409" t="str">
            <v>x</v>
          </cell>
          <cell r="M409" t="str">
            <v>x</v>
          </cell>
          <cell r="O409" t="str">
            <v>x</v>
          </cell>
          <cell r="P409" t="str">
            <v>x</v>
          </cell>
          <cell r="Q409" t="str">
            <v>x</v>
          </cell>
          <cell r="R409" t="str">
            <v>x</v>
          </cell>
          <cell r="S409" t="str">
            <v>x</v>
          </cell>
          <cell r="T409" t="str">
            <v>x</v>
          </cell>
          <cell r="V409" t="str">
            <v>x</v>
          </cell>
          <cell r="W409" t="str">
            <v>x</v>
          </cell>
          <cell r="X409" t="str">
            <v>x</v>
          </cell>
          <cell r="Y409" t="str">
            <v>x</v>
          </cell>
          <cell r="Z409" t="str">
            <v>x</v>
          </cell>
          <cell r="AA409" t="str">
            <v>x</v>
          </cell>
          <cell r="AC409" t="str">
            <v>x</v>
          </cell>
          <cell r="AD409" t="str">
            <v>x</v>
          </cell>
          <cell r="AE409" t="str">
            <v>x</v>
          </cell>
          <cell r="AF409" t="str">
            <v>x</v>
          </cell>
          <cell r="AG409" t="str">
            <v>x</v>
          </cell>
          <cell r="AH409" t="str">
            <v>x</v>
          </cell>
          <cell r="AJ409" t="str">
            <v>x</v>
          </cell>
          <cell r="AK409" t="str">
            <v>x</v>
          </cell>
          <cell r="AL409" t="str">
            <v>x</v>
          </cell>
          <cell r="AM409">
            <v>25</v>
          </cell>
          <cell r="AN409">
            <v>0</v>
          </cell>
        </row>
        <row r="410">
          <cell r="C410">
            <v>51262</v>
          </cell>
          <cell r="D410" t="e">
            <v>#N/A</v>
          </cell>
          <cell r="F410" t="str">
            <v>LÀ TP</v>
          </cell>
          <cell r="H410" t="str">
            <v>LT</v>
          </cell>
          <cell r="J410" t="str">
            <v>ro</v>
          </cell>
          <cell r="K410" t="str">
            <v>x</v>
          </cell>
          <cell r="L410" t="str">
            <v>x</v>
          </cell>
          <cell r="M410" t="str">
            <v>x</v>
          </cell>
          <cell r="O410" t="str">
            <v>x</v>
          </cell>
          <cell r="P410" t="str">
            <v>x</v>
          </cell>
          <cell r="Q410" t="str">
            <v>x</v>
          </cell>
          <cell r="R410" t="str">
            <v>x</v>
          </cell>
          <cell r="S410" t="str">
            <v>x</v>
          </cell>
          <cell r="T410" t="str">
            <v>x</v>
          </cell>
          <cell r="V410" t="str">
            <v>x</v>
          </cell>
          <cell r="W410" t="str">
            <v>x</v>
          </cell>
          <cell r="X410" t="str">
            <v>Ro</v>
          </cell>
          <cell r="Y410" t="str">
            <v>x</v>
          </cell>
          <cell r="Z410" t="str">
            <v>x</v>
          </cell>
          <cell r="AA410" t="str">
            <v>x</v>
          </cell>
          <cell r="AC410" t="str">
            <v>x</v>
          </cell>
          <cell r="AD410" t="str">
            <v>x</v>
          </cell>
          <cell r="AE410" t="str">
            <v>x</v>
          </cell>
          <cell r="AF410" t="str">
            <v>x</v>
          </cell>
          <cell r="AG410" t="str">
            <v>x</v>
          </cell>
          <cell r="AH410" t="str">
            <v>x</v>
          </cell>
          <cell r="AJ410" t="str">
            <v>x</v>
          </cell>
          <cell r="AK410" t="str">
            <v>x</v>
          </cell>
          <cell r="AL410" t="str">
            <v>Ro</v>
          </cell>
          <cell r="AM410">
            <v>22</v>
          </cell>
          <cell r="AN410">
            <v>0</v>
          </cell>
        </row>
        <row r="411">
          <cell r="C411">
            <v>51271</v>
          </cell>
          <cell r="D411">
            <v>44981</v>
          </cell>
          <cell r="F411" t="str">
            <v>Tổ chi tiết</v>
          </cell>
          <cell r="H411" t="str">
            <v>LT</v>
          </cell>
          <cell r="J411" t="str">
            <v>x</v>
          </cell>
          <cell r="K411" t="str">
            <v>x</v>
          </cell>
          <cell r="L411" t="str">
            <v>x</v>
          </cell>
          <cell r="M411" t="str">
            <v>x</v>
          </cell>
          <cell r="O411" t="str">
            <v>x</v>
          </cell>
          <cell r="P411" t="str">
            <v>x</v>
          </cell>
          <cell r="Q411" t="str">
            <v>x</v>
          </cell>
          <cell r="R411" t="str">
            <v>x</v>
          </cell>
          <cell r="S411" t="str">
            <v>x</v>
          </cell>
          <cell r="T411" t="str">
            <v>x</v>
          </cell>
          <cell r="V411" t="str">
            <v>x</v>
          </cell>
          <cell r="W411" t="str">
            <v>x</v>
          </cell>
          <cell r="X411" t="str">
            <v>x</v>
          </cell>
          <cell r="Y411" t="str">
            <v>x</v>
          </cell>
          <cell r="Z411" t="str">
            <v>x</v>
          </cell>
          <cell r="AA411" t="str">
            <v>x</v>
          </cell>
          <cell r="AC411" t="str">
            <v>x</v>
          </cell>
          <cell r="AD411" t="str">
            <v>x</v>
          </cell>
          <cell r="AE411" t="str">
            <v>x</v>
          </cell>
          <cell r="AF411" t="str">
            <v>x</v>
          </cell>
          <cell r="AG411" t="str">
            <v>x</v>
          </cell>
          <cell r="AH411" t="str">
            <v>x</v>
          </cell>
          <cell r="AJ411" t="str">
            <v>x</v>
          </cell>
          <cell r="AK411" t="str">
            <v>x</v>
          </cell>
          <cell r="AL411" t="str">
            <v>x</v>
          </cell>
          <cell r="AM411">
            <v>25</v>
          </cell>
          <cell r="AN411">
            <v>0</v>
          </cell>
        </row>
        <row r="412">
          <cell r="C412">
            <v>51277</v>
          </cell>
          <cell r="D412">
            <v>44985</v>
          </cell>
          <cell r="F412" t="str">
            <v>Tổ chi tiết</v>
          </cell>
          <cell r="H412" t="str">
            <v>LT</v>
          </cell>
          <cell r="J412" t="str">
            <v>x</v>
          </cell>
          <cell r="K412" t="str">
            <v>x</v>
          </cell>
          <cell r="L412" t="str">
            <v>x</v>
          </cell>
          <cell r="M412" t="str">
            <v>x</v>
          </cell>
          <cell r="O412" t="str">
            <v>x</v>
          </cell>
          <cell r="P412" t="str">
            <v>x/2</v>
          </cell>
          <cell r="Q412" t="str">
            <v>x</v>
          </cell>
          <cell r="R412" t="str">
            <v>x</v>
          </cell>
          <cell r="S412" t="str">
            <v>x</v>
          </cell>
          <cell r="T412" t="str">
            <v>x</v>
          </cell>
          <cell r="V412" t="str">
            <v>x</v>
          </cell>
          <cell r="W412" t="str">
            <v>x</v>
          </cell>
          <cell r="X412" t="str">
            <v>x</v>
          </cell>
          <cell r="Y412" t="str">
            <v>x</v>
          </cell>
          <cell r="Z412" t="str">
            <v>x</v>
          </cell>
          <cell r="AA412" t="str">
            <v>x</v>
          </cell>
          <cell r="AC412" t="str">
            <v>x</v>
          </cell>
          <cell r="AD412" t="str">
            <v>x</v>
          </cell>
          <cell r="AE412" t="str">
            <v>x</v>
          </cell>
          <cell r="AF412" t="str">
            <v>x</v>
          </cell>
          <cell r="AG412" t="str">
            <v>x</v>
          </cell>
          <cell r="AH412" t="str">
            <v>x</v>
          </cell>
          <cell r="AJ412" t="str">
            <v>x</v>
          </cell>
          <cell r="AK412" t="str">
            <v>x</v>
          </cell>
          <cell r="AL412" t="str">
            <v>x</v>
          </cell>
          <cell r="AM412">
            <v>24.5</v>
          </cell>
          <cell r="AN412">
            <v>0</v>
          </cell>
        </row>
        <row r="413">
          <cell r="C413">
            <v>51286</v>
          </cell>
          <cell r="D413">
            <v>44994</v>
          </cell>
          <cell r="F413" t="str">
            <v>Tổ sơ mi 2</v>
          </cell>
          <cell r="H413" t="str">
            <v>LT</v>
          </cell>
          <cell r="J413" t="str">
            <v>x</v>
          </cell>
          <cell r="K413" t="str">
            <v>x</v>
          </cell>
          <cell r="L413" t="str">
            <v>x</v>
          </cell>
          <cell r="M413" t="str">
            <v>x</v>
          </cell>
          <cell r="O413" t="str">
            <v>x</v>
          </cell>
          <cell r="P413" t="str">
            <v>x</v>
          </cell>
          <cell r="Q413" t="str">
            <v>x</v>
          </cell>
          <cell r="R413" t="str">
            <v>x</v>
          </cell>
          <cell r="S413" t="str">
            <v>x</v>
          </cell>
          <cell r="T413" t="str">
            <v>x</v>
          </cell>
          <cell r="V413" t="str">
            <v>x</v>
          </cell>
          <cell r="W413" t="str">
            <v>x</v>
          </cell>
          <cell r="X413" t="str">
            <v>x</v>
          </cell>
          <cell r="Y413" t="str">
            <v>x</v>
          </cell>
          <cell r="Z413" t="str">
            <v>x</v>
          </cell>
          <cell r="AA413" t="str">
            <v>x</v>
          </cell>
          <cell r="AC413" t="str">
            <v>x</v>
          </cell>
          <cell r="AD413" t="str">
            <v>x/2</v>
          </cell>
          <cell r="AE413" t="str">
            <v>x</v>
          </cell>
          <cell r="AF413" t="str">
            <v>x</v>
          </cell>
          <cell r="AG413" t="str">
            <v>x</v>
          </cell>
          <cell r="AH413" t="str">
            <v>x</v>
          </cell>
          <cell r="AJ413" t="str">
            <v>x</v>
          </cell>
          <cell r="AK413" t="str">
            <v>x</v>
          </cell>
          <cell r="AL413" t="str">
            <v>x</v>
          </cell>
          <cell r="AM413">
            <v>24.5</v>
          </cell>
          <cell r="AN413">
            <v>0</v>
          </cell>
        </row>
        <row r="414">
          <cell r="C414">
            <v>51287</v>
          </cell>
          <cell r="D414">
            <v>44995</v>
          </cell>
          <cell r="F414" t="str">
            <v xml:space="preserve">Tổ 6 </v>
          </cell>
          <cell r="H414" t="str">
            <v>LT</v>
          </cell>
          <cell r="J414" t="str">
            <v>x</v>
          </cell>
          <cell r="K414" t="str">
            <v>x</v>
          </cell>
          <cell r="L414" t="str">
            <v>x</v>
          </cell>
          <cell r="M414" t="str">
            <v>x</v>
          </cell>
          <cell r="O414" t="str">
            <v>Ro</v>
          </cell>
          <cell r="P414" t="str">
            <v>x</v>
          </cell>
          <cell r="Q414" t="str">
            <v>x</v>
          </cell>
          <cell r="R414" t="str">
            <v>x</v>
          </cell>
          <cell r="S414" t="str">
            <v>x</v>
          </cell>
          <cell r="T414" t="str">
            <v>x</v>
          </cell>
          <cell r="V414" t="str">
            <v>x</v>
          </cell>
          <cell r="W414" t="str">
            <v>x</v>
          </cell>
          <cell r="X414" t="str">
            <v>x</v>
          </cell>
          <cell r="Y414" t="str">
            <v>x</v>
          </cell>
          <cell r="Z414" t="str">
            <v>x</v>
          </cell>
          <cell r="AA414" t="str">
            <v>x</v>
          </cell>
          <cell r="AC414" t="str">
            <v>x</v>
          </cell>
          <cell r="AD414" t="str">
            <v>x</v>
          </cell>
          <cell r="AE414" t="str">
            <v>x</v>
          </cell>
          <cell r="AF414" t="str">
            <v>x</v>
          </cell>
          <cell r="AG414" t="str">
            <v>x</v>
          </cell>
          <cell r="AH414" t="str">
            <v>x</v>
          </cell>
          <cell r="AJ414" t="str">
            <v>x</v>
          </cell>
          <cell r="AK414" t="str">
            <v>x</v>
          </cell>
          <cell r="AL414" t="str">
            <v>x</v>
          </cell>
          <cell r="AM414">
            <v>24</v>
          </cell>
          <cell r="AN414">
            <v>0</v>
          </cell>
        </row>
        <row r="415">
          <cell r="C415">
            <v>51290</v>
          </cell>
          <cell r="D415" t="e">
            <v>#N/A</v>
          </cell>
          <cell r="F415" t="str">
            <v>Tổ sơ mi 3</v>
          </cell>
          <cell r="G415" t="str">
            <v>Nghỉ việc</v>
          </cell>
          <cell r="H415" t="str">
            <v>LT</v>
          </cell>
          <cell r="J415" t="str">
            <v>x</v>
          </cell>
          <cell r="K415" t="str">
            <v>x</v>
          </cell>
          <cell r="L415" t="str">
            <v>x</v>
          </cell>
          <cell r="M415" t="str">
            <v>x</v>
          </cell>
          <cell r="O415" t="str">
            <v>x</v>
          </cell>
          <cell r="P415" t="str">
            <v>x</v>
          </cell>
          <cell r="Q415" t="str">
            <v>x</v>
          </cell>
          <cell r="R415" t="str">
            <v>x</v>
          </cell>
          <cell r="S415" t="str">
            <v>x</v>
          </cell>
          <cell r="T415" t="str">
            <v>x</v>
          </cell>
          <cell r="V415" t="str">
            <v>x</v>
          </cell>
          <cell r="AM415">
            <v>11</v>
          </cell>
          <cell r="AN415">
            <v>0</v>
          </cell>
        </row>
        <row r="416">
          <cell r="C416">
            <v>51293</v>
          </cell>
          <cell r="D416">
            <v>44998</v>
          </cell>
          <cell r="F416" t="str">
            <v>Tổ Sơ mi 2</v>
          </cell>
          <cell r="H416" t="str">
            <v>LT</v>
          </cell>
          <cell r="J416" t="str">
            <v>x</v>
          </cell>
          <cell r="K416" t="str">
            <v>x</v>
          </cell>
          <cell r="L416" t="str">
            <v>x</v>
          </cell>
          <cell r="M416" t="str">
            <v>x</v>
          </cell>
          <cell r="O416" t="str">
            <v>x</v>
          </cell>
          <cell r="P416" t="str">
            <v>x</v>
          </cell>
          <cell r="Q416" t="str">
            <v>x</v>
          </cell>
          <cell r="R416" t="str">
            <v>x</v>
          </cell>
          <cell r="S416" t="str">
            <v>x</v>
          </cell>
          <cell r="T416" t="str">
            <v>x</v>
          </cell>
          <cell r="V416" t="str">
            <v>Ro</v>
          </cell>
          <cell r="W416" t="str">
            <v>x</v>
          </cell>
          <cell r="X416" t="str">
            <v>x</v>
          </cell>
          <cell r="Y416" t="str">
            <v>x</v>
          </cell>
          <cell r="Z416" t="str">
            <v>x</v>
          </cell>
          <cell r="AA416" t="str">
            <v>x</v>
          </cell>
          <cell r="AC416" t="str">
            <v>x</v>
          </cell>
          <cell r="AD416" t="str">
            <v>x</v>
          </cell>
          <cell r="AE416" t="str">
            <v>x</v>
          </cell>
          <cell r="AF416" t="str">
            <v>x</v>
          </cell>
          <cell r="AG416" t="str">
            <v>x</v>
          </cell>
          <cell r="AH416" t="str">
            <v>x</v>
          </cell>
          <cell r="AJ416" t="str">
            <v>x</v>
          </cell>
          <cell r="AK416" t="str">
            <v>x</v>
          </cell>
          <cell r="AL416" t="str">
            <v>x</v>
          </cell>
          <cell r="AM416">
            <v>24</v>
          </cell>
          <cell r="AN416">
            <v>0</v>
          </cell>
        </row>
        <row r="417">
          <cell r="C417">
            <v>51294</v>
          </cell>
          <cell r="D417">
            <v>44998</v>
          </cell>
          <cell r="F417" t="str">
            <v>Tổ 14</v>
          </cell>
          <cell r="H417" t="str">
            <v>LT</v>
          </cell>
          <cell r="J417" t="str">
            <v>x</v>
          </cell>
          <cell r="K417" t="str">
            <v>x</v>
          </cell>
          <cell r="L417" t="str">
            <v>x</v>
          </cell>
          <cell r="M417" t="str">
            <v>x</v>
          </cell>
          <cell r="O417" t="str">
            <v>x</v>
          </cell>
          <cell r="P417" t="str">
            <v>x</v>
          </cell>
          <cell r="Q417" t="str">
            <v>x</v>
          </cell>
          <cell r="R417" t="str">
            <v>x</v>
          </cell>
          <cell r="S417" t="str">
            <v>x</v>
          </cell>
          <cell r="T417" t="str">
            <v>x</v>
          </cell>
          <cell r="V417" t="str">
            <v>x</v>
          </cell>
          <cell r="W417" t="str">
            <v>x</v>
          </cell>
          <cell r="X417" t="str">
            <v>x</v>
          </cell>
          <cell r="Y417" t="str">
            <v>x</v>
          </cell>
          <cell r="Z417" t="str">
            <v>x</v>
          </cell>
          <cell r="AA417" t="str">
            <v>x</v>
          </cell>
          <cell r="AC417" t="str">
            <v>x</v>
          </cell>
          <cell r="AD417" t="str">
            <v>x</v>
          </cell>
          <cell r="AE417" t="str">
            <v>x</v>
          </cell>
          <cell r="AF417" t="str">
            <v>x</v>
          </cell>
          <cell r="AG417" t="str">
            <v>x</v>
          </cell>
          <cell r="AH417" t="str">
            <v>x</v>
          </cell>
          <cell r="AI417" t="str">
            <v>x</v>
          </cell>
          <cell r="AJ417" t="str">
            <v>x</v>
          </cell>
          <cell r="AK417" t="str">
            <v>x</v>
          </cell>
          <cell r="AL417" t="str">
            <v>x</v>
          </cell>
          <cell r="AM417">
            <v>25</v>
          </cell>
          <cell r="AN417">
            <v>1</v>
          </cell>
        </row>
        <row r="418">
          <cell r="C418">
            <v>51299</v>
          </cell>
          <cell r="D418" t="e">
            <v>#N/A</v>
          </cell>
          <cell r="F418" t="str">
            <v xml:space="preserve">Tổ 6 </v>
          </cell>
          <cell r="G418" t="str">
            <v>Nghỉ việc</v>
          </cell>
          <cell r="H418" t="str">
            <v>LT</v>
          </cell>
          <cell r="J418" t="str">
            <v>x</v>
          </cell>
          <cell r="K418" t="str">
            <v>x</v>
          </cell>
          <cell r="L418" t="str">
            <v>x</v>
          </cell>
          <cell r="M418" t="str">
            <v>x</v>
          </cell>
          <cell r="O418" t="str">
            <v>x</v>
          </cell>
          <cell r="P418" t="str">
            <v>x</v>
          </cell>
          <cell r="Q418" t="str">
            <v>x</v>
          </cell>
          <cell r="R418" t="str">
            <v>x</v>
          </cell>
          <cell r="S418" t="str">
            <v>x</v>
          </cell>
          <cell r="T418" t="str">
            <v>x</v>
          </cell>
          <cell r="V418" t="str">
            <v>x</v>
          </cell>
          <cell r="W418" t="str">
            <v>x</v>
          </cell>
          <cell r="X418" t="str">
            <v>x</v>
          </cell>
          <cell r="Y418" t="str">
            <v>x</v>
          </cell>
          <cell r="Z418" t="str">
            <v>x</v>
          </cell>
          <cell r="AA418" t="str">
            <v>x</v>
          </cell>
          <cell r="AC418" t="str">
            <v>x</v>
          </cell>
          <cell r="AM418">
            <v>17</v>
          </cell>
          <cell r="AN418">
            <v>0</v>
          </cell>
        </row>
        <row r="419">
          <cell r="C419">
            <v>51301</v>
          </cell>
          <cell r="D419" t="e">
            <v>#N/A</v>
          </cell>
          <cell r="F419" t="str">
            <v>Tổ chi tiết</v>
          </cell>
          <cell r="G419" t="str">
            <v>Nghỉ việc</v>
          </cell>
          <cell r="H419" t="str">
            <v>LT</v>
          </cell>
          <cell r="J419" t="str">
            <v>x</v>
          </cell>
          <cell r="K419" t="str">
            <v>x</v>
          </cell>
          <cell r="L419" t="str">
            <v>x</v>
          </cell>
          <cell r="M419" t="str">
            <v>x</v>
          </cell>
          <cell r="O419" t="str">
            <v>x</v>
          </cell>
          <cell r="P419" t="str">
            <v>x</v>
          </cell>
          <cell r="Q419" t="str">
            <v>x</v>
          </cell>
          <cell r="R419" t="str">
            <v>x</v>
          </cell>
          <cell r="S419" t="str">
            <v>x</v>
          </cell>
          <cell r="T419" t="str">
            <v>x</v>
          </cell>
          <cell r="V419" t="str">
            <v>x</v>
          </cell>
          <cell r="W419" t="str">
            <v>x</v>
          </cell>
          <cell r="X419" t="str">
            <v>x</v>
          </cell>
          <cell r="Y419" t="str">
            <v>x</v>
          </cell>
          <cell r="AM419">
            <v>14</v>
          </cell>
          <cell r="AN419">
            <v>0</v>
          </cell>
        </row>
        <row r="420">
          <cell r="C420">
            <v>51302</v>
          </cell>
          <cell r="D420">
            <v>45005</v>
          </cell>
          <cell r="F420" t="str">
            <v>Tổ 14</v>
          </cell>
          <cell r="H420" t="str">
            <v>LT</v>
          </cell>
          <cell r="J420" t="str">
            <v>x</v>
          </cell>
          <cell r="K420" t="str">
            <v>x</v>
          </cell>
          <cell r="L420" t="str">
            <v>x</v>
          </cell>
          <cell r="M420" t="str">
            <v>x</v>
          </cell>
          <cell r="O420" t="str">
            <v>x</v>
          </cell>
          <cell r="P420" t="str">
            <v>x</v>
          </cell>
          <cell r="Q420" t="str">
            <v>x</v>
          </cell>
          <cell r="R420" t="str">
            <v>x</v>
          </cell>
          <cell r="S420" t="str">
            <v>x</v>
          </cell>
          <cell r="T420" t="str">
            <v>x</v>
          </cell>
          <cell r="V420" t="str">
            <v>x</v>
          </cell>
          <cell r="W420" t="str">
            <v>x</v>
          </cell>
          <cell r="X420" t="str">
            <v>x</v>
          </cell>
          <cell r="Y420" t="str">
            <v>x</v>
          </cell>
          <cell r="Z420" t="str">
            <v>x</v>
          </cell>
          <cell r="AA420" t="str">
            <v>x</v>
          </cell>
          <cell r="AC420" t="str">
            <v>x</v>
          </cell>
          <cell r="AD420" t="str">
            <v>x</v>
          </cell>
          <cell r="AE420" t="str">
            <v>Ro</v>
          </cell>
          <cell r="AF420" t="str">
            <v>Ro</v>
          </cell>
          <cell r="AG420" t="str">
            <v>x</v>
          </cell>
          <cell r="AH420" t="str">
            <v>x</v>
          </cell>
          <cell r="AI420" t="str">
            <v>x</v>
          </cell>
          <cell r="AJ420" t="str">
            <v>Ro</v>
          </cell>
          <cell r="AK420" t="str">
            <v>x</v>
          </cell>
          <cell r="AL420" t="str">
            <v>x</v>
          </cell>
          <cell r="AM420">
            <v>22</v>
          </cell>
          <cell r="AN420">
            <v>1</v>
          </cell>
        </row>
        <row r="421">
          <cell r="C421">
            <v>51311</v>
          </cell>
          <cell r="D421">
            <v>45008</v>
          </cell>
          <cell r="F421" t="str">
            <v>Tổ sơ mi 2</v>
          </cell>
          <cell r="H421" t="str">
            <v>LT</v>
          </cell>
          <cell r="J421" t="str">
            <v>x</v>
          </cell>
          <cell r="K421" t="str">
            <v>x</v>
          </cell>
          <cell r="L421" t="str">
            <v>x</v>
          </cell>
          <cell r="M421" t="str">
            <v>x</v>
          </cell>
          <cell r="O421" t="str">
            <v>x</v>
          </cell>
          <cell r="P421" t="str">
            <v>x</v>
          </cell>
          <cell r="Q421" t="str">
            <v>x</v>
          </cell>
          <cell r="R421" t="str">
            <v>x</v>
          </cell>
          <cell r="S421" t="str">
            <v>x</v>
          </cell>
          <cell r="T421" t="str">
            <v>x</v>
          </cell>
          <cell r="V421" t="str">
            <v>x</v>
          </cell>
          <cell r="W421" t="str">
            <v>x</v>
          </cell>
          <cell r="X421" t="str">
            <v>x</v>
          </cell>
          <cell r="Y421" t="str">
            <v>x</v>
          </cell>
          <cell r="Z421" t="str">
            <v>x</v>
          </cell>
          <cell r="AA421" t="str">
            <v>x</v>
          </cell>
          <cell r="AC421" t="str">
            <v>x</v>
          </cell>
          <cell r="AD421" t="str">
            <v>x</v>
          </cell>
          <cell r="AE421" t="str">
            <v>x</v>
          </cell>
          <cell r="AF421" t="str">
            <v>x</v>
          </cell>
          <cell r="AG421" t="str">
            <v>x</v>
          </cell>
          <cell r="AH421" t="str">
            <v>x</v>
          </cell>
          <cell r="AJ421" t="str">
            <v>x</v>
          </cell>
          <cell r="AK421" t="str">
            <v>x</v>
          </cell>
          <cell r="AL421" t="str">
            <v>x</v>
          </cell>
          <cell r="AM421">
            <v>25</v>
          </cell>
          <cell r="AN421">
            <v>0</v>
          </cell>
        </row>
        <row r="422">
          <cell r="C422">
            <v>51313</v>
          </cell>
          <cell r="D422" t="e">
            <v>#N/A</v>
          </cell>
          <cell r="F422" t="str">
            <v>Kiểm hoá</v>
          </cell>
          <cell r="G422" t="str">
            <v>Nghỉ việc</v>
          </cell>
          <cell r="H422" t="str">
            <v>LT</v>
          </cell>
          <cell r="J422" t="str">
            <v>x</v>
          </cell>
          <cell r="K422" t="str">
            <v>x</v>
          </cell>
          <cell r="L422" t="str">
            <v>x</v>
          </cell>
          <cell r="M422" t="str">
            <v>x</v>
          </cell>
          <cell r="O422" t="str">
            <v>x</v>
          </cell>
          <cell r="P422" t="str">
            <v>x</v>
          </cell>
          <cell r="Q422" t="str">
            <v>x</v>
          </cell>
          <cell r="R422" t="str">
            <v>x</v>
          </cell>
          <cell r="S422" t="str">
            <v>x</v>
          </cell>
          <cell r="T422" t="str">
            <v>x</v>
          </cell>
          <cell r="V422" t="str">
            <v>x</v>
          </cell>
          <cell r="W422" t="str">
            <v>x</v>
          </cell>
          <cell r="X422" t="str">
            <v>x</v>
          </cell>
          <cell r="AM422">
            <v>13</v>
          </cell>
          <cell r="AN422">
            <v>0</v>
          </cell>
        </row>
        <row r="423">
          <cell r="C423">
            <v>51315</v>
          </cell>
          <cell r="D423">
            <v>45009</v>
          </cell>
          <cell r="F423" t="str">
            <v xml:space="preserve">Tổ 6 </v>
          </cell>
          <cell r="H423" t="str">
            <v>LT</v>
          </cell>
          <cell r="J423" t="str">
            <v>x</v>
          </cell>
          <cell r="K423" t="str">
            <v>x</v>
          </cell>
          <cell r="L423" t="str">
            <v>x</v>
          </cell>
          <cell r="M423" t="str">
            <v>x</v>
          </cell>
          <cell r="O423" t="str">
            <v>x</v>
          </cell>
          <cell r="P423" t="str">
            <v>x</v>
          </cell>
          <cell r="Q423" t="str">
            <v>x</v>
          </cell>
          <cell r="R423" t="str">
            <v>x</v>
          </cell>
          <cell r="S423" t="str">
            <v>x</v>
          </cell>
          <cell r="T423" t="str">
            <v>x</v>
          </cell>
          <cell r="V423" t="str">
            <v>x</v>
          </cell>
          <cell r="W423" t="str">
            <v>x</v>
          </cell>
          <cell r="X423" t="str">
            <v>x</v>
          </cell>
          <cell r="Y423" t="str">
            <v>x</v>
          </cell>
          <cell r="Z423" t="str">
            <v>x</v>
          </cell>
          <cell r="AA423" t="str">
            <v>x</v>
          </cell>
          <cell r="AC423" t="str">
            <v>x</v>
          </cell>
          <cell r="AD423" t="str">
            <v>x</v>
          </cell>
          <cell r="AE423" t="str">
            <v>x/2</v>
          </cell>
          <cell r="AF423" t="str">
            <v>x</v>
          </cell>
          <cell r="AG423" t="str">
            <v>x</v>
          </cell>
          <cell r="AH423" t="str">
            <v>x</v>
          </cell>
          <cell r="AJ423" t="str">
            <v>x</v>
          </cell>
          <cell r="AK423" t="str">
            <v>x</v>
          </cell>
          <cell r="AL423" t="str">
            <v>x</v>
          </cell>
          <cell r="AM423">
            <v>24.5</v>
          </cell>
          <cell r="AN423">
            <v>0</v>
          </cell>
        </row>
        <row r="424">
          <cell r="C424">
            <v>51319</v>
          </cell>
          <cell r="D424">
            <v>45010</v>
          </cell>
          <cell r="F424" t="str">
            <v>Tổ 14</v>
          </cell>
          <cell r="H424" t="str">
            <v>LT</v>
          </cell>
          <cell r="J424" t="str">
            <v>x</v>
          </cell>
          <cell r="K424" t="str">
            <v>x</v>
          </cell>
          <cell r="L424" t="str">
            <v>x</v>
          </cell>
          <cell r="M424" t="str">
            <v>x</v>
          </cell>
          <cell r="O424" t="str">
            <v>Ro</v>
          </cell>
          <cell r="P424" t="str">
            <v>Ro</v>
          </cell>
          <cell r="Q424" t="str">
            <v>Ro</v>
          </cell>
          <cell r="R424" t="str">
            <v>Ro</v>
          </cell>
          <cell r="S424" t="str">
            <v>x</v>
          </cell>
          <cell r="T424" t="str">
            <v>x</v>
          </cell>
          <cell r="V424" t="str">
            <v>x</v>
          </cell>
          <cell r="W424" t="str">
            <v>x</v>
          </cell>
          <cell r="X424" t="str">
            <v>x</v>
          </cell>
          <cell r="Y424" t="str">
            <v>x</v>
          </cell>
          <cell r="Z424" t="str">
            <v>x</v>
          </cell>
          <cell r="AA424" t="str">
            <v>x</v>
          </cell>
          <cell r="AC424" t="str">
            <v>x</v>
          </cell>
          <cell r="AD424" t="str">
            <v>x</v>
          </cell>
          <cell r="AE424" t="str">
            <v>x</v>
          </cell>
          <cell r="AF424" t="str">
            <v>x</v>
          </cell>
          <cell r="AG424" t="str">
            <v>x</v>
          </cell>
          <cell r="AH424" t="str">
            <v>x</v>
          </cell>
          <cell r="AJ424" t="str">
            <v>x</v>
          </cell>
          <cell r="AK424" t="str">
            <v>x</v>
          </cell>
          <cell r="AL424" t="str">
            <v>x</v>
          </cell>
          <cell r="AM424">
            <v>21</v>
          </cell>
          <cell r="AN424">
            <v>0</v>
          </cell>
        </row>
        <row r="425">
          <cell r="C425">
            <v>51321</v>
          </cell>
          <cell r="D425">
            <v>45013</v>
          </cell>
          <cell r="F425" t="str">
            <v>Tổ sơ mi 4</v>
          </cell>
          <cell r="H425" t="str">
            <v>LT</v>
          </cell>
          <cell r="J425" t="str">
            <v>x</v>
          </cell>
          <cell r="K425" t="str">
            <v>x</v>
          </cell>
          <cell r="L425" t="str">
            <v>x</v>
          </cell>
          <cell r="M425" t="str">
            <v>x</v>
          </cell>
          <cell r="O425" t="str">
            <v>x</v>
          </cell>
          <cell r="P425" t="str">
            <v>x</v>
          </cell>
          <cell r="Q425" t="str">
            <v>x</v>
          </cell>
          <cell r="R425" t="str">
            <v>x</v>
          </cell>
          <cell r="S425" t="str">
            <v>x</v>
          </cell>
          <cell r="T425" t="str">
            <v>x</v>
          </cell>
          <cell r="V425" t="str">
            <v>x</v>
          </cell>
          <cell r="W425" t="str">
            <v>x</v>
          </cell>
          <cell r="X425" t="str">
            <v>x</v>
          </cell>
          <cell r="Y425" t="str">
            <v>x</v>
          </cell>
          <cell r="Z425" t="str">
            <v>x</v>
          </cell>
          <cell r="AA425" t="str">
            <v>x</v>
          </cell>
          <cell r="AC425" t="str">
            <v>x</v>
          </cell>
          <cell r="AD425" t="str">
            <v>x</v>
          </cell>
          <cell r="AE425" t="str">
            <v>x</v>
          </cell>
          <cell r="AF425" t="str">
            <v>x</v>
          </cell>
          <cell r="AG425" t="str">
            <v>x</v>
          </cell>
          <cell r="AH425" t="str">
            <v>x</v>
          </cell>
          <cell r="AJ425" t="str">
            <v>x</v>
          </cell>
          <cell r="AK425" t="str">
            <v>x</v>
          </cell>
          <cell r="AL425" t="str">
            <v>x</v>
          </cell>
          <cell r="AM425">
            <v>25</v>
          </cell>
          <cell r="AN425">
            <v>0</v>
          </cell>
        </row>
        <row r="426">
          <cell r="C426">
            <v>51324</v>
          </cell>
          <cell r="D426">
            <v>45015</v>
          </cell>
          <cell r="F426" t="str">
            <v>Tổ sơ mi 3</v>
          </cell>
          <cell r="H426" t="str">
            <v>LT</v>
          </cell>
          <cell r="J426" t="str">
            <v>x</v>
          </cell>
          <cell r="K426" t="str">
            <v>x</v>
          </cell>
          <cell r="L426" t="str">
            <v>x</v>
          </cell>
          <cell r="M426" t="str">
            <v>x</v>
          </cell>
          <cell r="O426" t="str">
            <v>x</v>
          </cell>
          <cell r="P426" t="str">
            <v>x</v>
          </cell>
          <cell r="Q426" t="str">
            <v>x</v>
          </cell>
          <cell r="R426" t="str">
            <v>Ro</v>
          </cell>
          <cell r="S426" t="str">
            <v>Ro</v>
          </cell>
          <cell r="T426" t="str">
            <v>Ro</v>
          </cell>
          <cell r="V426" t="str">
            <v>x</v>
          </cell>
          <cell r="W426" t="str">
            <v>x</v>
          </cell>
          <cell r="X426" t="str">
            <v>x</v>
          </cell>
          <cell r="Y426" t="str">
            <v>x</v>
          </cell>
          <cell r="Z426" t="str">
            <v>x</v>
          </cell>
          <cell r="AA426" t="str">
            <v>x</v>
          </cell>
          <cell r="AC426" t="str">
            <v>x</v>
          </cell>
          <cell r="AD426" t="str">
            <v>x</v>
          </cell>
          <cell r="AE426" t="str">
            <v>x</v>
          </cell>
          <cell r="AF426" t="str">
            <v>x</v>
          </cell>
          <cell r="AG426" t="str">
            <v>x</v>
          </cell>
          <cell r="AH426" t="str">
            <v>x</v>
          </cell>
          <cell r="AJ426" t="str">
            <v>x</v>
          </cell>
          <cell r="AK426" t="str">
            <v>x</v>
          </cell>
          <cell r="AL426" t="str">
            <v>x</v>
          </cell>
          <cell r="AM426">
            <v>22</v>
          </cell>
          <cell r="AN426">
            <v>0</v>
          </cell>
        </row>
        <row r="427">
          <cell r="C427">
            <v>51328</v>
          </cell>
          <cell r="D427">
            <v>45016</v>
          </cell>
          <cell r="F427" t="str">
            <v>Tổ 14</v>
          </cell>
          <cell r="H427" t="str">
            <v>LT</v>
          </cell>
          <cell r="J427" t="str">
            <v>x</v>
          </cell>
          <cell r="K427" t="str">
            <v>x</v>
          </cell>
          <cell r="L427" t="str">
            <v>x</v>
          </cell>
          <cell r="M427" t="str">
            <v>x</v>
          </cell>
          <cell r="O427" t="str">
            <v>x</v>
          </cell>
          <cell r="P427" t="str">
            <v>x</v>
          </cell>
          <cell r="Q427" t="str">
            <v>x</v>
          </cell>
          <cell r="R427" t="str">
            <v>x</v>
          </cell>
          <cell r="S427" t="str">
            <v>x</v>
          </cell>
          <cell r="T427" t="str">
            <v>x</v>
          </cell>
          <cell r="V427" t="str">
            <v>x</v>
          </cell>
          <cell r="W427" t="str">
            <v>x</v>
          </cell>
          <cell r="X427" t="str">
            <v>x</v>
          </cell>
          <cell r="Y427" t="str">
            <v>x</v>
          </cell>
          <cell r="Z427" t="str">
            <v>x</v>
          </cell>
          <cell r="AA427" t="str">
            <v>x</v>
          </cell>
          <cell r="AC427" t="str">
            <v>x</v>
          </cell>
          <cell r="AD427" t="str">
            <v>x</v>
          </cell>
          <cell r="AE427" t="str">
            <v>x</v>
          </cell>
          <cell r="AF427" t="str">
            <v>x</v>
          </cell>
          <cell r="AG427" t="str">
            <v>x</v>
          </cell>
          <cell r="AH427" t="str">
            <v>x</v>
          </cell>
          <cell r="AJ427" t="str">
            <v>x</v>
          </cell>
          <cell r="AK427" t="str">
            <v>x</v>
          </cell>
          <cell r="AL427" t="str">
            <v>x</v>
          </cell>
          <cell r="AM427">
            <v>25</v>
          </cell>
          <cell r="AN427">
            <v>0</v>
          </cell>
        </row>
        <row r="428">
          <cell r="C428">
            <v>51329</v>
          </cell>
          <cell r="D428" t="e">
            <v>#N/A</v>
          </cell>
          <cell r="F428" t="str">
            <v>HN</v>
          </cell>
          <cell r="G428" t="str">
            <v>Nghỉ việc</v>
          </cell>
          <cell r="H428" t="str">
            <v>LT</v>
          </cell>
          <cell r="J428" t="str">
            <v>ro</v>
          </cell>
          <cell r="K428" t="str">
            <v>x</v>
          </cell>
          <cell r="L428" t="str">
            <v>x</v>
          </cell>
          <cell r="M428" t="str">
            <v>x</v>
          </cell>
          <cell r="O428" t="str">
            <v>x</v>
          </cell>
          <cell r="P428" t="str">
            <v>x</v>
          </cell>
          <cell r="Q428" t="str">
            <v>x</v>
          </cell>
          <cell r="R428" t="str">
            <v>x</v>
          </cell>
          <cell r="S428" t="str">
            <v>x</v>
          </cell>
          <cell r="T428" t="str">
            <v>x</v>
          </cell>
          <cell r="V428" t="str">
            <v>x</v>
          </cell>
          <cell r="W428" t="str">
            <v>x</v>
          </cell>
          <cell r="X428" t="str">
            <v>x</v>
          </cell>
          <cell r="Y428" t="str">
            <v>x</v>
          </cell>
          <cell r="AM428">
            <v>13</v>
          </cell>
          <cell r="AN428">
            <v>0</v>
          </cell>
        </row>
        <row r="429">
          <cell r="C429">
            <v>51330</v>
          </cell>
          <cell r="D429">
            <v>45019</v>
          </cell>
          <cell r="F429" t="str">
            <v>Tổ 15</v>
          </cell>
          <cell r="H429" t="str">
            <v>LT</v>
          </cell>
          <cell r="J429" t="str">
            <v>x</v>
          </cell>
          <cell r="K429" t="str">
            <v>x</v>
          </cell>
          <cell r="L429" t="str">
            <v>x</v>
          </cell>
          <cell r="M429" t="str">
            <v>x</v>
          </cell>
          <cell r="O429" t="str">
            <v>x</v>
          </cell>
          <cell r="P429" t="str">
            <v>x</v>
          </cell>
          <cell r="Q429" t="str">
            <v>x</v>
          </cell>
          <cell r="R429" t="str">
            <v>x</v>
          </cell>
          <cell r="S429" t="str">
            <v>x</v>
          </cell>
          <cell r="T429" t="str">
            <v>x</v>
          </cell>
          <cell r="V429" t="str">
            <v>x</v>
          </cell>
          <cell r="W429" t="str">
            <v>x</v>
          </cell>
          <cell r="X429" t="str">
            <v>x</v>
          </cell>
          <cell r="Y429" t="str">
            <v>x</v>
          </cell>
          <cell r="Z429" t="str">
            <v>x</v>
          </cell>
          <cell r="AA429" t="str">
            <v>F</v>
          </cell>
          <cell r="AC429" t="str">
            <v>x</v>
          </cell>
          <cell r="AD429" t="str">
            <v>x</v>
          </cell>
          <cell r="AE429" t="str">
            <v>x</v>
          </cell>
          <cell r="AF429" t="str">
            <v>x</v>
          </cell>
          <cell r="AG429" t="str">
            <v>x</v>
          </cell>
          <cell r="AH429" t="str">
            <v>x</v>
          </cell>
          <cell r="AJ429" t="str">
            <v>x</v>
          </cell>
          <cell r="AK429" t="str">
            <v>x</v>
          </cell>
          <cell r="AL429" t="str">
            <v>x</v>
          </cell>
          <cell r="AM429">
            <v>24</v>
          </cell>
          <cell r="AN429">
            <v>0</v>
          </cell>
        </row>
        <row r="430">
          <cell r="C430">
            <v>51333</v>
          </cell>
          <cell r="D430">
            <v>45020</v>
          </cell>
          <cell r="F430" t="str">
            <v>Tổ 15</v>
          </cell>
          <cell r="H430" t="str">
            <v>LT</v>
          </cell>
          <cell r="J430" t="str">
            <v>x</v>
          </cell>
          <cell r="K430" t="str">
            <v>x</v>
          </cell>
          <cell r="L430" t="str">
            <v>x</v>
          </cell>
          <cell r="M430" t="str">
            <v>x</v>
          </cell>
          <cell r="O430" t="str">
            <v>x</v>
          </cell>
          <cell r="P430" t="str">
            <v>x</v>
          </cell>
          <cell r="Q430" t="str">
            <v>x</v>
          </cell>
          <cell r="R430" t="str">
            <v>x</v>
          </cell>
          <cell r="S430" t="str">
            <v>x</v>
          </cell>
          <cell r="T430" t="str">
            <v>x</v>
          </cell>
          <cell r="V430" t="str">
            <v>x</v>
          </cell>
          <cell r="W430" t="str">
            <v>x</v>
          </cell>
          <cell r="X430" t="str">
            <v>x</v>
          </cell>
          <cell r="Y430" t="str">
            <v>x</v>
          </cell>
          <cell r="Z430" t="str">
            <v>x</v>
          </cell>
          <cell r="AA430" t="str">
            <v>x</v>
          </cell>
          <cell r="AC430" t="str">
            <v>x</v>
          </cell>
          <cell r="AD430" t="str">
            <v>x</v>
          </cell>
          <cell r="AE430" t="str">
            <v>x</v>
          </cell>
          <cell r="AF430" t="str">
            <v>x</v>
          </cell>
          <cell r="AG430" t="str">
            <v>x</v>
          </cell>
          <cell r="AH430" t="str">
            <v>x</v>
          </cell>
          <cell r="AJ430" t="str">
            <v>x</v>
          </cell>
          <cell r="AK430" t="str">
            <v>x</v>
          </cell>
          <cell r="AL430" t="str">
            <v>x</v>
          </cell>
          <cell r="AM430">
            <v>25</v>
          </cell>
          <cell r="AN430">
            <v>0</v>
          </cell>
        </row>
        <row r="431">
          <cell r="C431">
            <v>51334</v>
          </cell>
          <cell r="D431">
            <v>45020</v>
          </cell>
          <cell r="F431" t="str">
            <v>Tổ 9+10</v>
          </cell>
          <cell r="H431" t="str">
            <v>LT</v>
          </cell>
          <cell r="J431" t="str">
            <v>x</v>
          </cell>
          <cell r="K431" t="str">
            <v>x</v>
          </cell>
          <cell r="L431" t="str">
            <v>x</v>
          </cell>
          <cell r="M431" t="str">
            <v>x</v>
          </cell>
          <cell r="O431" t="str">
            <v>x</v>
          </cell>
          <cell r="P431" t="str">
            <v>x</v>
          </cell>
          <cell r="Q431" t="str">
            <v>x</v>
          </cell>
          <cell r="R431" t="str">
            <v>x</v>
          </cell>
          <cell r="S431" t="str">
            <v>x</v>
          </cell>
          <cell r="T431" t="str">
            <v>x</v>
          </cell>
          <cell r="U431" t="str">
            <v>x/2</v>
          </cell>
          <cell r="V431" t="str">
            <v>x</v>
          </cell>
          <cell r="W431" t="str">
            <v>x</v>
          </cell>
          <cell r="X431" t="str">
            <v>x</v>
          </cell>
          <cell r="Y431" t="str">
            <v>x</v>
          </cell>
          <cell r="Z431" t="str">
            <v>x</v>
          </cell>
          <cell r="AA431" t="str">
            <v>x</v>
          </cell>
          <cell r="AC431" t="str">
            <v>x</v>
          </cell>
          <cell r="AD431" t="str">
            <v>x</v>
          </cell>
          <cell r="AE431" t="str">
            <v>x</v>
          </cell>
          <cell r="AF431" t="str">
            <v>x</v>
          </cell>
          <cell r="AG431" t="str">
            <v>x</v>
          </cell>
          <cell r="AH431" t="str">
            <v>x</v>
          </cell>
          <cell r="AJ431" t="str">
            <v>x</v>
          </cell>
          <cell r="AK431" t="str">
            <v>x</v>
          </cell>
          <cell r="AL431" t="str">
            <v>x</v>
          </cell>
          <cell r="AM431">
            <v>25</v>
          </cell>
          <cell r="AN431">
            <v>0.5</v>
          </cell>
        </row>
        <row r="432">
          <cell r="C432">
            <v>51336</v>
          </cell>
          <cell r="D432">
            <v>45021</v>
          </cell>
          <cell r="F432" t="str">
            <v xml:space="preserve">Tổ 6 </v>
          </cell>
          <cell r="H432" t="str">
            <v>LT</v>
          </cell>
          <cell r="J432" t="str">
            <v>x</v>
          </cell>
          <cell r="K432" t="str">
            <v>x</v>
          </cell>
          <cell r="L432" t="str">
            <v>x</v>
          </cell>
          <cell r="M432" t="str">
            <v>x</v>
          </cell>
          <cell r="O432" t="str">
            <v>x</v>
          </cell>
          <cell r="P432" t="str">
            <v>x</v>
          </cell>
          <cell r="Q432" t="str">
            <v>x</v>
          </cell>
          <cell r="R432" t="str">
            <v>x</v>
          </cell>
          <cell r="S432" t="str">
            <v>x</v>
          </cell>
          <cell r="T432" t="str">
            <v>x</v>
          </cell>
          <cell r="V432" t="str">
            <v>x</v>
          </cell>
          <cell r="W432" t="str">
            <v>x</v>
          </cell>
          <cell r="X432" t="str">
            <v>x</v>
          </cell>
          <cell r="Y432" t="str">
            <v>x</v>
          </cell>
          <cell r="Z432" t="str">
            <v>x</v>
          </cell>
          <cell r="AA432" t="str">
            <v>x</v>
          </cell>
          <cell r="AC432" t="str">
            <v>x</v>
          </cell>
          <cell r="AD432" t="str">
            <v>x</v>
          </cell>
          <cell r="AE432" t="str">
            <v>x</v>
          </cell>
          <cell r="AF432" t="str">
            <v>x</v>
          </cell>
          <cell r="AG432" t="str">
            <v>x</v>
          </cell>
          <cell r="AH432" t="str">
            <v>x</v>
          </cell>
          <cell r="AJ432" t="str">
            <v>x</v>
          </cell>
          <cell r="AK432" t="str">
            <v>x</v>
          </cell>
          <cell r="AL432" t="str">
            <v>x</v>
          </cell>
          <cell r="AM432">
            <v>25</v>
          </cell>
          <cell r="AN432">
            <v>0</v>
          </cell>
        </row>
        <row r="433">
          <cell r="C433">
            <v>51338</v>
          </cell>
          <cell r="D433">
            <v>45023</v>
          </cell>
          <cell r="F433" t="str">
            <v>Tổ 9+10</v>
          </cell>
          <cell r="H433" t="str">
            <v>LT</v>
          </cell>
          <cell r="J433" t="str">
            <v>x</v>
          </cell>
          <cell r="K433" t="str">
            <v>x</v>
          </cell>
          <cell r="L433" t="str">
            <v>x</v>
          </cell>
          <cell r="M433" t="str">
            <v>x</v>
          </cell>
          <cell r="O433" t="str">
            <v>x</v>
          </cell>
          <cell r="P433" t="str">
            <v>x</v>
          </cell>
          <cell r="Q433" t="str">
            <v>x</v>
          </cell>
          <cell r="R433" t="str">
            <v>x</v>
          </cell>
          <cell r="S433" t="str">
            <v>x</v>
          </cell>
          <cell r="T433" t="str">
            <v>x</v>
          </cell>
          <cell r="U433" t="str">
            <v>x/2</v>
          </cell>
          <cell r="V433" t="str">
            <v>x</v>
          </cell>
          <cell r="W433" t="str">
            <v>x</v>
          </cell>
          <cell r="X433" t="str">
            <v>x</v>
          </cell>
          <cell r="Y433" t="str">
            <v>Ro</v>
          </cell>
          <cell r="Z433" t="str">
            <v>Ro</v>
          </cell>
          <cell r="AA433" t="str">
            <v>x</v>
          </cell>
          <cell r="AC433" t="str">
            <v>x</v>
          </cell>
          <cell r="AD433" t="str">
            <v>x</v>
          </cell>
          <cell r="AE433" t="str">
            <v>x</v>
          </cell>
          <cell r="AF433" t="str">
            <v>x</v>
          </cell>
          <cell r="AG433" t="str">
            <v>x</v>
          </cell>
          <cell r="AH433" t="str">
            <v>x</v>
          </cell>
          <cell r="AJ433" t="str">
            <v>x</v>
          </cell>
          <cell r="AK433" t="str">
            <v>x</v>
          </cell>
          <cell r="AL433" t="str">
            <v>x</v>
          </cell>
          <cell r="AM433">
            <v>23</v>
          </cell>
          <cell r="AN433">
            <v>0.5</v>
          </cell>
        </row>
        <row r="434">
          <cell r="C434">
            <v>51339</v>
          </cell>
          <cell r="D434">
            <v>45026</v>
          </cell>
          <cell r="F434" t="str">
            <v xml:space="preserve">Tổ 6 </v>
          </cell>
          <cell r="H434" t="str">
            <v>LT</v>
          </cell>
          <cell r="J434" t="str">
            <v>x</v>
          </cell>
          <cell r="K434" t="str">
            <v>x</v>
          </cell>
          <cell r="L434" t="str">
            <v>x</v>
          </cell>
          <cell r="M434" t="str">
            <v>x</v>
          </cell>
          <cell r="O434" t="str">
            <v>x</v>
          </cell>
          <cell r="P434" t="str">
            <v>x</v>
          </cell>
          <cell r="Q434" t="str">
            <v>x</v>
          </cell>
          <cell r="R434" t="str">
            <v>x</v>
          </cell>
          <cell r="S434" t="str">
            <v>x</v>
          </cell>
          <cell r="T434" t="str">
            <v>x</v>
          </cell>
          <cell r="V434" t="str">
            <v>x</v>
          </cell>
          <cell r="W434" t="str">
            <v>x</v>
          </cell>
          <cell r="X434" t="str">
            <v>x</v>
          </cell>
          <cell r="Y434" t="str">
            <v>x</v>
          </cell>
          <cell r="Z434" t="str">
            <v>x</v>
          </cell>
          <cell r="AA434" t="str">
            <v>x</v>
          </cell>
          <cell r="AC434" t="str">
            <v>x</v>
          </cell>
          <cell r="AD434" t="str">
            <v>x</v>
          </cell>
          <cell r="AE434" t="str">
            <v>x</v>
          </cell>
          <cell r="AF434" t="str">
            <v>x</v>
          </cell>
          <cell r="AG434" t="str">
            <v>x</v>
          </cell>
          <cell r="AH434" t="str">
            <v>x</v>
          </cell>
          <cell r="AI434" t="str">
            <v>x</v>
          </cell>
          <cell r="AJ434" t="str">
            <v>x</v>
          </cell>
          <cell r="AK434" t="str">
            <v>x</v>
          </cell>
          <cell r="AL434" t="str">
            <v>x</v>
          </cell>
          <cell r="AM434">
            <v>25</v>
          </cell>
          <cell r="AN434">
            <v>1</v>
          </cell>
        </row>
        <row r="435">
          <cell r="C435">
            <v>51344</v>
          </cell>
          <cell r="D435" t="e">
            <v>#N/A</v>
          </cell>
          <cell r="F435" t="str">
            <v>Cắt</v>
          </cell>
          <cell r="G435" t="str">
            <v>Nghỉ việc</v>
          </cell>
          <cell r="H435" t="str">
            <v>LT</v>
          </cell>
          <cell r="J435" t="str">
            <v>x</v>
          </cell>
          <cell r="K435" t="str">
            <v>x</v>
          </cell>
          <cell r="L435" t="str">
            <v>x</v>
          </cell>
          <cell r="M435" t="str">
            <v>x</v>
          </cell>
          <cell r="O435" t="str">
            <v>x</v>
          </cell>
          <cell r="P435" t="str">
            <v>x</v>
          </cell>
          <cell r="Q435" t="str">
            <v>x</v>
          </cell>
          <cell r="R435" t="str">
            <v>x</v>
          </cell>
          <cell r="S435" t="str">
            <v>x</v>
          </cell>
          <cell r="T435" t="str">
            <v>x</v>
          </cell>
          <cell r="V435" t="str">
            <v>x</v>
          </cell>
          <cell r="W435" t="str">
            <v>x</v>
          </cell>
          <cell r="X435" t="str">
            <v>x</v>
          </cell>
          <cell r="Y435" t="str">
            <v>x</v>
          </cell>
          <cell r="Z435" t="str">
            <v>x</v>
          </cell>
          <cell r="AA435" t="str">
            <v>x</v>
          </cell>
          <cell r="AM435">
            <v>16</v>
          </cell>
          <cell r="AN435">
            <v>0</v>
          </cell>
        </row>
        <row r="436">
          <cell r="C436">
            <v>51348</v>
          </cell>
          <cell r="D436">
            <v>45038</v>
          </cell>
          <cell r="F436" t="str">
            <v>Tổ sơ mi 4</v>
          </cell>
          <cell r="H436" t="str">
            <v>LT</v>
          </cell>
          <cell r="J436" t="str">
            <v>x</v>
          </cell>
          <cell r="K436" t="str">
            <v>x</v>
          </cell>
          <cell r="L436" t="str">
            <v>x</v>
          </cell>
          <cell r="M436" t="str">
            <v>x</v>
          </cell>
          <cell r="O436" t="str">
            <v>x</v>
          </cell>
          <cell r="P436" t="str">
            <v>x</v>
          </cell>
          <cell r="Q436" t="str">
            <v>x</v>
          </cell>
          <cell r="R436" t="str">
            <v>x</v>
          </cell>
          <cell r="S436" t="str">
            <v>x</v>
          </cell>
          <cell r="T436" t="str">
            <v>x</v>
          </cell>
          <cell r="V436" t="str">
            <v>x</v>
          </cell>
          <cell r="W436" t="str">
            <v>x</v>
          </cell>
          <cell r="X436" t="str">
            <v>x</v>
          </cell>
          <cell r="Y436" t="str">
            <v>x</v>
          </cell>
          <cell r="Z436" t="str">
            <v>x</v>
          </cell>
          <cell r="AA436" t="str">
            <v>x</v>
          </cell>
          <cell r="AC436" t="str">
            <v>x</v>
          </cell>
          <cell r="AD436" t="str">
            <v>x</v>
          </cell>
          <cell r="AE436" t="str">
            <v>Ro</v>
          </cell>
          <cell r="AF436" t="str">
            <v>x</v>
          </cell>
          <cell r="AG436" t="str">
            <v>x</v>
          </cell>
          <cell r="AH436" t="str">
            <v>x</v>
          </cell>
          <cell r="AJ436" t="str">
            <v>x</v>
          </cell>
          <cell r="AK436" t="str">
            <v>x</v>
          </cell>
          <cell r="AL436" t="str">
            <v>x</v>
          </cell>
          <cell r="AM436">
            <v>24</v>
          </cell>
          <cell r="AN436">
            <v>0</v>
          </cell>
        </row>
        <row r="437">
          <cell r="C437">
            <v>51349</v>
          </cell>
          <cell r="D437">
            <v>45038</v>
          </cell>
          <cell r="F437" t="str">
            <v>Tổ sơ mi 2</v>
          </cell>
          <cell r="H437" t="str">
            <v>LT</v>
          </cell>
          <cell r="J437" t="str">
            <v>x</v>
          </cell>
          <cell r="K437" t="str">
            <v>x</v>
          </cell>
          <cell r="L437" t="str">
            <v>x</v>
          </cell>
          <cell r="M437" t="str">
            <v>x</v>
          </cell>
          <cell r="O437" t="str">
            <v>x</v>
          </cell>
          <cell r="P437" t="str">
            <v>x</v>
          </cell>
          <cell r="Q437" t="str">
            <v>x</v>
          </cell>
          <cell r="R437" t="str">
            <v>x</v>
          </cell>
          <cell r="S437" t="str">
            <v>x</v>
          </cell>
          <cell r="T437" t="str">
            <v>x</v>
          </cell>
          <cell r="V437" t="str">
            <v>x</v>
          </cell>
          <cell r="W437" t="str">
            <v>x</v>
          </cell>
          <cell r="X437" t="str">
            <v>x</v>
          </cell>
          <cell r="Y437" t="str">
            <v>x</v>
          </cell>
          <cell r="Z437" t="str">
            <v>x</v>
          </cell>
          <cell r="AA437" t="str">
            <v>x</v>
          </cell>
          <cell r="AC437" t="str">
            <v>x</v>
          </cell>
          <cell r="AD437" t="str">
            <v>x</v>
          </cell>
          <cell r="AE437" t="str">
            <v>x</v>
          </cell>
          <cell r="AF437" t="str">
            <v>x</v>
          </cell>
          <cell r="AG437" t="str">
            <v>x</v>
          </cell>
          <cell r="AH437" t="str">
            <v>x</v>
          </cell>
          <cell r="AJ437" t="str">
            <v>x</v>
          </cell>
          <cell r="AK437" t="str">
            <v>x</v>
          </cell>
          <cell r="AL437" t="str">
            <v>x</v>
          </cell>
          <cell r="AM437">
            <v>25</v>
          </cell>
          <cell r="AN437">
            <v>0</v>
          </cell>
        </row>
        <row r="438">
          <cell r="C438">
            <v>51350</v>
          </cell>
          <cell r="D438">
            <v>45038</v>
          </cell>
          <cell r="F438" t="str">
            <v>Tổ chi tiết</v>
          </cell>
          <cell r="H438" t="str">
            <v>LT</v>
          </cell>
          <cell r="J438" t="str">
            <v>x</v>
          </cell>
          <cell r="K438" t="str">
            <v>x</v>
          </cell>
          <cell r="L438" t="str">
            <v>x</v>
          </cell>
          <cell r="M438" t="str">
            <v>x</v>
          </cell>
          <cell r="O438" t="str">
            <v>x</v>
          </cell>
          <cell r="P438" t="str">
            <v>x</v>
          </cell>
          <cell r="Q438" t="str">
            <v>x</v>
          </cell>
          <cell r="R438" t="str">
            <v>x</v>
          </cell>
          <cell r="S438" t="str">
            <v>x</v>
          </cell>
          <cell r="T438" t="str">
            <v>x</v>
          </cell>
          <cell r="V438" t="str">
            <v>x</v>
          </cell>
          <cell r="W438" t="str">
            <v>x</v>
          </cell>
          <cell r="X438" t="str">
            <v>x</v>
          </cell>
          <cell r="Y438" t="str">
            <v>x</v>
          </cell>
          <cell r="Z438" t="str">
            <v>x</v>
          </cell>
          <cell r="AA438" t="str">
            <v>x</v>
          </cell>
          <cell r="AC438" t="str">
            <v>x</v>
          </cell>
          <cell r="AD438" t="str">
            <v>x</v>
          </cell>
          <cell r="AE438" t="str">
            <v>x</v>
          </cell>
          <cell r="AF438" t="str">
            <v>x</v>
          </cell>
          <cell r="AG438" t="str">
            <v>x</v>
          </cell>
          <cell r="AH438" t="str">
            <v>x</v>
          </cell>
          <cell r="AJ438" t="str">
            <v>x</v>
          </cell>
          <cell r="AK438" t="str">
            <v>Ô</v>
          </cell>
          <cell r="AL438" t="str">
            <v>Ô</v>
          </cell>
          <cell r="AM438">
            <v>23</v>
          </cell>
          <cell r="AN438">
            <v>0</v>
          </cell>
        </row>
        <row r="439">
          <cell r="C439">
            <v>51352</v>
          </cell>
          <cell r="D439">
            <v>45040</v>
          </cell>
          <cell r="F439" t="str">
            <v xml:space="preserve">Tổ 6 </v>
          </cell>
          <cell r="H439" t="str">
            <v>LT</v>
          </cell>
          <cell r="J439" t="str">
            <v>x</v>
          </cell>
          <cell r="K439" t="str">
            <v>x</v>
          </cell>
          <cell r="L439" t="str">
            <v>x</v>
          </cell>
          <cell r="M439" t="str">
            <v>x</v>
          </cell>
          <cell r="O439" t="str">
            <v>x</v>
          </cell>
          <cell r="P439" t="str">
            <v>x</v>
          </cell>
          <cell r="Q439" t="str">
            <v>x</v>
          </cell>
          <cell r="R439" t="str">
            <v>x</v>
          </cell>
          <cell r="S439" t="str">
            <v>x</v>
          </cell>
          <cell r="T439" t="str">
            <v>x</v>
          </cell>
          <cell r="U439" t="str">
            <v>x/2</v>
          </cell>
          <cell r="V439" t="str">
            <v>x</v>
          </cell>
          <cell r="W439" t="str">
            <v>x</v>
          </cell>
          <cell r="X439" t="str">
            <v>x</v>
          </cell>
          <cell r="Y439" t="str">
            <v>x</v>
          </cell>
          <cell r="Z439" t="str">
            <v>x</v>
          </cell>
          <cell r="AA439" t="str">
            <v>x</v>
          </cell>
          <cell r="AC439" t="str">
            <v>x</v>
          </cell>
          <cell r="AD439" t="str">
            <v>x</v>
          </cell>
          <cell r="AE439" t="str">
            <v>x</v>
          </cell>
          <cell r="AF439" t="str">
            <v>x</v>
          </cell>
          <cell r="AG439" t="str">
            <v>x</v>
          </cell>
          <cell r="AH439" t="str">
            <v>x</v>
          </cell>
          <cell r="AJ439" t="str">
            <v>x</v>
          </cell>
          <cell r="AK439" t="str">
            <v>x</v>
          </cell>
          <cell r="AL439" t="str">
            <v>x</v>
          </cell>
          <cell r="AM439">
            <v>25</v>
          </cell>
          <cell r="AN439">
            <v>0.5</v>
          </cell>
        </row>
        <row r="440">
          <cell r="C440">
            <v>10079</v>
          </cell>
          <cell r="D440">
            <v>44735</v>
          </cell>
          <cell r="F440" t="str">
            <v>Tổ 9+10</v>
          </cell>
          <cell r="H440" t="str">
            <v>LT</v>
          </cell>
          <cell r="J440" t="str">
            <v>x</v>
          </cell>
          <cell r="K440" t="str">
            <v>x</v>
          </cell>
          <cell r="L440" t="str">
            <v>x</v>
          </cell>
          <cell r="M440" t="str">
            <v>x</v>
          </cell>
          <cell r="O440" t="str">
            <v>x</v>
          </cell>
          <cell r="P440" t="str">
            <v>x</v>
          </cell>
          <cell r="Q440" t="str">
            <v>x</v>
          </cell>
          <cell r="R440" t="str">
            <v>x</v>
          </cell>
          <cell r="S440" t="str">
            <v>x</v>
          </cell>
          <cell r="T440" t="str">
            <v>x</v>
          </cell>
          <cell r="V440" t="str">
            <v>x</v>
          </cell>
          <cell r="W440" t="str">
            <v>x</v>
          </cell>
          <cell r="X440" t="str">
            <v>x</v>
          </cell>
          <cell r="Y440" t="str">
            <v>x</v>
          </cell>
          <cell r="Z440" t="str">
            <v>x</v>
          </cell>
          <cell r="AA440" t="str">
            <v>x</v>
          </cell>
          <cell r="AC440" t="str">
            <v>x</v>
          </cell>
          <cell r="AD440" t="str">
            <v>x</v>
          </cell>
          <cell r="AE440" t="str">
            <v>x</v>
          </cell>
          <cell r="AF440" t="str">
            <v>x</v>
          </cell>
          <cell r="AG440" t="str">
            <v>x</v>
          </cell>
          <cell r="AH440" t="str">
            <v>x</v>
          </cell>
          <cell r="AJ440" t="str">
            <v>x</v>
          </cell>
          <cell r="AK440" t="str">
            <v>x</v>
          </cell>
          <cell r="AL440" t="str">
            <v>x</v>
          </cell>
          <cell r="AM440">
            <v>25</v>
          </cell>
          <cell r="AN440">
            <v>0</v>
          </cell>
        </row>
        <row r="441">
          <cell r="C441">
            <v>10081</v>
          </cell>
          <cell r="D441">
            <v>44711</v>
          </cell>
          <cell r="F441" t="str">
            <v xml:space="preserve">Tổ 6 </v>
          </cell>
          <cell r="H441" t="str">
            <v>LT</v>
          </cell>
          <cell r="J441" t="str">
            <v>Ô</v>
          </cell>
          <cell r="K441" t="str">
            <v>Ô</v>
          </cell>
          <cell r="L441" t="str">
            <v>Ô</v>
          </cell>
          <cell r="M441" t="str">
            <v>Ô</v>
          </cell>
          <cell r="O441" t="str">
            <v>x</v>
          </cell>
          <cell r="P441" t="str">
            <v>x</v>
          </cell>
          <cell r="Q441" t="str">
            <v>x</v>
          </cell>
          <cell r="R441" t="str">
            <v>x</v>
          </cell>
          <cell r="S441" t="str">
            <v>x</v>
          </cell>
          <cell r="T441" t="str">
            <v>x</v>
          </cell>
          <cell r="V441" t="str">
            <v>x</v>
          </cell>
          <cell r="W441" t="str">
            <v>x</v>
          </cell>
          <cell r="X441" t="str">
            <v>x</v>
          </cell>
          <cell r="Y441" t="str">
            <v>x</v>
          </cell>
          <cell r="Z441" t="str">
            <v>x</v>
          </cell>
          <cell r="AA441" t="str">
            <v>x</v>
          </cell>
          <cell r="AC441" t="str">
            <v>x</v>
          </cell>
          <cell r="AD441" t="str">
            <v>x</v>
          </cell>
          <cell r="AE441" t="str">
            <v>x</v>
          </cell>
          <cell r="AF441" t="str">
            <v>x</v>
          </cell>
          <cell r="AG441" t="str">
            <v>x</v>
          </cell>
          <cell r="AH441" t="str">
            <v>x</v>
          </cell>
          <cell r="AJ441" t="str">
            <v>x</v>
          </cell>
          <cell r="AK441" t="str">
            <v>x</v>
          </cell>
          <cell r="AL441" t="str">
            <v>x</v>
          </cell>
          <cell r="AM441">
            <v>21</v>
          </cell>
          <cell r="AN441">
            <v>0</v>
          </cell>
        </row>
        <row r="442">
          <cell r="C442">
            <v>10083</v>
          </cell>
          <cell r="D442">
            <v>44727</v>
          </cell>
          <cell r="F442" t="str">
            <v>Tổ 15</v>
          </cell>
          <cell r="H442" t="str">
            <v>LT</v>
          </cell>
          <cell r="J442" t="str">
            <v>x</v>
          </cell>
          <cell r="K442" t="str">
            <v>x</v>
          </cell>
          <cell r="L442" t="str">
            <v>x</v>
          </cell>
          <cell r="M442" t="str">
            <v>x</v>
          </cell>
          <cell r="O442" t="str">
            <v>x</v>
          </cell>
          <cell r="P442" t="str">
            <v>x</v>
          </cell>
          <cell r="Q442" t="str">
            <v>x</v>
          </cell>
          <cell r="R442" t="str">
            <v>x</v>
          </cell>
          <cell r="S442" t="str">
            <v>x</v>
          </cell>
          <cell r="T442" t="str">
            <v>x</v>
          </cell>
          <cell r="V442" t="str">
            <v>x</v>
          </cell>
          <cell r="W442" t="str">
            <v>x</v>
          </cell>
          <cell r="X442" t="str">
            <v>x/2</v>
          </cell>
          <cell r="Y442" t="str">
            <v>x</v>
          </cell>
          <cell r="Z442" t="str">
            <v>x</v>
          </cell>
          <cell r="AA442" t="str">
            <v>x</v>
          </cell>
          <cell r="AC442" t="str">
            <v>x</v>
          </cell>
          <cell r="AD442" t="str">
            <v>x</v>
          </cell>
          <cell r="AE442" t="str">
            <v>x</v>
          </cell>
          <cell r="AF442" t="str">
            <v>x</v>
          </cell>
          <cell r="AG442" t="str">
            <v>x</v>
          </cell>
          <cell r="AH442" t="str">
            <v>x</v>
          </cell>
          <cell r="AI442" t="str">
            <v>x</v>
          </cell>
          <cell r="AJ442" t="str">
            <v>x</v>
          </cell>
          <cell r="AK442" t="str">
            <v>x</v>
          </cell>
          <cell r="AL442" t="str">
            <v>x</v>
          </cell>
          <cell r="AM442">
            <v>24.5</v>
          </cell>
          <cell r="AN442">
            <v>1</v>
          </cell>
        </row>
        <row r="443">
          <cell r="C443">
            <v>10092</v>
          </cell>
          <cell r="D443">
            <v>44755</v>
          </cell>
          <cell r="F443" t="str">
            <v>Tổ sơ mi 1</v>
          </cell>
          <cell r="H443" t="str">
            <v>LT</v>
          </cell>
          <cell r="J443" t="str">
            <v>x</v>
          </cell>
          <cell r="K443" t="str">
            <v>x</v>
          </cell>
          <cell r="L443" t="str">
            <v>x</v>
          </cell>
          <cell r="M443" t="str">
            <v>x</v>
          </cell>
          <cell r="O443" t="str">
            <v>x</v>
          </cell>
          <cell r="P443" t="str">
            <v>x</v>
          </cell>
          <cell r="Q443" t="str">
            <v>x</v>
          </cell>
          <cell r="R443" t="str">
            <v>x</v>
          </cell>
          <cell r="S443" t="str">
            <v>x</v>
          </cell>
          <cell r="T443" t="str">
            <v>x</v>
          </cell>
          <cell r="V443" t="str">
            <v>x</v>
          </cell>
          <cell r="W443" t="str">
            <v>x</v>
          </cell>
          <cell r="X443" t="str">
            <v>x</v>
          </cell>
          <cell r="Y443" t="str">
            <v>x</v>
          </cell>
          <cell r="Z443" t="str">
            <v>x</v>
          </cell>
          <cell r="AA443" t="str">
            <v>x</v>
          </cell>
          <cell r="AC443" t="str">
            <v>x</v>
          </cell>
          <cell r="AD443" t="str">
            <v>x</v>
          </cell>
          <cell r="AE443" t="str">
            <v>x</v>
          </cell>
          <cell r="AF443" t="str">
            <v>x</v>
          </cell>
          <cell r="AG443" t="str">
            <v>x</v>
          </cell>
          <cell r="AH443" t="str">
            <v>x</v>
          </cell>
          <cell r="AJ443" t="str">
            <v>x</v>
          </cell>
          <cell r="AK443" t="str">
            <v>x</v>
          </cell>
          <cell r="AL443" t="str">
            <v>x</v>
          </cell>
          <cell r="AM443">
            <v>25</v>
          </cell>
          <cell r="AN443">
            <v>0</v>
          </cell>
        </row>
        <row r="444">
          <cell r="C444">
            <v>10094</v>
          </cell>
          <cell r="D444">
            <v>44756</v>
          </cell>
          <cell r="F444" t="str">
            <v>Tổ 5</v>
          </cell>
          <cell r="H444" t="str">
            <v>LT</v>
          </cell>
          <cell r="J444" t="str">
            <v>x</v>
          </cell>
          <cell r="K444" t="str">
            <v>x</v>
          </cell>
          <cell r="L444" t="str">
            <v>x</v>
          </cell>
          <cell r="M444" t="str">
            <v>x</v>
          </cell>
          <cell r="O444" t="str">
            <v>x</v>
          </cell>
          <cell r="P444" t="str">
            <v>x</v>
          </cell>
          <cell r="Q444" t="str">
            <v>x</v>
          </cell>
          <cell r="R444" t="str">
            <v>x</v>
          </cell>
          <cell r="S444" t="str">
            <v>x/2</v>
          </cell>
          <cell r="T444" t="str">
            <v>x</v>
          </cell>
          <cell r="V444" t="str">
            <v>x</v>
          </cell>
          <cell r="W444" t="str">
            <v>x</v>
          </cell>
          <cell r="X444" t="str">
            <v>x</v>
          </cell>
          <cell r="Y444" t="str">
            <v>x</v>
          </cell>
          <cell r="Z444" t="str">
            <v>x</v>
          </cell>
          <cell r="AA444" t="str">
            <v>x</v>
          </cell>
          <cell r="AC444" t="str">
            <v>x</v>
          </cell>
          <cell r="AD444" t="str">
            <v>x</v>
          </cell>
          <cell r="AE444" t="str">
            <v>x</v>
          </cell>
          <cell r="AF444" t="str">
            <v>x</v>
          </cell>
          <cell r="AG444" t="str">
            <v>x</v>
          </cell>
          <cell r="AH444" t="str">
            <v>x</v>
          </cell>
          <cell r="AJ444" t="str">
            <v>x</v>
          </cell>
          <cell r="AK444" t="str">
            <v>x</v>
          </cell>
          <cell r="AL444" t="str">
            <v>x</v>
          </cell>
          <cell r="AM444">
            <v>24.5</v>
          </cell>
          <cell r="AN444">
            <v>0</v>
          </cell>
        </row>
        <row r="445">
          <cell r="C445">
            <v>10102</v>
          </cell>
          <cell r="D445">
            <v>44762</v>
          </cell>
          <cell r="F445" t="str">
            <v>Tổ 15</v>
          </cell>
          <cell r="H445" t="str">
            <v>LT</v>
          </cell>
          <cell r="J445" t="str">
            <v>x</v>
          </cell>
          <cell r="K445" t="str">
            <v>x</v>
          </cell>
          <cell r="L445" t="str">
            <v>x</v>
          </cell>
          <cell r="M445" t="str">
            <v>x</v>
          </cell>
          <cell r="O445" t="str">
            <v>x</v>
          </cell>
          <cell r="P445" t="str">
            <v>x</v>
          </cell>
          <cell r="Q445" t="str">
            <v>x</v>
          </cell>
          <cell r="R445" t="str">
            <v>x</v>
          </cell>
          <cell r="S445" t="str">
            <v>x</v>
          </cell>
          <cell r="T445" t="str">
            <v>x</v>
          </cell>
          <cell r="V445" t="str">
            <v>x</v>
          </cell>
          <cell r="W445" t="str">
            <v>x</v>
          </cell>
          <cell r="X445" t="str">
            <v>x</v>
          </cell>
          <cell r="Y445" t="str">
            <v>x</v>
          </cell>
          <cell r="Z445" t="str">
            <v>x</v>
          </cell>
          <cell r="AA445" t="str">
            <v>x</v>
          </cell>
          <cell r="AC445" t="str">
            <v>x</v>
          </cell>
          <cell r="AD445" t="str">
            <v>x</v>
          </cell>
          <cell r="AE445" t="str">
            <v>x</v>
          </cell>
          <cell r="AF445" t="str">
            <v>x</v>
          </cell>
          <cell r="AG445" t="str">
            <v>x</v>
          </cell>
          <cell r="AH445" t="str">
            <v>x</v>
          </cell>
          <cell r="AJ445" t="str">
            <v>x</v>
          </cell>
          <cell r="AK445" t="str">
            <v>x</v>
          </cell>
          <cell r="AL445" t="str">
            <v>x</v>
          </cell>
          <cell r="AM445">
            <v>25</v>
          </cell>
          <cell r="AN445">
            <v>0</v>
          </cell>
        </row>
        <row r="446">
          <cell r="C446">
            <v>10121</v>
          </cell>
          <cell r="D446">
            <v>44781</v>
          </cell>
          <cell r="F446" t="str">
            <v>Tổ 15</v>
          </cell>
          <cell r="H446" t="str">
            <v>LT</v>
          </cell>
          <cell r="J446" t="str">
            <v>x</v>
          </cell>
          <cell r="K446" t="str">
            <v>x</v>
          </cell>
          <cell r="L446" t="str">
            <v>x</v>
          </cell>
          <cell r="M446" t="str">
            <v>x</v>
          </cell>
          <cell r="O446" t="str">
            <v>x</v>
          </cell>
          <cell r="P446" t="str">
            <v>x</v>
          </cell>
          <cell r="Q446" t="str">
            <v>x</v>
          </cell>
          <cell r="R446" t="str">
            <v>x</v>
          </cell>
          <cell r="S446" t="str">
            <v>x</v>
          </cell>
          <cell r="T446" t="str">
            <v>x</v>
          </cell>
          <cell r="V446" t="str">
            <v>x</v>
          </cell>
          <cell r="W446" t="str">
            <v>x</v>
          </cell>
          <cell r="X446" t="str">
            <v>x</v>
          </cell>
          <cell r="Y446" t="str">
            <v>x</v>
          </cell>
          <cell r="Z446" t="str">
            <v>x</v>
          </cell>
          <cell r="AA446" t="str">
            <v>x</v>
          </cell>
          <cell r="AC446" t="str">
            <v>x</v>
          </cell>
          <cell r="AD446" t="str">
            <v>x</v>
          </cell>
          <cell r="AE446" t="str">
            <v>x</v>
          </cell>
          <cell r="AF446" t="str">
            <v>x</v>
          </cell>
          <cell r="AG446" t="str">
            <v>x</v>
          </cell>
          <cell r="AH446" t="str">
            <v>x</v>
          </cell>
          <cell r="AJ446" t="str">
            <v>x</v>
          </cell>
          <cell r="AK446" t="str">
            <v>x</v>
          </cell>
          <cell r="AL446" t="str">
            <v>x</v>
          </cell>
          <cell r="AM446">
            <v>25</v>
          </cell>
          <cell r="AN446">
            <v>0</v>
          </cell>
        </row>
        <row r="447">
          <cell r="C447">
            <v>10122</v>
          </cell>
          <cell r="D447">
            <v>44985</v>
          </cell>
          <cell r="F447" t="str">
            <v>Cắt</v>
          </cell>
          <cell r="H447" t="str">
            <v>LT</v>
          </cell>
          <cell r="J447" t="str">
            <v>x</v>
          </cell>
          <cell r="K447" t="str">
            <v>x</v>
          </cell>
          <cell r="L447" t="str">
            <v>x</v>
          </cell>
          <cell r="M447" t="str">
            <v>x</v>
          </cell>
          <cell r="O447" t="str">
            <v>x</v>
          </cell>
          <cell r="P447" t="str">
            <v>x</v>
          </cell>
          <cell r="Q447" t="str">
            <v>Ro</v>
          </cell>
          <cell r="R447" t="str">
            <v>x</v>
          </cell>
          <cell r="S447" t="str">
            <v>x</v>
          </cell>
          <cell r="T447" t="str">
            <v>x</v>
          </cell>
          <cell r="U447" t="str">
            <v>x/2</v>
          </cell>
          <cell r="V447" t="str">
            <v>x</v>
          </cell>
          <cell r="W447" t="str">
            <v>x</v>
          </cell>
          <cell r="X447" t="str">
            <v>x</v>
          </cell>
          <cell r="Y447" t="str">
            <v>x</v>
          </cell>
          <cell r="Z447" t="str">
            <v>x</v>
          </cell>
          <cell r="AA447" t="str">
            <v>x</v>
          </cell>
          <cell r="AC447" t="str">
            <v>x</v>
          </cell>
          <cell r="AD447" t="str">
            <v>x</v>
          </cell>
          <cell r="AE447" t="str">
            <v>x</v>
          </cell>
          <cell r="AF447" t="str">
            <v>x</v>
          </cell>
          <cell r="AG447" t="str">
            <v>x</v>
          </cell>
          <cell r="AH447" t="str">
            <v>x/2</v>
          </cell>
          <cell r="AJ447" t="str">
            <v>x</v>
          </cell>
          <cell r="AK447" t="str">
            <v>x</v>
          </cell>
          <cell r="AL447" t="str">
            <v>x</v>
          </cell>
          <cell r="AM447">
            <v>23.5</v>
          </cell>
          <cell r="AN447">
            <v>0.5</v>
          </cell>
        </row>
        <row r="448">
          <cell r="C448">
            <v>10123</v>
          </cell>
          <cell r="D448">
            <v>44995</v>
          </cell>
          <cell r="F448" t="str">
            <v>Tổ chi tiết</v>
          </cell>
          <cell r="H448" t="str">
            <v>LT</v>
          </cell>
          <cell r="J448" t="str">
            <v>x</v>
          </cell>
          <cell r="K448" t="str">
            <v>x</v>
          </cell>
          <cell r="L448" t="str">
            <v>x</v>
          </cell>
          <cell r="M448" t="str">
            <v>x</v>
          </cell>
          <cell r="O448" t="str">
            <v>x</v>
          </cell>
          <cell r="P448" t="str">
            <v>x</v>
          </cell>
          <cell r="Q448" t="str">
            <v>x</v>
          </cell>
          <cell r="R448" t="str">
            <v>x</v>
          </cell>
          <cell r="S448" t="str">
            <v>x</v>
          </cell>
          <cell r="T448" t="str">
            <v>x</v>
          </cell>
          <cell r="V448" t="str">
            <v>x</v>
          </cell>
          <cell r="W448" t="str">
            <v>x</v>
          </cell>
          <cell r="X448" t="str">
            <v>x</v>
          </cell>
          <cell r="Y448" t="str">
            <v>x</v>
          </cell>
          <cell r="Z448" t="str">
            <v>x</v>
          </cell>
          <cell r="AA448" t="str">
            <v>Rp</v>
          </cell>
          <cell r="AC448" t="str">
            <v>x</v>
          </cell>
          <cell r="AD448" t="str">
            <v>x</v>
          </cell>
          <cell r="AE448" t="str">
            <v>x</v>
          </cell>
          <cell r="AF448" t="str">
            <v>x</v>
          </cell>
          <cell r="AG448" t="str">
            <v>x</v>
          </cell>
          <cell r="AH448" t="str">
            <v>x</v>
          </cell>
          <cell r="AJ448" t="str">
            <v>x</v>
          </cell>
          <cell r="AK448" t="str">
            <v>x</v>
          </cell>
          <cell r="AL448" t="str">
            <v>x</v>
          </cell>
          <cell r="AM448">
            <v>24</v>
          </cell>
          <cell r="AN448">
            <v>0</v>
          </cell>
        </row>
        <row r="449">
          <cell r="C449">
            <v>51384</v>
          </cell>
          <cell r="D449" t="e">
            <v>#N/A</v>
          </cell>
          <cell r="F449" t="str">
            <v>Tổ sơ mi 1</v>
          </cell>
          <cell r="H449" t="str">
            <v>LT</v>
          </cell>
          <cell r="J449" t="str">
            <v>x</v>
          </cell>
          <cell r="K449" t="str">
            <v>x</v>
          </cell>
          <cell r="L449" t="str">
            <v>x</v>
          </cell>
          <cell r="M449" t="str">
            <v>x</v>
          </cell>
          <cell r="O449" t="str">
            <v>x</v>
          </cell>
          <cell r="P449" t="str">
            <v>x</v>
          </cell>
          <cell r="Q449" t="str">
            <v>x</v>
          </cell>
          <cell r="R449" t="str">
            <v>x</v>
          </cell>
          <cell r="S449" t="str">
            <v>x</v>
          </cell>
          <cell r="T449" t="str">
            <v>x</v>
          </cell>
          <cell r="V449" t="str">
            <v>x</v>
          </cell>
          <cell r="W449" t="str">
            <v>x</v>
          </cell>
          <cell r="X449" t="str">
            <v>x</v>
          </cell>
          <cell r="Y449" t="str">
            <v>x</v>
          </cell>
          <cell r="Z449" t="str">
            <v>x</v>
          </cell>
          <cell r="AA449" t="str">
            <v>x</v>
          </cell>
          <cell r="AC449" t="str">
            <v>x</v>
          </cell>
          <cell r="AD449" t="str">
            <v>x</v>
          </cell>
          <cell r="AE449" t="str">
            <v>x</v>
          </cell>
          <cell r="AF449" t="str">
            <v>x</v>
          </cell>
          <cell r="AG449" t="str">
            <v>x</v>
          </cell>
          <cell r="AH449" t="str">
            <v>x</v>
          </cell>
          <cell r="AJ449" t="str">
            <v>Ô</v>
          </cell>
          <cell r="AK449" t="str">
            <v>x</v>
          </cell>
          <cell r="AL449" t="str">
            <v>x</v>
          </cell>
          <cell r="AM449">
            <v>24</v>
          </cell>
          <cell r="AN449">
            <v>0</v>
          </cell>
        </row>
        <row r="450">
          <cell r="C450">
            <v>10125</v>
          </cell>
          <cell r="D450">
            <v>44999</v>
          </cell>
          <cell r="F450" t="str">
            <v>Tổ chi tiết</v>
          </cell>
          <cell r="H450" t="str">
            <v>LT</v>
          </cell>
          <cell r="J450" t="str">
            <v>x</v>
          </cell>
          <cell r="K450" t="str">
            <v>x</v>
          </cell>
          <cell r="L450" t="str">
            <v>x</v>
          </cell>
          <cell r="M450" t="str">
            <v>x</v>
          </cell>
          <cell r="O450" t="str">
            <v>x</v>
          </cell>
          <cell r="P450" t="str">
            <v>x</v>
          </cell>
          <cell r="Q450" t="str">
            <v>x</v>
          </cell>
          <cell r="R450" t="str">
            <v>x</v>
          </cell>
          <cell r="S450" t="str">
            <v>x</v>
          </cell>
          <cell r="T450" t="str">
            <v>x</v>
          </cell>
          <cell r="V450" t="str">
            <v>x</v>
          </cell>
          <cell r="W450" t="str">
            <v>x</v>
          </cell>
          <cell r="X450" t="str">
            <v>x</v>
          </cell>
          <cell r="Y450" t="str">
            <v>x</v>
          </cell>
          <cell r="Z450" t="str">
            <v>x</v>
          </cell>
          <cell r="AA450" t="str">
            <v>x</v>
          </cell>
          <cell r="AC450" t="str">
            <v>x</v>
          </cell>
          <cell r="AD450" t="str">
            <v>x</v>
          </cell>
          <cell r="AE450" t="str">
            <v>x</v>
          </cell>
          <cell r="AF450" t="str">
            <v>x</v>
          </cell>
          <cell r="AG450" t="str">
            <v>x</v>
          </cell>
          <cell r="AH450" t="str">
            <v>x</v>
          </cell>
          <cell r="AJ450" t="str">
            <v>x</v>
          </cell>
          <cell r="AK450" t="str">
            <v>x</v>
          </cell>
          <cell r="AL450" t="str">
            <v>x</v>
          </cell>
          <cell r="AM450">
            <v>25</v>
          </cell>
          <cell r="AN450">
            <v>0</v>
          </cell>
        </row>
        <row r="451">
          <cell r="C451">
            <v>10126</v>
          </cell>
          <cell r="D451">
            <v>45008</v>
          </cell>
          <cell r="F451" t="str">
            <v xml:space="preserve">Tổ 6 </v>
          </cell>
          <cell r="H451" t="str">
            <v>LT</v>
          </cell>
          <cell r="J451" t="str">
            <v>x</v>
          </cell>
          <cell r="K451" t="str">
            <v>x</v>
          </cell>
          <cell r="L451" t="str">
            <v>x</v>
          </cell>
          <cell r="M451" t="str">
            <v>x</v>
          </cell>
          <cell r="O451" t="str">
            <v>x</v>
          </cell>
          <cell r="P451" t="str">
            <v>x</v>
          </cell>
          <cell r="Q451" t="str">
            <v>x</v>
          </cell>
          <cell r="R451" t="str">
            <v>x</v>
          </cell>
          <cell r="S451" t="str">
            <v>x</v>
          </cell>
          <cell r="T451" t="str">
            <v>x</v>
          </cell>
          <cell r="V451" t="str">
            <v>x</v>
          </cell>
          <cell r="W451" t="str">
            <v>x</v>
          </cell>
          <cell r="X451" t="str">
            <v>x</v>
          </cell>
          <cell r="Y451" t="str">
            <v>x</v>
          </cell>
          <cell r="Z451" t="str">
            <v>x</v>
          </cell>
          <cell r="AA451" t="str">
            <v>x</v>
          </cell>
          <cell r="AC451" t="str">
            <v>x</v>
          </cell>
          <cell r="AD451" t="str">
            <v>x</v>
          </cell>
          <cell r="AE451" t="str">
            <v>x</v>
          </cell>
          <cell r="AF451" t="str">
            <v>x</v>
          </cell>
          <cell r="AG451" t="str">
            <v>x</v>
          </cell>
          <cell r="AH451" t="str">
            <v>x</v>
          </cell>
          <cell r="AJ451" t="str">
            <v>x</v>
          </cell>
          <cell r="AK451" t="str">
            <v>x</v>
          </cell>
          <cell r="AL451" t="str">
            <v>x</v>
          </cell>
          <cell r="AM451">
            <v>25</v>
          </cell>
          <cell r="AN451">
            <v>0</v>
          </cell>
        </row>
        <row r="452">
          <cell r="C452">
            <v>10127</v>
          </cell>
          <cell r="D452">
            <v>45015</v>
          </cell>
          <cell r="F452" t="str">
            <v>LÀ TP</v>
          </cell>
          <cell r="H452" t="str">
            <v>LT</v>
          </cell>
          <cell r="J452" t="str">
            <v>x</v>
          </cell>
          <cell r="K452" t="str">
            <v>x</v>
          </cell>
          <cell r="L452" t="str">
            <v>x</v>
          </cell>
          <cell r="M452" t="str">
            <v>x</v>
          </cell>
          <cell r="O452" t="str">
            <v>x</v>
          </cell>
          <cell r="P452" t="str">
            <v>x</v>
          </cell>
          <cell r="Q452" t="str">
            <v>x</v>
          </cell>
          <cell r="R452" t="str">
            <v>x</v>
          </cell>
          <cell r="S452" t="str">
            <v>x</v>
          </cell>
          <cell r="T452" t="str">
            <v>x</v>
          </cell>
          <cell r="V452" t="str">
            <v>x</v>
          </cell>
          <cell r="W452" t="str">
            <v>x</v>
          </cell>
          <cell r="X452" t="str">
            <v>x</v>
          </cell>
          <cell r="Y452" t="str">
            <v>x</v>
          </cell>
          <cell r="Z452" t="str">
            <v>x</v>
          </cell>
          <cell r="AA452" t="str">
            <v>x</v>
          </cell>
          <cell r="AC452" t="str">
            <v>x</v>
          </cell>
          <cell r="AD452" t="str">
            <v>x</v>
          </cell>
          <cell r="AE452" t="str">
            <v>x</v>
          </cell>
          <cell r="AF452" t="str">
            <v>x</v>
          </cell>
          <cell r="AG452" t="str">
            <v>x</v>
          </cell>
          <cell r="AH452" t="str">
            <v>x</v>
          </cell>
          <cell r="AJ452" t="str">
            <v>x</v>
          </cell>
          <cell r="AK452" t="str">
            <v>x</v>
          </cell>
          <cell r="AL452" t="str">
            <v>x</v>
          </cell>
          <cell r="AM452">
            <v>25</v>
          </cell>
          <cell r="AN452">
            <v>0</v>
          </cell>
        </row>
        <row r="453">
          <cell r="C453">
            <v>10129</v>
          </cell>
          <cell r="D453">
            <v>0</v>
          </cell>
          <cell r="F453" t="str">
            <v>Tổ 14</v>
          </cell>
          <cell r="H453" t="str">
            <v>LT</v>
          </cell>
          <cell r="J453" t="str">
            <v>x</v>
          </cell>
          <cell r="K453" t="str">
            <v>x</v>
          </cell>
          <cell r="L453" t="str">
            <v>x</v>
          </cell>
          <cell r="M453" t="str">
            <v>x</v>
          </cell>
          <cell r="O453" t="str">
            <v>x</v>
          </cell>
          <cell r="P453" t="str">
            <v>x</v>
          </cell>
          <cell r="Q453" t="str">
            <v>x</v>
          </cell>
          <cell r="R453" t="str">
            <v>x</v>
          </cell>
          <cell r="S453" t="str">
            <v>x</v>
          </cell>
          <cell r="T453" t="str">
            <v>x</v>
          </cell>
          <cell r="V453" t="str">
            <v>x</v>
          </cell>
          <cell r="W453" t="str">
            <v>x</v>
          </cell>
          <cell r="X453" t="str">
            <v>x</v>
          </cell>
          <cell r="Y453" t="str">
            <v>x</v>
          </cell>
          <cell r="Z453" t="str">
            <v>x</v>
          </cell>
          <cell r="AA453" t="str">
            <v>x</v>
          </cell>
          <cell r="AC453" t="str">
            <v>x</v>
          </cell>
          <cell r="AD453" t="str">
            <v>x</v>
          </cell>
          <cell r="AE453" t="str">
            <v>x</v>
          </cell>
          <cell r="AF453" t="str">
            <v>x</v>
          </cell>
          <cell r="AG453" t="str">
            <v>x</v>
          </cell>
          <cell r="AH453" t="str">
            <v>x</v>
          </cell>
          <cell r="AI453" t="str">
            <v>x</v>
          </cell>
          <cell r="AJ453" t="str">
            <v>x</v>
          </cell>
          <cell r="AK453" t="str">
            <v>x</v>
          </cell>
          <cell r="AL453" t="str">
            <v>x</v>
          </cell>
          <cell r="AM453">
            <v>25</v>
          </cell>
          <cell r="AN453">
            <v>1</v>
          </cell>
        </row>
        <row r="454">
          <cell r="C454" t="str">
            <v>TV</v>
          </cell>
          <cell r="D454">
            <v>0</v>
          </cell>
          <cell r="F454" t="str">
            <v>VP</v>
          </cell>
          <cell r="H454" t="str">
            <v>LT</v>
          </cell>
          <cell r="J454" t="str">
            <v>x</v>
          </cell>
          <cell r="K454" t="str">
            <v>x</v>
          </cell>
          <cell r="L454" t="str">
            <v>x</v>
          </cell>
          <cell r="M454" t="str">
            <v>x</v>
          </cell>
          <cell r="O454" t="str">
            <v>x</v>
          </cell>
          <cell r="P454" t="str">
            <v>x</v>
          </cell>
          <cell r="Q454" t="str">
            <v>x</v>
          </cell>
          <cell r="R454" t="str">
            <v>x</v>
          </cell>
          <cell r="S454" t="str">
            <v>x</v>
          </cell>
          <cell r="T454" t="str">
            <v>x</v>
          </cell>
          <cell r="V454" t="str">
            <v>x</v>
          </cell>
          <cell r="W454" t="str">
            <v>x</v>
          </cell>
          <cell r="X454" t="str">
            <v>x</v>
          </cell>
          <cell r="Y454" t="str">
            <v>x</v>
          </cell>
          <cell r="Z454" t="str">
            <v>x</v>
          </cell>
          <cell r="AA454" t="str">
            <v>x</v>
          </cell>
          <cell r="AC454" t="str">
            <v>x</v>
          </cell>
          <cell r="AD454" t="str">
            <v>x</v>
          </cell>
          <cell r="AE454" t="str">
            <v>x</v>
          </cell>
          <cell r="AF454" t="str">
            <v>x</v>
          </cell>
          <cell r="AG454" t="str">
            <v>x</v>
          </cell>
          <cell r="AH454" t="str">
            <v>x</v>
          </cell>
          <cell r="AI454" t="str">
            <v>x</v>
          </cell>
          <cell r="AJ454" t="str">
            <v>x</v>
          </cell>
          <cell r="AK454" t="str">
            <v>x</v>
          </cell>
          <cell r="AL454" t="str">
            <v>x</v>
          </cell>
          <cell r="AM454">
            <v>25</v>
          </cell>
          <cell r="AN454">
            <v>1</v>
          </cell>
        </row>
        <row r="455">
          <cell r="C455" t="str">
            <v>TV194</v>
          </cell>
          <cell r="D455">
            <v>0</v>
          </cell>
          <cell r="F455" t="str">
            <v>Tổ 14</v>
          </cell>
          <cell r="H455" t="str">
            <v>LT</v>
          </cell>
          <cell r="J455" t="str">
            <v>x</v>
          </cell>
          <cell r="K455" t="str">
            <v>x</v>
          </cell>
          <cell r="L455" t="str">
            <v>x</v>
          </cell>
          <cell r="M455" t="str">
            <v>x</v>
          </cell>
          <cell r="O455" t="str">
            <v>x</v>
          </cell>
          <cell r="P455" t="str">
            <v>x</v>
          </cell>
          <cell r="Q455" t="str">
            <v>x</v>
          </cell>
          <cell r="R455" t="str">
            <v>x</v>
          </cell>
          <cell r="S455" t="str">
            <v>x</v>
          </cell>
          <cell r="T455" t="str">
            <v>x</v>
          </cell>
          <cell r="V455" t="str">
            <v>x</v>
          </cell>
          <cell r="W455" t="str">
            <v>x</v>
          </cell>
          <cell r="X455" t="str">
            <v>x</v>
          </cell>
          <cell r="Y455" t="str">
            <v>x</v>
          </cell>
          <cell r="Z455" t="str">
            <v>x</v>
          </cell>
          <cell r="AA455" t="str">
            <v>x</v>
          </cell>
          <cell r="AC455" t="str">
            <v>x</v>
          </cell>
          <cell r="AD455" t="str">
            <v>x</v>
          </cell>
          <cell r="AE455" t="str">
            <v>x</v>
          </cell>
          <cell r="AF455" t="str">
            <v>x</v>
          </cell>
          <cell r="AG455" t="str">
            <v>x</v>
          </cell>
          <cell r="AH455" t="str">
            <v>x</v>
          </cell>
          <cell r="AJ455" t="str">
            <v>x</v>
          </cell>
          <cell r="AK455" t="str">
            <v>x</v>
          </cell>
          <cell r="AL455" t="str">
            <v>x</v>
          </cell>
          <cell r="AM455">
            <v>25</v>
          </cell>
          <cell r="AN455">
            <v>0</v>
          </cell>
        </row>
        <row r="456">
          <cell r="C456" t="str">
            <v>TV195</v>
          </cell>
          <cell r="D456">
            <v>0</v>
          </cell>
          <cell r="F456" t="str">
            <v>Tổ 5</v>
          </cell>
          <cell r="H456" t="str">
            <v>LT</v>
          </cell>
          <cell r="J456" t="str">
            <v>x</v>
          </cell>
          <cell r="K456" t="str">
            <v>x</v>
          </cell>
          <cell r="L456" t="str">
            <v>x</v>
          </cell>
          <cell r="M456" t="str">
            <v>x</v>
          </cell>
          <cell r="O456" t="str">
            <v>x</v>
          </cell>
          <cell r="P456" t="str">
            <v>x</v>
          </cell>
          <cell r="Q456" t="str">
            <v>x</v>
          </cell>
          <cell r="R456" t="str">
            <v>x</v>
          </cell>
          <cell r="S456" t="str">
            <v>x</v>
          </cell>
          <cell r="T456" t="str">
            <v>x</v>
          </cell>
          <cell r="V456" t="str">
            <v>x</v>
          </cell>
          <cell r="W456" t="str">
            <v>x</v>
          </cell>
          <cell r="X456" t="str">
            <v>x</v>
          </cell>
          <cell r="Y456" t="str">
            <v>x</v>
          </cell>
          <cell r="Z456" t="str">
            <v>x</v>
          </cell>
          <cell r="AA456" t="str">
            <v>x</v>
          </cell>
          <cell r="AC456" t="str">
            <v>x</v>
          </cell>
          <cell r="AD456" t="str">
            <v>x</v>
          </cell>
          <cell r="AE456" t="str">
            <v>x</v>
          </cell>
          <cell r="AF456" t="str">
            <v>x</v>
          </cell>
          <cell r="AG456" t="str">
            <v>x</v>
          </cell>
          <cell r="AH456" t="str">
            <v>x</v>
          </cell>
          <cell r="AJ456" t="str">
            <v>x</v>
          </cell>
          <cell r="AK456" t="str">
            <v>x</v>
          </cell>
          <cell r="AL456" t="str">
            <v>x</v>
          </cell>
          <cell r="AM456">
            <v>25</v>
          </cell>
          <cell r="AN456">
            <v>0</v>
          </cell>
        </row>
        <row r="457">
          <cell r="C457" t="str">
            <v>TT</v>
          </cell>
          <cell r="D457" t="e">
            <v>#N/A</v>
          </cell>
          <cell r="F457" t="str">
            <v>VP</v>
          </cell>
          <cell r="J457" t="str">
            <v>x</v>
          </cell>
          <cell r="K457" t="str">
            <v>x</v>
          </cell>
          <cell r="L457" t="str">
            <v>x</v>
          </cell>
          <cell r="M457" t="str">
            <v>x</v>
          </cell>
          <cell r="O457" t="str">
            <v>x</v>
          </cell>
          <cell r="P457" t="str">
            <v>x</v>
          </cell>
          <cell r="Q457" t="str">
            <v>x</v>
          </cell>
          <cell r="R457" t="str">
            <v>x</v>
          </cell>
          <cell r="S457" t="str">
            <v>Ro</v>
          </cell>
          <cell r="T457" t="str">
            <v>Ro</v>
          </cell>
          <cell r="V457" t="str">
            <v>Ro</v>
          </cell>
          <cell r="W457" t="str">
            <v>x</v>
          </cell>
          <cell r="X457" t="str">
            <v>x</v>
          </cell>
          <cell r="Y457" t="str">
            <v>x</v>
          </cell>
          <cell r="Z457" t="str">
            <v>x</v>
          </cell>
          <cell r="AA457" t="str">
            <v>x</v>
          </cell>
          <cell r="AM457">
            <v>13</v>
          </cell>
          <cell r="AN457">
            <v>0</v>
          </cell>
        </row>
        <row r="458">
          <cell r="F458" t="str">
            <v>SDQB</v>
          </cell>
          <cell r="H458" t="str">
            <v>LT</v>
          </cell>
          <cell r="J458" t="str">
            <v>F</v>
          </cell>
          <cell r="K458" t="str">
            <v>x</v>
          </cell>
          <cell r="L458" t="str">
            <v>x</v>
          </cell>
          <cell r="M458" t="str">
            <v>x</v>
          </cell>
          <cell r="O458" t="str">
            <v>x</v>
          </cell>
          <cell r="P458" t="str">
            <v>x</v>
          </cell>
          <cell r="Q458" t="str">
            <v>x</v>
          </cell>
          <cell r="R458" t="str">
            <v>x</v>
          </cell>
          <cell r="S458" t="str">
            <v>x</v>
          </cell>
          <cell r="T458" t="str">
            <v>x</v>
          </cell>
          <cell r="U458" t="str">
            <v>x/2</v>
          </cell>
          <cell r="V458" t="str">
            <v>x</v>
          </cell>
          <cell r="W458" t="str">
            <v>x</v>
          </cell>
          <cell r="X458" t="str">
            <v>x</v>
          </cell>
          <cell r="Y458" t="str">
            <v>x</v>
          </cell>
          <cell r="Z458" t="str">
            <v>x</v>
          </cell>
          <cell r="AA458" t="str">
            <v>x</v>
          </cell>
          <cell r="AB458" t="str">
            <v>x</v>
          </cell>
          <cell r="AC458" t="str">
            <v>x</v>
          </cell>
          <cell r="AD458" t="str">
            <v>x</v>
          </cell>
          <cell r="AE458" t="str">
            <v>x</v>
          </cell>
          <cell r="AF458" t="str">
            <v>x</v>
          </cell>
          <cell r="AG458" t="str">
            <v>x</v>
          </cell>
          <cell r="AH458" t="str">
            <v>x</v>
          </cell>
          <cell r="AJ458" t="str">
            <v>x</v>
          </cell>
          <cell r="AK458" t="str">
            <v>x</v>
          </cell>
          <cell r="AL458" t="str">
            <v>x</v>
          </cell>
          <cell r="AM458">
            <v>24</v>
          </cell>
          <cell r="AN458">
            <v>1.5</v>
          </cell>
        </row>
        <row r="459">
          <cell r="C459">
            <v>51353</v>
          </cell>
          <cell r="D459">
            <v>45049</v>
          </cell>
          <cell r="F459" t="str">
            <v>Cắt</v>
          </cell>
          <cell r="J459" t="str">
            <v>x</v>
          </cell>
          <cell r="K459" t="str">
            <v>x</v>
          </cell>
          <cell r="L459" t="str">
            <v>x</v>
          </cell>
          <cell r="M459" t="str">
            <v>x</v>
          </cell>
          <cell r="O459" t="str">
            <v>x</v>
          </cell>
          <cell r="P459" t="str">
            <v>x</v>
          </cell>
          <cell r="Q459" t="str">
            <v>x</v>
          </cell>
          <cell r="R459" t="str">
            <v>x</v>
          </cell>
          <cell r="S459" t="str">
            <v>x</v>
          </cell>
          <cell r="T459" t="str">
            <v>x</v>
          </cell>
          <cell r="U459" t="str">
            <v>x/2</v>
          </cell>
          <cell r="V459" t="str">
            <v>x</v>
          </cell>
          <cell r="W459" t="str">
            <v>x</v>
          </cell>
          <cell r="X459" t="str">
            <v>x</v>
          </cell>
          <cell r="Y459" t="str">
            <v>x</v>
          </cell>
          <cell r="Z459" t="str">
            <v>x</v>
          </cell>
          <cell r="AA459" t="str">
            <v>x</v>
          </cell>
          <cell r="AC459" t="str">
            <v>x</v>
          </cell>
          <cell r="AD459" t="str">
            <v>x</v>
          </cell>
          <cell r="AE459" t="str">
            <v>x</v>
          </cell>
          <cell r="AF459" t="str">
            <v>x</v>
          </cell>
          <cell r="AG459" t="str">
            <v>x</v>
          </cell>
          <cell r="AH459" t="str">
            <v>x</v>
          </cell>
          <cell r="AJ459" t="str">
            <v>x</v>
          </cell>
          <cell r="AK459" t="str">
            <v>x</v>
          </cell>
          <cell r="AL459" t="str">
            <v>x</v>
          </cell>
          <cell r="AM459">
            <v>25</v>
          </cell>
          <cell r="AN459">
            <v>0.5</v>
          </cell>
        </row>
        <row r="460">
          <cell r="C460">
            <v>51354</v>
          </cell>
          <cell r="D460">
            <v>45049</v>
          </cell>
          <cell r="F460" t="str">
            <v>Tổ 15</v>
          </cell>
          <cell r="J460" t="str">
            <v>x</v>
          </cell>
          <cell r="K460" t="str">
            <v>x</v>
          </cell>
          <cell r="L460" t="str">
            <v>x</v>
          </cell>
          <cell r="M460" t="str">
            <v>x</v>
          </cell>
          <cell r="O460" t="str">
            <v>x</v>
          </cell>
          <cell r="P460" t="str">
            <v>x</v>
          </cell>
          <cell r="Q460" t="str">
            <v>x</v>
          </cell>
          <cell r="R460" t="str">
            <v>x</v>
          </cell>
          <cell r="S460" t="str">
            <v>x</v>
          </cell>
          <cell r="T460" t="str">
            <v>x</v>
          </cell>
          <cell r="V460" t="str">
            <v>x</v>
          </cell>
          <cell r="W460" t="str">
            <v>x</v>
          </cell>
          <cell r="X460" t="str">
            <v>x</v>
          </cell>
          <cell r="Y460" t="str">
            <v>x</v>
          </cell>
          <cell r="Z460" t="str">
            <v>x</v>
          </cell>
          <cell r="AA460" t="str">
            <v>x</v>
          </cell>
          <cell r="AC460" t="str">
            <v>x</v>
          </cell>
          <cell r="AD460" t="str">
            <v>x</v>
          </cell>
          <cell r="AE460" t="str">
            <v>x</v>
          </cell>
          <cell r="AF460" t="str">
            <v>x</v>
          </cell>
          <cell r="AG460" t="str">
            <v>x</v>
          </cell>
          <cell r="AH460" t="str">
            <v>x</v>
          </cell>
          <cell r="AI460" t="str">
            <v>x</v>
          </cell>
          <cell r="AJ460" t="str">
            <v>x</v>
          </cell>
          <cell r="AK460" t="str">
            <v>x</v>
          </cell>
          <cell r="AL460" t="str">
            <v>x</v>
          </cell>
          <cell r="AM460">
            <v>25</v>
          </cell>
          <cell r="AN460">
            <v>1</v>
          </cell>
        </row>
        <row r="461">
          <cell r="C461">
            <v>51355</v>
          </cell>
          <cell r="D461">
            <v>45050</v>
          </cell>
          <cell r="F461" t="str">
            <v>Tổ sơ mi 3</v>
          </cell>
          <cell r="K461" t="str">
            <v>x</v>
          </cell>
          <cell r="L461" t="str">
            <v>x</v>
          </cell>
          <cell r="M461" t="str">
            <v>x</v>
          </cell>
          <cell r="O461" t="str">
            <v>x</v>
          </cell>
          <cell r="P461" t="str">
            <v>x</v>
          </cell>
          <cell r="Q461" t="str">
            <v>x</v>
          </cell>
          <cell r="R461" t="str">
            <v>x</v>
          </cell>
          <cell r="S461" t="str">
            <v>x</v>
          </cell>
          <cell r="T461" t="str">
            <v>x</v>
          </cell>
          <cell r="V461" t="str">
            <v>x</v>
          </cell>
          <cell r="W461" t="str">
            <v>x</v>
          </cell>
          <cell r="X461" t="str">
            <v>x</v>
          </cell>
          <cell r="Y461" t="str">
            <v>x</v>
          </cell>
          <cell r="Z461" t="str">
            <v>x</v>
          </cell>
          <cell r="AA461" t="str">
            <v>x</v>
          </cell>
          <cell r="AC461" t="str">
            <v>x</v>
          </cell>
          <cell r="AD461" t="str">
            <v>x</v>
          </cell>
          <cell r="AE461" t="str">
            <v>x</v>
          </cell>
          <cell r="AF461" t="str">
            <v>x</v>
          </cell>
          <cell r="AG461" t="str">
            <v>x</v>
          </cell>
          <cell r="AH461" t="str">
            <v>x</v>
          </cell>
          <cell r="AJ461" t="str">
            <v>x</v>
          </cell>
          <cell r="AK461" t="str">
            <v>x</v>
          </cell>
          <cell r="AL461" t="str">
            <v>x</v>
          </cell>
          <cell r="AM461">
            <v>24</v>
          </cell>
          <cell r="AN461">
            <v>0</v>
          </cell>
        </row>
        <row r="462">
          <cell r="C462">
            <v>51356</v>
          </cell>
          <cell r="D462">
            <v>45050</v>
          </cell>
          <cell r="F462" t="str">
            <v>H.thiện</v>
          </cell>
          <cell r="K462" t="str">
            <v>x</v>
          </cell>
          <cell r="L462" t="str">
            <v>x</v>
          </cell>
          <cell r="M462" t="str">
            <v>x</v>
          </cell>
          <cell r="O462" t="str">
            <v>x</v>
          </cell>
          <cell r="P462" t="str">
            <v>x</v>
          </cell>
          <cell r="Q462" t="str">
            <v>x</v>
          </cell>
          <cell r="R462" t="str">
            <v>x</v>
          </cell>
          <cell r="S462" t="str">
            <v>x/2</v>
          </cell>
          <cell r="T462" t="str">
            <v>x</v>
          </cell>
          <cell r="U462" t="str">
            <v>x/2</v>
          </cell>
          <cell r="V462" t="str">
            <v>x</v>
          </cell>
          <cell r="W462" t="str">
            <v>x</v>
          </cell>
          <cell r="X462" t="str">
            <v>x</v>
          </cell>
          <cell r="Y462" t="str">
            <v>x</v>
          </cell>
          <cell r="Z462" t="str">
            <v>x</v>
          </cell>
          <cell r="AA462" t="str">
            <v>x</v>
          </cell>
          <cell r="AC462" t="str">
            <v>x</v>
          </cell>
          <cell r="AD462" t="str">
            <v>x</v>
          </cell>
          <cell r="AE462" t="str">
            <v>x</v>
          </cell>
          <cell r="AF462" t="str">
            <v>x</v>
          </cell>
          <cell r="AG462" t="str">
            <v>x</v>
          </cell>
          <cell r="AH462" t="str">
            <v>x</v>
          </cell>
          <cell r="AJ462" t="str">
            <v>x</v>
          </cell>
          <cell r="AK462" t="str">
            <v>x</v>
          </cell>
          <cell r="AL462" t="str">
            <v>x</v>
          </cell>
          <cell r="AM462">
            <v>23.5</v>
          </cell>
          <cell r="AN462">
            <v>0.5</v>
          </cell>
        </row>
        <row r="463">
          <cell r="C463">
            <v>51357</v>
          </cell>
          <cell r="D463">
            <v>45050</v>
          </cell>
          <cell r="F463" t="str">
            <v>Tổ sơ mi 3</v>
          </cell>
          <cell r="K463" t="str">
            <v>x</v>
          </cell>
          <cell r="L463" t="str">
            <v>x</v>
          </cell>
          <cell r="M463" t="str">
            <v>x</v>
          </cell>
          <cell r="O463" t="str">
            <v>x</v>
          </cell>
          <cell r="P463" t="str">
            <v>x</v>
          </cell>
          <cell r="Q463" t="str">
            <v>x</v>
          </cell>
          <cell r="R463" t="str">
            <v>x</v>
          </cell>
          <cell r="S463" t="str">
            <v>x</v>
          </cell>
          <cell r="T463" t="str">
            <v>x</v>
          </cell>
          <cell r="V463" t="str">
            <v>x</v>
          </cell>
          <cell r="W463" t="str">
            <v>x</v>
          </cell>
          <cell r="X463" t="str">
            <v>x</v>
          </cell>
          <cell r="Y463" t="str">
            <v>x</v>
          </cell>
          <cell r="Z463" t="str">
            <v>x</v>
          </cell>
          <cell r="AA463" t="str">
            <v>x</v>
          </cell>
          <cell r="AC463" t="str">
            <v>x</v>
          </cell>
          <cell r="AD463" t="str">
            <v>x</v>
          </cell>
          <cell r="AE463" t="str">
            <v>x</v>
          </cell>
          <cell r="AF463" t="str">
            <v>x</v>
          </cell>
          <cell r="AG463" t="str">
            <v>x</v>
          </cell>
          <cell r="AH463" t="str">
            <v>x</v>
          </cell>
          <cell r="AJ463" t="str">
            <v>x</v>
          </cell>
          <cell r="AK463" t="str">
            <v>x</v>
          </cell>
          <cell r="AL463" t="str">
            <v>x</v>
          </cell>
          <cell r="AM463">
            <v>24</v>
          </cell>
          <cell r="AN463">
            <v>0</v>
          </cell>
        </row>
        <row r="464">
          <cell r="C464">
            <v>51359</v>
          </cell>
          <cell r="D464">
            <v>45051</v>
          </cell>
          <cell r="F464" t="str">
            <v>Cắt</v>
          </cell>
          <cell r="L464" t="str">
            <v>x</v>
          </cell>
          <cell r="M464" t="str">
            <v>x</v>
          </cell>
          <cell r="O464" t="str">
            <v>x</v>
          </cell>
          <cell r="P464" t="str">
            <v>x</v>
          </cell>
          <cell r="Q464" t="str">
            <v>x</v>
          </cell>
          <cell r="R464" t="str">
            <v>x</v>
          </cell>
          <cell r="S464" t="str">
            <v>x</v>
          </cell>
          <cell r="T464" t="str">
            <v>x</v>
          </cell>
          <cell r="U464" t="str">
            <v>x/2</v>
          </cell>
          <cell r="V464" t="str">
            <v>Ro</v>
          </cell>
          <cell r="W464" t="str">
            <v>x</v>
          </cell>
          <cell r="X464" t="str">
            <v>x</v>
          </cell>
          <cell r="Y464" t="str">
            <v>x</v>
          </cell>
          <cell r="Z464" t="str">
            <v>x</v>
          </cell>
          <cell r="AA464" t="str">
            <v>x</v>
          </cell>
          <cell r="AC464" t="str">
            <v>x</v>
          </cell>
          <cell r="AD464" t="str">
            <v>x</v>
          </cell>
          <cell r="AE464" t="str">
            <v>x</v>
          </cell>
          <cell r="AF464" t="str">
            <v>x</v>
          </cell>
          <cell r="AG464" t="str">
            <v>x</v>
          </cell>
          <cell r="AH464" t="str">
            <v>x</v>
          </cell>
          <cell r="AJ464" t="str">
            <v>x</v>
          </cell>
          <cell r="AK464" t="str">
            <v>x</v>
          </cell>
          <cell r="AL464" t="str">
            <v>x</v>
          </cell>
          <cell r="AM464">
            <v>22</v>
          </cell>
          <cell r="AN464">
            <v>0.5</v>
          </cell>
        </row>
        <row r="465">
          <cell r="C465">
            <v>51360</v>
          </cell>
          <cell r="D465">
            <v>45051</v>
          </cell>
          <cell r="F465" t="str">
            <v>H.thiện</v>
          </cell>
          <cell r="L465" t="str">
            <v>x</v>
          </cell>
          <cell r="M465" t="str">
            <v>x</v>
          </cell>
          <cell r="O465" t="str">
            <v>x</v>
          </cell>
          <cell r="P465" t="str">
            <v>x</v>
          </cell>
          <cell r="Q465" t="str">
            <v>x</v>
          </cell>
          <cell r="R465" t="str">
            <v>x</v>
          </cell>
          <cell r="S465" t="str">
            <v>x</v>
          </cell>
          <cell r="T465" t="str">
            <v>x</v>
          </cell>
          <cell r="U465" t="str">
            <v>x/2</v>
          </cell>
          <cell r="V465" t="str">
            <v>x</v>
          </cell>
          <cell r="W465" t="str">
            <v>x</v>
          </cell>
          <cell r="X465" t="str">
            <v>x</v>
          </cell>
          <cell r="Y465" t="str">
            <v>x</v>
          </cell>
          <cell r="Z465" t="str">
            <v>x</v>
          </cell>
          <cell r="AA465" t="str">
            <v>x</v>
          </cell>
          <cell r="AC465" t="str">
            <v>x</v>
          </cell>
          <cell r="AD465" t="str">
            <v>x</v>
          </cell>
          <cell r="AE465" t="str">
            <v>x</v>
          </cell>
          <cell r="AF465" t="str">
            <v>x</v>
          </cell>
          <cell r="AG465" t="str">
            <v>x</v>
          </cell>
          <cell r="AH465" t="str">
            <v>x</v>
          </cell>
          <cell r="AJ465" t="str">
            <v>x</v>
          </cell>
          <cell r="AK465" t="str">
            <v>x</v>
          </cell>
          <cell r="AL465" t="str">
            <v>x</v>
          </cell>
          <cell r="AM465">
            <v>23</v>
          </cell>
          <cell r="AN465">
            <v>0.5</v>
          </cell>
        </row>
        <row r="466">
          <cell r="C466">
            <v>51361</v>
          </cell>
          <cell r="D466">
            <v>45054</v>
          </cell>
          <cell r="F466" t="str">
            <v>Kiểm hoá</v>
          </cell>
          <cell r="O466" t="str">
            <v>x</v>
          </cell>
          <cell r="P466" t="str">
            <v>x</v>
          </cell>
          <cell r="Q466" t="str">
            <v>x</v>
          </cell>
          <cell r="R466" t="str">
            <v>x</v>
          </cell>
          <cell r="S466" t="str">
            <v>x</v>
          </cell>
          <cell r="T466" t="str">
            <v>x</v>
          </cell>
          <cell r="V466" t="str">
            <v>x</v>
          </cell>
          <cell r="W466" t="str">
            <v>x</v>
          </cell>
          <cell r="X466" t="str">
            <v>x</v>
          </cell>
          <cell r="Y466" t="str">
            <v>x</v>
          </cell>
          <cell r="Z466" t="str">
            <v>x</v>
          </cell>
          <cell r="AA466" t="str">
            <v>x</v>
          </cell>
          <cell r="AC466" t="str">
            <v>x</v>
          </cell>
          <cell r="AD466" t="str">
            <v>x</v>
          </cell>
          <cell r="AE466" t="str">
            <v>x</v>
          </cell>
          <cell r="AF466" t="str">
            <v>x</v>
          </cell>
          <cell r="AG466" t="str">
            <v>x</v>
          </cell>
          <cell r="AH466" t="str">
            <v>Ro</v>
          </cell>
          <cell r="AJ466" t="str">
            <v>x</v>
          </cell>
          <cell r="AK466" t="str">
            <v>x</v>
          </cell>
          <cell r="AL466" t="str">
            <v>x</v>
          </cell>
          <cell r="AM466">
            <v>20</v>
          </cell>
          <cell r="AN466">
            <v>0</v>
          </cell>
        </row>
        <row r="467">
          <cell r="C467">
            <v>51362</v>
          </cell>
          <cell r="D467">
            <v>45054</v>
          </cell>
          <cell r="F467" t="str">
            <v>Kiểm hoá</v>
          </cell>
          <cell r="O467" t="str">
            <v>x</v>
          </cell>
          <cell r="P467" t="str">
            <v>x</v>
          </cell>
          <cell r="Q467" t="str">
            <v>x</v>
          </cell>
          <cell r="R467" t="str">
            <v>x</v>
          </cell>
          <cell r="S467" t="str">
            <v>x</v>
          </cell>
          <cell r="T467" t="str">
            <v>x</v>
          </cell>
          <cell r="V467" t="str">
            <v>x</v>
          </cell>
          <cell r="W467" t="str">
            <v>x</v>
          </cell>
          <cell r="X467" t="str">
            <v>x</v>
          </cell>
          <cell r="Y467" t="str">
            <v>x</v>
          </cell>
          <cell r="Z467" t="str">
            <v>x</v>
          </cell>
          <cell r="AA467" t="str">
            <v>x</v>
          </cell>
          <cell r="AC467" t="str">
            <v>x</v>
          </cell>
          <cell r="AD467" t="str">
            <v>x</v>
          </cell>
          <cell r="AE467" t="str">
            <v>x</v>
          </cell>
          <cell r="AF467" t="str">
            <v>x</v>
          </cell>
          <cell r="AG467" t="str">
            <v>x</v>
          </cell>
          <cell r="AH467" t="str">
            <v>x</v>
          </cell>
          <cell r="AJ467" t="str">
            <v>x</v>
          </cell>
          <cell r="AK467" t="str">
            <v>x</v>
          </cell>
          <cell r="AL467" t="str">
            <v>x</v>
          </cell>
          <cell r="AM467">
            <v>21</v>
          </cell>
          <cell r="AN467">
            <v>0</v>
          </cell>
        </row>
        <row r="468">
          <cell r="C468">
            <v>51364</v>
          </cell>
          <cell r="D468">
            <v>45054</v>
          </cell>
          <cell r="F468" t="str">
            <v>Tổ chi tiết</v>
          </cell>
          <cell r="O468" t="str">
            <v>x</v>
          </cell>
          <cell r="P468" t="str">
            <v>x</v>
          </cell>
          <cell r="Q468" t="str">
            <v>x</v>
          </cell>
          <cell r="R468" t="str">
            <v>x</v>
          </cell>
          <cell r="S468" t="str">
            <v>x</v>
          </cell>
          <cell r="T468" t="str">
            <v>x</v>
          </cell>
          <cell r="V468" t="str">
            <v>x</v>
          </cell>
          <cell r="W468" t="str">
            <v>x</v>
          </cell>
          <cell r="X468" t="str">
            <v>x</v>
          </cell>
          <cell r="Y468" t="str">
            <v>x</v>
          </cell>
          <cell r="Z468" t="str">
            <v>x</v>
          </cell>
          <cell r="AA468" t="str">
            <v>x</v>
          </cell>
          <cell r="AC468" t="str">
            <v>x</v>
          </cell>
          <cell r="AD468" t="str">
            <v>x</v>
          </cell>
          <cell r="AE468" t="str">
            <v>x</v>
          </cell>
          <cell r="AF468" t="str">
            <v>x</v>
          </cell>
          <cell r="AG468" t="str">
            <v>x</v>
          </cell>
          <cell r="AH468" t="str">
            <v>x</v>
          </cell>
          <cell r="AJ468" t="str">
            <v>x</v>
          </cell>
          <cell r="AK468" t="str">
            <v>x</v>
          </cell>
          <cell r="AL468" t="str">
            <v>x</v>
          </cell>
          <cell r="AM468">
            <v>21</v>
          </cell>
          <cell r="AN468">
            <v>0</v>
          </cell>
        </row>
        <row r="469">
          <cell r="C469">
            <v>51367</v>
          </cell>
          <cell r="D469">
            <v>45056</v>
          </cell>
          <cell r="F469" t="str">
            <v>Tổ sơ mi 2</v>
          </cell>
          <cell r="Q469" t="str">
            <v>x</v>
          </cell>
          <cell r="R469" t="str">
            <v>x</v>
          </cell>
          <cell r="S469" t="str">
            <v>x</v>
          </cell>
          <cell r="T469" t="str">
            <v>x</v>
          </cell>
          <cell r="V469" t="str">
            <v>x</v>
          </cell>
          <cell r="W469" t="str">
            <v>x</v>
          </cell>
          <cell r="X469" t="str">
            <v>x</v>
          </cell>
          <cell r="Y469" t="str">
            <v>x</v>
          </cell>
          <cell r="Z469" t="str">
            <v>x</v>
          </cell>
          <cell r="AA469" t="str">
            <v>x</v>
          </cell>
          <cell r="AC469" t="str">
            <v>x</v>
          </cell>
          <cell r="AD469" t="str">
            <v>x</v>
          </cell>
          <cell r="AE469" t="str">
            <v>x</v>
          </cell>
          <cell r="AF469" t="str">
            <v>x</v>
          </cell>
          <cell r="AG469" t="str">
            <v>x</v>
          </cell>
          <cell r="AH469" t="str">
            <v>x</v>
          </cell>
          <cell r="AJ469" t="str">
            <v>x</v>
          </cell>
          <cell r="AK469" t="str">
            <v>x</v>
          </cell>
          <cell r="AL469" t="str">
            <v>x</v>
          </cell>
          <cell r="AM469">
            <v>19</v>
          </cell>
          <cell r="AN469">
            <v>0</v>
          </cell>
        </row>
        <row r="470">
          <cell r="C470">
            <v>51369</v>
          </cell>
          <cell r="D470">
            <v>45055</v>
          </cell>
          <cell r="F470" t="str">
            <v>Kiểm hoá</v>
          </cell>
          <cell r="P470" t="str">
            <v>x</v>
          </cell>
          <cell r="Q470" t="str">
            <v>x</v>
          </cell>
          <cell r="R470" t="str">
            <v>x</v>
          </cell>
          <cell r="S470" t="str">
            <v>x</v>
          </cell>
          <cell r="T470" t="str">
            <v>x</v>
          </cell>
          <cell r="V470" t="str">
            <v>x</v>
          </cell>
          <cell r="W470" t="str">
            <v>x</v>
          </cell>
          <cell r="X470" t="str">
            <v>x</v>
          </cell>
          <cell r="Y470" t="str">
            <v>x</v>
          </cell>
          <cell r="Z470" t="str">
            <v>x</v>
          </cell>
          <cell r="AA470" t="str">
            <v>x</v>
          </cell>
          <cell r="AC470" t="str">
            <v>x</v>
          </cell>
          <cell r="AD470" t="str">
            <v>x</v>
          </cell>
          <cell r="AE470" t="str">
            <v>x</v>
          </cell>
          <cell r="AF470" t="str">
            <v>x</v>
          </cell>
          <cell r="AG470" t="str">
            <v>x</v>
          </cell>
          <cell r="AH470" t="str">
            <v>x</v>
          </cell>
          <cell r="AJ470" t="str">
            <v>x</v>
          </cell>
          <cell r="AK470" t="str">
            <v>x</v>
          </cell>
          <cell r="AL470" t="str">
            <v>x</v>
          </cell>
          <cell r="AM470">
            <v>20</v>
          </cell>
          <cell r="AN470">
            <v>0</v>
          </cell>
        </row>
        <row r="471">
          <cell r="C471">
            <v>51370</v>
          </cell>
          <cell r="D471">
            <v>45056</v>
          </cell>
          <cell r="F471" t="str">
            <v>IN</v>
          </cell>
          <cell r="R471" t="str">
            <v>x</v>
          </cell>
          <cell r="S471" t="str">
            <v>x</v>
          </cell>
          <cell r="T471" t="str">
            <v>x</v>
          </cell>
          <cell r="V471" t="str">
            <v>x</v>
          </cell>
          <cell r="W471" t="str">
            <v>x</v>
          </cell>
          <cell r="X471" t="str">
            <v>x</v>
          </cell>
          <cell r="Y471" t="str">
            <v>x</v>
          </cell>
          <cell r="Z471" t="str">
            <v>x</v>
          </cell>
          <cell r="AA471" t="str">
            <v>x</v>
          </cell>
          <cell r="AC471" t="str">
            <v>Ro</v>
          </cell>
          <cell r="AD471" t="str">
            <v>x</v>
          </cell>
          <cell r="AE471" t="str">
            <v>x</v>
          </cell>
          <cell r="AF471" t="str">
            <v>x</v>
          </cell>
          <cell r="AG471" t="str">
            <v>x</v>
          </cell>
          <cell r="AH471" t="str">
            <v>x</v>
          </cell>
          <cell r="AJ471" t="str">
            <v>x</v>
          </cell>
          <cell r="AK471" t="str">
            <v>x</v>
          </cell>
          <cell r="AL471" t="str">
            <v>x</v>
          </cell>
          <cell r="AM471">
            <v>17</v>
          </cell>
          <cell r="AN471">
            <v>0</v>
          </cell>
        </row>
        <row r="472">
          <cell r="C472">
            <v>51372</v>
          </cell>
          <cell r="D472">
            <v>45058</v>
          </cell>
          <cell r="F472" t="str">
            <v xml:space="preserve">Tổ 6 </v>
          </cell>
          <cell r="S472" t="str">
            <v>x</v>
          </cell>
          <cell r="T472" t="str">
            <v>x</v>
          </cell>
          <cell r="U472" t="str">
            <v>x/2</v>
          </cell>
          <cell r="V472" t="str">
            <v>x</v>
          </cell>
          <cell r="W472" t="str">
            <v>x</v>
          </cell>
          <cell r="X472" t="str">
            <v>x</v>
          </cell>
          <cell r="Y472" t="str">
            <v>x</v>
          </cell>
          <cell r="Z472" t="str">
            <v>x</v>
          </cell>
          <cell r="AA472" t="str">
            <v>x</v>
          </cell>
          <cell r="AC472" t="str">
            <v>x</v>
          </cell>
          <cell r="AD472" t="str">
            <v>x</v>
          </cell>
          <cell r="AE472" t="str">
            <v>x</v>
          </cell>
          <cell r="AF472" t="str">
            <v>x</v>
          </cell>
          <cell r="AG472" t="str">
            <v>Ô</v>
          </cell>
          <cell r="AH472" t="str">
            <v>Ô</v>
          </cell>
          <cell r="AJ472" t="str">
            <v>Ô</v>
          </cell>
          <cell r="AK472" t="str">
            <v>Ô</v>
          </cell>
          <cell r="AL472" t="str">
            <v>Ô</v>
          </cell>
          <cell r="AM472">
            <v>12</v>
          </cell>
          <cell r="AN472">
            <v>0.5</v>
          </cell>
        </row>
        <row r="473">
          <cell r="C473">
            <v>51373</v>
          </cell>
          <cell r="D473">
            <v>45058</v>
          </cell>
          <cell r="F473" t="str">
            <v>Tổ 5</v>
          </cell>
          <cell r="S473" t="str">
            <v>x</v>
          </cell>
          <cell r="T473" t="str">
            <v>x</v>
          </cell>
          <cell r="V473" t="str">
            <v>x</v>
          </cell>
          <cell r="W473" t="str">
            <v>x</v>
          </cell>
          <cell r="X473" t="str">
            <v>x</v>
          </cell>
          <cell r="Y473" t="str">
            <v>x</v>
          </cell>
          <cell r="Z473" t="str">
            <v>x</v>
          </cell>
          <cell r="AA473" t="str">
            <v>x</v>
          </cell>
          <cell r="AC473" t="str">
            <v>x</v>
          </cell>
          <cell r="AD473" t="str">
            <v>x</v>
          </cell>
          <cell r="AE473" t="str">
            <v>x</v>
          </cell>
          <cell r="AF473" t="str">
            <v>x</v>
          </cell>
          <cell r="AG473" t="str">
            <v>x</v>
          </cell>
          <cell r="AH473" t="str">
            <v>x</v>
          </cell>
          <cell r="AJ473" t="str">
            <v>x</v>
          </cell>
          <cell r="AK473" t="str">
            <v>x</v>
          </cell>
          <cell r="AL473" t="str">
            <v>x</v>
          </cell>
          <cell r="AM473">
            <v>17</v>
          </cell>
          <cell r="AN473">
            <v>0</v>
          </cell>
        </row>
        <row r="474">
          <cell r="C474">
            <v>51374</v>
          </cell>
          <cell r="D474">
            <v>45058</v>
          </cell>
          <cell r="F474" t="str">
            <v>Tổ 5</v>
          </cell>
          <cell r="S474" t="str">
            <v>x</v>
          </cell>
          <cell r="T474" t="str">
            <v>x</v>
          </cell>
          <cell r="V474" t="str">
            <v>x</v>
          </cell>
          <cell r="W474" t="str">
            <v>x</v>
          </cell>
          <cell r="X474" t="str">
            <v>x</v>
          </cell>
          <cell r="Y474" t="str">
            <v>x</v>
          </cell>
          <cell r="Z474" t="str">
            <v>x</v>
          </cell>
          <cell r="AA474" t="str">
            <v>x</v>
          </cell>
          <cell r="AC474" t="str">
            <v>x</v>
          </cell>
          <cell r="AD474" t="str">
            <v>x</v>
          </cell>
          <cell r="AE474" t="str">
            <v>x</v>
          </cell>
          <cell r="AF474" t="str">
            <v>x</v>
          </cell>
          <cell r="AG474" t="str">
            <v>x</v>
          </cell>
          <cell r="AH474" t="str">
            <v>x</v>
          </cell>
          <cell r="AJ474" t="str">
            <v>x</v>
          </cell>
          <cell r="AK474" t="str">
            <v>x</v>
          </cell>
          <cell r="AL474" t="str">
            <v>x</v>
          </cell>
          <cell r="AM474">
            <v>17</v>
          </cell>
          <cell r="AN474">
            <v>0</v>
          </cell>
        </row>
        <row r="475">
          <cell r="C475">
            <v>51375</v>
          </cell>
          <cell r="D475">
            <v>45061</v>
          </cell>
          <cell r="F475" t="str">
            <v>Cắt</v>
          </cell>
          <cell r="V475" t="str">
            <v>x</v>
          </cell>
          <cell r="W475" t="str">
            <v>x</v>
          </cell>
          <cell r="X475" t="str">
            <v>x</v>
          </cell>
          <cell r="Y475" t="str">
            <v>x</v>
          </cell>
          <cell r="Z475" t="str">
            <v>x</v>
          </cell>
          <cell r="AA475" t="str">
            <v>x</v>
          </cell>
          <cell r="AC475" t="str">
            <v>x</v>
          </cell>
          <cell r="AD475" t="str">
            <v>x</v>
          </cell>
          <cell r="AE475" t="str">
            <v>x</v>
          </cell>
          <cell r="AF475" t="str">
            <v>x</v>
          </cell>
          <cell r="AG475" t="str">
            <v>x</v>
          </cell>
          <cell r="AH475" t="str">
            <v>x</v>
          </cell>
          <cell r="AJ475" t="str">
            <v>x</v>
          </cell>
          <cell r="AK475" t="str">
            <v>x</v>
          </cell>
          <cell r="AL475" t="str">
            <v>x</v>
          </cell>
          <cell r="AM475">
            <v>15</v>
          </cell>
          <cell r="AN475">
            <v>0</v>
          </cell>
        </row>
        <row r="476">
          <cell r="C476">
            <v>51376</v>
          </cell>
          <cell r="D476">
            <v>45061</v>
          </cell>
          <cell r="F476" t="str">
            <v>Tổ 14</v>
          </cell>
          <cell r="V476" t="str">
            <v>x</v>
          </cell>
          <cell r="W476" t="str">
            <v>x</v>
          </cell>
          <cell r="X476" t="str">
            <v>x</v>
          </cell>
          <cell r="Y476" t="str">
            <v>x</v>
          </cell>
          <cell r="Z476" t="str">
            <v>x</v>
          </cell>
          <cell r="AA476" t="str">
            <v>x</v>
          </cell>
          <cell r="AC476" t="str">
            <v>x</v>
          </cell>
          <cell r="AD476" t="str">
            <v>x</v>
          </cell>
          <cell r="AE476" t="str">
            <v>x</v>
          </cell>
          <cell r="AF476" t="str">
            <v>x</v>
          </cell>
          <cell r="AG476" t="str">
            <v>x</v>
          </cell>
          <cell r="AH476" t="str">
            <v>x</v>
          </cell>
          <cell r="AJ476" t="str">
            <v>x</v>
          </cell>
          <cell r="AK476" t="str">
            <v>x</v>
          </cell>
          <cell r="AL476" t="str">
            <v>x</v>
          </cell>
          <cell r="AM476">
            <v>15</v>
          </cell>
          <cell r="AN476">
            <v>0</v>
          </cell>
        </row>
        <row r="477">
          <cell r="C477">
            <v>51377</v>
          </cell>
          <cell r="D477">
            <v>45062</v>
          </cell>
          <cell r="F477" t="str">
            <v>Cắt</v>
          </cell>
          <cell r="W477" t="str">
            <v>x</v>
          </cell>
          <cell r="X477" t="str">
            <v>x</v>
          </cell>
          <cell r="Y477" t="str">
            <v>x</v>
          </cell>
          <cell r="Z477" t="str">
            <v>x</v>
          </cell>
          <cell r="AA477" t="str">
            <v>x</v>
          </cell>
          <cell r="AC477" t="str">
            <v>x</v>
          </cell>
          <cell r="AD477" t="str">
            <v>x</v>
          </cell>
          <cell r="AE477" t="str">
            <v>x</v>
          </cell>
          <cell r="AF477" t="str">
            <v>x</v>
          </cell>
          <cell r="AG477" t="str">
            <v>x</v>
          </cell>
          <cell r="AH477" t="str">
            <v>x</v>
          </cell>
          <cell r="AJ477" t="str">
            <v>x</v>
          </cell>
          <cell r="AK477" t="str">
            <v>x</v>
          </cell>
          <cell r="AL477" t="str">
            <v>x</v>
          </cell>
          <cell r="AM477">
            <v>14</v>
          </cell>
          <cell r="AN477">
            <v>0</v>
          </cell>
        </row>
        <row r="478">
          <cell r="C478">
            <v>51378</v>
          </cell>
          <cell r="D478">
            <v>45062</v>
          </cell>
          <cell r="F478" t="str">
            <v>LÀ TP</v>
          </cell>
          <cell r="W478" t="str">
            <v>x</v>
          </cell>
          <cell r="X478" t="str">
            <v>x</v>
          </cell>
          <cell r="Y478" t="str">
            <v>x</v>
          </cell>
          <cell r="Z478" t="str">
            <v>x</v>
          </cell>
          <cell r="AA478" t="str">
            <v>Ro</v>
          </cell>
          <cell r="AC478" t="str">
            <v>x</v>
          </cell>
          <cell r="AD478" t="str">
            <v>x</v>
          </cell>
          <cell r="AE478" t="str">
            <v>x</v>
          </cell>
          <cell r="AF478" t="str">
            <v>Ro</v>
          </cell>
          <cell r="AG478" t="str">
            <v>R</v>
          </cell>
          <cell r="AH478" t="str">
            <v>R</v>
          </cell>
          <cell r="AJ478" t="str">
            <v>x</v>
          </cell>
          <cell r="AK478" t="str">
            <v>x</v>
          </cell>
          <cell r="AL478" t="str">
            <v>x</v>
          </cell>
          <cell r="AM478">
            <v>10</v>
          </cell>
          <cell r="AN478">
            <v>0</v>
          </cell>
        </row>
        <row r="479">
          <cell r="C479">
            <v>51379</v>
          </cell>
          <cell r="D479">
            <v>45063</v>
          </cell>
          <cell r="F479" t="str">
            <v>Tổ chi tiết</v>
          </cell>
          <cell r="X479" t="str">
            <v>x</v>
          </cell>
          <cell r="Y479" t="str">
            <v>x</v>
          </cell>
          <cell r="Z479" t="str">
            <v>x</v>
          </cell>
          <cell r="AA479" t="str">
            <v>x</v>
          </cell>
          <cell r="AC479" t="str">
            <v>x</v>
          </cell>
          <cell r="AD479" t="str">
            <v>x</v>
          </cell>
          <cell r="AE479" t="str">
            <v>x</v>
          </cell>
          <cell r="AF479" t="str">
            <v>x</v>
          </cell>
          <cell r="AG479" t="str">
            <v>x</v>
          </cell>
          <cell r="AH479" t="str">
            <v>x</v>
          </cell>
          <cell r="AJ479" t="str">
            <v>x</v>
          </cell>
          <cell r="AK479" t="str">
            <v>x</v>
          </cell>
          <cell r="AL479" t="str">
            <v>x</v>
          </cell>
          <cell r="AM479">
            <v>13</v>
          </cell>
          <cell r="AN479">
            <v>0</v>
          </cell>
        </row>
        <row r="480">
          <cell r="C480">
            <v>51380</v>
          </cell>
          <cell r="D480">
            <v>45069</v>
          </cell>
          <cell r="F480" t="str">
            <v>HN</v>
          </cell>
          <cell r="AD480" t="str">
            <v>x</v>
          </cell>
          <cell r="AE480" t="str">
            <v>x</v>
          </cell>
          <cell r="AF480" t="str">
            <v>x</v>
          </cell>
          <cell r="AG480" t="str">
            <v>x</v>
          </cell>
          <cell r="AH480" t="str">
            <v>x</v>
          </cell>
          <cell r="AJ480" t="str">
            <v>x</v>
          </cell>
          <cell r="AK480" t="str">
            <v>x</v>
          </cell>
          <cell r="AL480" t="str">
            <v>x</v>
          </cell>
          <cell r="AM480">
            <v>8</v>
          </cell>
          <cell r="AN480">
            <v>0</v>
          </cell>
        </row>
        <row r="481">
          <cell r="C481">
            <v>51381</v>
          </cell>
          <cell r="D481">
            <v>45069</v>
          </cell>
          <cell r="F481" t="str">
            <v>HN</v>
          </cell>
          <cell r="AD481" t="str">
            <v>x</v>
          </cell>
          <cell r="AE481" t="str">
            <v>x</v>
          </cell>
          <cell r="AF481" t="str">
            <v>x</v>
          </cell>
          <cell r="AG481" t="str">
            <v>x</v>
          </cell>
          <cell r="AH481" t="str">
            <v>x</v>
          </cell>
          <cell r="AJ481" t="str">
            <v>x</v>
          </cell>
          <cell r="AK481" t="str">
            <v>x</v>
          </cell>
          <cell r="AL481" t="str">
            <v>x</v>
          </cell>
          <cell r="AM481">
            <v>8</v>
          </cell>
          <cell r="AN481">
            <v>0</v>
          </cell>
        </row>
        <row r="482">
          <cell r="C482">
            <v>51383</v>
          </cell>
          <cell r="D482">
            <v>45070</v>
          </cell>
          <cell r="F482" t="str">
            <v>In</v>
          </cell>
          <cell r="AD482" t="str">
            <v>x</v>
          </cell>
          <cell r="AE482" t="str">
            <v>x</v>
          </cell>
          <cell r="AF482" t="str">
            <v>x</v>
          </cell>
          <cell r="AG482" t="str">
            <v>x</v>
          </cell>
          <cell r="AH482" t="str">
            <v>x</v>
          </cell>
          <cell r="AJ482" t="str">
            <v>x</v>
          </cell>
          <cell r="AK482" t="str">
            <v>x</v>
          </cell>
          <cell r="AL482" t="str">
            <v>x</v>
          </cell>
          <cell r="AM482">
            <v>8</v>
          </cell>
          <cell r="AN482">
            <v>0</v>
          </cell>
        </row>
        <row r="483">
          <cell r="C483">
            <v>200</v>
          </cell>
          <cell r="D483">
            <v>45073</v>
          </cell>
          <cell r="F483" t="str">
            <v>H.thiện</v>
          </cell>
          <cell r="AH483" t="str">
            <v>x</v>
          </cell>
          <cell r="AJ483" t="str">
            <v>x</v>
          </cell>
          <cell r="AK483" t="str">
            <v>x</v>
          </cell>
          <cell r="AL483" t="str">
            <v>x</v>
          </cell>
          <cell r="AM483">
            <v>4</v>
          </cell>
          <cell r="AN483">
            <v>0</v>
          </cell>
        </row>
        <row r="484">
          <cell r="C484">
            <v>201</v>
          </cell>
          <cell r="D484">
            <v>45073</v>
          </cell>
          <cell r="F484" t="str">
            <v>Tổ sơ mi 3</v>
          </cell>
          <cell r="AH484" t="str">
            <v>x</v>
          </cell>
          <cell r="AJ484" t="str">
            <v>x</v>
          </cell>
          <cell r="AK484" t="str">
            <v>x</v>
          </cell>
          <cell r="AL484" t="str">
            <v>x</v>
          </cell>
          <cell r="AM484">
            <v>4</v>
          </cell>
          <cell r="AN484">
            <v>0</v>
          </cell>
        </row>
        <row r="485">
          <cell r="C485">
            <v>202</v>
          </cell>
          <cell r="D485">
            <v>45073</v>
          </cell>
          <cell r="F485" t="str">
            <v>Tổ 5</v>
          </cell>
          <cell r="AH485" t="str">
            <v>x</v>
          </cell>
          <cell r="AJ485" t="str">
            <v>x</v>
          </cell>
          <cell r="AK485" t="str">
            <v>x</v>
          </cell>
          <cell r="AL485" t="str">
            <v>x</v>
          </cell>
          <cell r="AM485">
            <v>4</v>
          </cell>
          <cell r="AN485">
            <v>0</v>
          </cell>
        </row>
        <row r="486">
          <cell r="C486">
            <v>203</v>
          </cell>
          <cell r="D486">
            <v>45073</v>
          </cell>
          <cell r="F486" t="str">
            <v>Tổ 5</v>
          </cell>
          <cell r="AH486" t="str">
            <v>x</v>
          </cell>
          <cell r="AJ486" t="str">
            <v>x</v>
          </cell>
          <cell r="AK486" t="str">
            <v>x</v>
          </cell>
          <cell r="AL486" t="str">
            <v>x</v>
          </cell>
          <cell r="AM486">
            <v>4</v>
          </cell>
          <cell r="AN486">
            <v>0</v>
          </cell>
        </row>
        <row r="487">
          <cell r="C487">
            <v>204</v>
          </cell>
          <cell r="D487">
            <v>45073</v>
          </cell>
          <cell r="F487" t="str">
            <v>Tổ 5</v>
          </cell>
          <cell r="AH487" t="str">
            <v>x</v>
          </cell>
          <cell r="AJ487" t="str">
            <v>x</v>
          </cell>
          <cell r="AK487" t="str">
            <v>x</v>
          </cell>
          <cell r="AL487" t="str">
            <v>x</v>
          </cell>
          <cell r="AM487">
            <v>4</v>
          </cell>
          <cell r="AN487">
            <v>0</v>
          </cell>
        </row>
        <row r="488">
          <cell r="C488">
            <v>205</v>
          </cell>
          <cell r="D488">
            <v>45073</v>
          </cell>
          <cell r="F488" t="str">
            <v>H.thiện</v>
          </cell>
          <cell r="AH488" t="str">
            <v>x</v>
          </cell>
          <cell r="AJ488" t="str">
            <v>x</v>
          </cell>
          <cell r="AK488" t="str">
            <v>x</v>
          </cell>
          <cell r="AL488" t="str">
            <v>x</v>
          </cell>
          <cell r="AM488">
            <v>4</v>
          </cell>
          <cell r="AN488">
            <v>0</v>
          </cell>
        </row>
        <row r="489">
          <cell r="C489">
            <v>206</v>
          </cell>
          <cell r="D489">
            <v>45073</v>
          </cell>
          <cell r="F489" t="str">
            <v>Cắt</v>
          </cell>
          <cell r="AH489" t="str">
            <v>x</v>
          </cell>
          <cell r="AJ489" t="str">
            <v>x</v>
          </cell>
          <cell r="AK489" t="str">
            <v>x</v>
          </cell>
          <cell r="AL489" t="str">
            <v>x</v>
          </cell>
          <cell r="AM489">
            <v>4</v>
          </cell>
          <cell r="AN489">
            <v>0</v>
          </cell>
        </row>
        <row r="490">
          <cell r="C490">
            <v>207</v>
          </cell>
          <cell r="D490">
            <v>45073</v>
          </cell>
          <cell r="F490" t="str">
            <v>Tổ 5</v>
          </cell>
          <cell r="AH490" t="str">
            <v>x</v>
          </cell>
          <cell r="AJ490" t="str">
            <v>x</v>
          </cell>
          <cell r="AK490" t="str">
            <v>x</v>
          </cell>
          <cell r="AL490" t="str">
            <v>x</v>
          </cell>
          <cell r="AM490">
            <v>4</v>
          </cell>
          <cell r="AN490">
            <v>0</v>
          </cell>
        </row>
        <row r="491">
          <cell r="C491">
            <v>208</v>
          </cell>
          <cell r="D491">
            <v>45073</v>
          </cell>
          <cell r="F491" t="str">
            <v>Tổ 5</v>
          </cell>
          <cell r="AH491" t="str">
            <v>x</v>
          </cell>
          <cell r="AJ491" t="str">
            <v>x</v>
          </cell>
          <cell r="AK491" t="str">
            <v>x</v>
          </cell>
          <cell r="AL491" t="str">
            <v>x</v>
          </cell>
          <cell r="AM491">
            <v>4</v>
          </cell>
          <cell r="AN491">
            <v>0</v>
          </cell>
        </row>
        <row r="492">
          <cell r="C492">
            <v>209</v>
          </cell>
          <cell r="D492">
            <v>45073</v>
          </cell>
          <cell r="F492" t="str">
            <v>Tổ 5</v>
          </cell>
          <cell r="AH492" t="str">
            <v>x</v>
          </cell>
          <cell r="AJ492" t="str">
            <v>x</v>
          </cell>
          <cell r="AK492" t="str">
            <v>x</v>
          </cell>
          <cell r="AL492" t="str">
            <v>x</v>
          </cell>
          <cell r="AM492">
            <v>4</v>
          </cell>
          <cell r="AN492">
            <v>0</v>
          </cell>
        </row>
        <row r="493">
          <cell r="C493">
            <v>210</v>
          </cell>
          <cell r="D493">
            <v>45073</v>
          </cell>
          <cell r="F493" t="str">
            <v>Là TP</v>
          </cell>
          <cell r="AH493" t="str">
            <v>x</v>
          </cell>
          <cell r="AJ493" t="str">
            <v>x</v>
          </cell>
          <cell r="AK493" t="str">
            <v>x</v>
          </cell>
          <cell r="AL493" t="str">
            <v>x</v>
          </cell>
          <cell r="AM493">
            <v>4</v>
          </cell>
          <cell r="AN493">
            <v>0</v>
          </cell>
        </row>
        <row r="494">
          <cell r="C494">
            <v>211</v>
          </cell>
          <cell r="D494">
            <v>45073</v>
          </cell>
          <cell r="F494" t="str">
            <v>HN</v>
          </cell>
          <cell r="AH494" t="str">
            <v>x</v>
          </cell>
          <cell r="AJ494" t="str">
            <v>x</v>
          </cell>
          <cell r="AK494" t="str">
            <v>x</v>
          </cell>
          <cell r="AL494" t="str">
            <v>x</v>
          </cell>
          <cell r="AM494">
            <v>4</v>
          </cell>
          <cell r="AN494">
            <v>0</v>
          </cell>
        </row>
        <row r="495">
          <cell r="C495">
            <v>213</v>
          </cell>
          <cell r="D495">
            <v>45075</v>
          </cell>
          <cell r="F495" t="str">
            <v>HN</v>
          </cell>
          <cell r="AJ495" t="str">
            <v>x</v>
          </cell>
          <cell r="AK495" t="str">
            <v>x</v>
          </cell>
          <cell r="AL495" t="str">
            <v>x</v>
          </cell>
          <cell r="AM495">
            <v>3</v>
          </cell>
          <cell r="AN495">
            <v>0</v>
          </cell>
        </row>
        <row r="496">
          <cell r="C496">
            <v>51358</v>
          </cell>
          <cell r="D496">
            <v>45050</v>
          </cell>
          <cell r="F496" t="str">
            <v>Tổ 9+10</v>
          </cell>
          <cell r="G496">
            <v>45059</v>
          </cell>
          <cell r="K496" t="str">
            <v>x</v>
          </cell>
          <cell r="L496" t="str">
            <v>x</v>
          </cell>
          <cell r="M496" t="str">
            <v>x</v>
          </cell>
          <cell r="O496" t="str">
            <v>x</v>
          </cell>
          <cell r="P496" t="str">
            <v>x</v>
          </cell>
          <cell r="Q496" t="str">
            <v>x</v>
          </cell>
          <cell r="R496" t="str">
            <v>x</v>
          </cell>
          <cell r="S496" t="str">
            <v>x</v>
          </cell>
          <cell r="AM496">
            <v>8</v>
          </cell>
          <cell r="AN496">
            <v>0</v>
          </cell>
        </row>
        <row r="497">
          <cell r="C497">
            <v>51363</v>
          </cell>
          <cell r="D497">
            <v>45054</v>
          </cell>
          <cell r="F497" t="str">
            <v>HN</v>
          </cell>
          <cell r="G497">
            <v>45065</v>
          </cell>
          <cell r="O497" t="str">
            <v>x</v>
          </cell>
          <cell r="P497" t="str">
            <v>x</v>
          </cell>
          <cell r="Q497" t="str">
            <v>x</v>
          </cell>
          <cell r="R497" t="str">
            <v>x</v>
          </cell>
          <cell r="S497" t="str">
            <v>x</v>
          </cell>
          <cell r="T497" t="str">
            <v>x</v>
          </cell>
          <cell r="V497" t="str">
            <v>x</v>
          </cell>
          <cell r="AM497">
            <v>7</v>
          </cell>
          <cell r="AN497">
            <v>0</v>
          </cell>
        </row>
        <row r="498">
          <cell r="C498">
            <v>51365</v>
          </cell>
          <cell r="D498">
            <v>45054</v>
          </cell>
          <cell r="F498" t="str">
            <v>HN</v>
          </cell>
          <cell r="G498">
            <v>45068</v>
          </cell>
          <cell r="O498" t="str">
            <v>x</v>
          </cell>
          <cell r="P498" t="str">
            <v>x</v>
          </cell>
          <cell r="Q498" t="str">
            <v>x</v>
          </cell>
          <cell r="R498" t="str">
            <v>x</v>
          </cell>
          <cell r="S498" t="str">
            <v>x</v>
          </cell>
          <cell r="T498" t="str">
            <v>x</v>
          </cell>
          <cell r="V498" t="str">
            <v>x</v>
          </cell>
          <cell r="W498" t="str">
            <v>x</v>
          </cell>
          <cell r="X498" t="str">
            <v>x</v>
          </cell>
          <cell r="Y498" t="str">
            <v>x</v>
          </cell>
          <cell r="Z498" t="str">
            <v>x</v>
          </cell>
          <cell r="AA498" t="str">
            <v>x</v>
          </cell>
          <cell r="AM498">
            <v>12</v>
          </cell>
          <cell r="AN498">
            <v>0</v>
          </cell>
        </row>
        <row r="499">
          <cell r="C499">
            <v>51371</v>
          </cell>
          <cell r="D499">
            <v>45055</v>
          </cell>
          <cell r="F499" t="str">
            <v>In</v>
          </cell>
          <cell r="G499">
            <v>45070</v>
          </cell>
          <cell r="P499" t="str">
            <v>x</v>
          </cell>
          <cell r="Q499" t="str">
            <v>x</v>
          </cell>
          <cell r="R499" t="str">
            <v>x</v>
          </cell>
          <cell r="S499" t="str">
            <v>x</v>
          </cell>
          <cell r="T499" t="str">
            <v>x</v>
          </cell>
          <cell r="V499" t="str">
            <v>x</v>
          </cell>
          <cell r="W499" t="str">
            <v>x</v>
          </cell>
          <cell r="X499" t="str">
            <v>x</v>
          </cell>
          <cell r="Y499" t="str">
            <v>x</v>
          </cell>
          <cell r="Z499" t="str">
            <v>x</v>
          </cell>
          <cell r="AA499" t="str">
            <v>x</v>
          </cell>
          <cell r="AC499" t="str">
            <v>x</v>
          </cell>
          <cell r="AD499" t="str">
            <v>x</v>
          </cell>
          <cell r="AM499">
            <v>13</v>
          </cell>
          <cell r="AN499">
            <v>0</v>
          </cell>
        </row>
        <row r="500">
          <cell r="C500" t="str">
            <v>NV</v>
          </cell>
          <cell r="F500" t="str">
            <v>Tổ 5</v>
          </cell>
          <cell r="H500" t="str">
            <v>LT</v>
          </cell>
          <cell r="J500" t="str">
            <v>x</v>
          </cell>
          <cell r="K500" t="str">
            <v>x</v>
          </cell>
          <cell r="L500" t="str">
            <v>x</v>
          </cell>
          <cell r="AM500">
            <v>3</v>
          </cell>
          <cell r="AN500">
            <v>0</v>
          </cell>
        </row>
        <row r="501">
          <cell r="C501">
            <v>51366</v>
          </cell>
          <cell r="F501" t="str">
            <v>Là TP</v>
          </cell>
          <cell r="G501" t="str">
            <v>Nghỉ việc</v>
          </cell>
          <cell r="O501" t="str">
            <v>x</v>
          </cell>
          <cell r="P501" t="str">
            <v>x</v>
          </cell>
          <cell r="Q501" t="str">
            <v>x</v>
          </cell>
          <cell r="R501" t="str">
            <v>x</v>
          </cell>
          <cell r="S501" t="str">
            <v>x</v>
          </cell>
          <cell r="V501" t="str">
            <v>x</v>
          </cell>
          <cell r="W501" t="str">
            <v>x</v>
          </cell>
          <cell r="X501" t="str">
            <v>x</v>
          </cell>
          <cell r="AM501">
            <v>8</v>
          </cell>
          <cell r="AN501">
            <v>0</v>
          </cell>
        </row>
        <row r="502">
          <cell r="AM502">
            <v>0</v>
          </cell>
          <cell r="AN502">
            <v>0</v>
          </cell>
        </row>
        <row r="513">
          <cell r="AM513" t="e">
            <v>#REF!</v>
          </cell>
          <cell r="AN513" t="e">
            <v>#REF!</v>
          </cell>
        </row>
      </sheetData>
      <sheetData sheetId="5">
        <row r="5">
          <cell r="C5" t="str">
            <v>Ngày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CBCNV "/>
      <sheetName val="DSCBCNV  (3)"/>
      <sheetName val="Sheet1"/>
      <sheetName val="SN (3)"/>
      <sheetName val="SN (4)"/>
      <sheetName val="Test PCR"/>
      <sheetName val="Nghỉ việc Ký HĐ"/>
      <sheetName val="NV ký HĐ"/>
      <sheetName val="Nghỉ việc ko ký HĐ"/>
      <sheetName val="Nghỉ việc"/>
      <sheetName val="DS LĐ hợp dồng NV)"/>
      <sheetName val="DS "/>
      <sheetName val="Sheet4"/>
      <sheetName val="Phát sổ thẻ T11-20"/>
      <sheetName val="Trích đóng BHXH 2021"/>
    </sheetNames>
    <sheetDataSet>
      <sheetData sheetId="0" refreshError="1">
        <row r="5">
          <cell r="F5" t="str">
            <v>Nguyễn Thiên Lý</v>
          </cell>
          <cell r="AB5" t="str">
            <v>NGUYEN THIEN LY</v>
          </cell>
          <cell r="AH5">
            <v>44409</v>
          </cell>
        </row>
        <row r="6">
          <cell r="F6" t="str">
            <v>Phạm Anh Phương</v>
          </cell>
          <cell r="G6">
            <v>26490</v>
          </cell>
          <cell r="K6" t="str">
            <v>001072013918</v>
          </cell>
          <cell r="U6" t="str">
            <v>Số 7, Anh Đào 9, VinhomeRivershine, Phúc Đồng, phường Sài Đồng, quận Long Biên, TP Hà Nộ</v>
          </cell>
          <cell r="V6" t="str">
            <v>0988899168</v>
          </cell>
          <cell r="AB6" t="str">
            <v>PHAM ANH PHUONG</v>
          </cell>
          <cell r="AH6">
            <v>44409</v>
          </cell>
        </row>
        <row r="7">
          <cell r="F7" t="str">
            <v>Nguyễn Thị Minh Nguyệt</v>
          </cell>
          <cell r="G7">
            <v>25783</v>
          </cell>
          <cell r="K7" t="str">
            <v>038170007686</v>
          </cell>
          <cell r="M7" t="str">
            <v>Cục quản lý dân cư</v>
          </cell>
          <cell r="U7" t="str">
            <v>Khu Phố 5, Phường Ba Đình, Thị xã Bỉm Sơn, Thanh Hoá</v>
          </cell>
          <cell r="V7" t="str">
            <v>0918340133</v>
          </cell>
          <cell r="AH7">
            <v>44409</v>
          </cell>
        </row>
        <row r="8">
          <cell r="F8" t="str">
            <v>Nguyễn Thị Quyên</v>
          </cell>
          <cell r="G8">
            <v>25929</v>
          </cell>
          <cell r="K8" t="str">
            <v>038170000196</v>
          </cell>
          <cell r="M8" t="str">
            <v>Cục quản lý dân cư</v>
          </cell>
          <cell r="U8" t="str">
            <v>Số nhà: 277, đường Trần Phú, Phường Lam Sơn, Bỉm Sơn, Thanh Hoá</v>
          </cell>
          <cell r="V8" t="str">
            <v>0902190544</v>
          </cell>
          <cell r="AH8">
            <v>44409</v>
          </cell>
        </row>
        <row r="9">
          <cell r="E9" t="str">
            <v>QL002</v>
          </cell>
          <cell r="F9" t="str">
            <v>Nguyễn Văn Thịnh</v>
          </cell>
          <cell r="G9">
            <v>32329</v>
          </cell>
          <cell r="K9" t="str">
            <v>031088005709</v>
          </cell>
          <cell r="L9">
            <v>42892</v>
          </cell>
          <cell r="M9" t="str">
            <v>Cục quản lý dân cư</v>
          </cell>
          <cell r="N9" t="str">
            <v>Kinh</v>
          </cell>
          <cell r="O9" t="str">
            <v>Không</v>
          </cell>
          <cell r="P9" t="str">
            <v>Việt Nam</v>
          </cell>
          <cell r="Q9" t="str">
            <v>12/12</v>
          </cell>
          <cell r="S9" t="str">
            <v>Hưng Đạo, Dương Kinh, Hải Phòng</v>
          </cell>
          <cell r="T9" t="str">
            <v>Hưng Đạo, Dương Kinh, Hải Phòng</v>
          </cell>
          <cell r="U9" t="str">
            <v>Tổ 1, Hưng Đạo, Dương Kinh, Hải Phòng</v>
          </cell>
          <cell r="V9" t="str">
            <v>0904813193</v>
          </cell>
          <cell r="AH9">
            <v>44409</v>
          </cell>
        </row>
        <row r="10">
          <cell r="E10" t="str">
            <v>QL003</v>
          </cell>
          <cell r="F10" t="str">
            <v>Nguyễn Đăng Sản</v>
          </cell>
          <cell r="G10">
            <v>26155</v>
          </cell>
          <cell r="K10" t="str">
            <v>012846000</v>
          </cell>
          <cell r="L10">
            <v>38870</v>
          </cell>
          <cell r="M10" t="str">
            <v>Công an TP Hà Nội</v>
          </cell>
          <cell r="U10" t="str">
            <v>Tổ 11, Phường Sài Đồng, Long Biên, Hà Nội</v>
          </cell>
          <cell r="V10" t="str">
            <v>0918970379</v>
          </cell>
          <cell r="AH10">
            <v>44409</v>
          </cell>
        </row>
        <row r="11">
          <cell r="E11" t="str">
            <v>QL004</v>
          </cell>
          <cell r="F11" t="str">
            <v>Nguyễn Thanh Thuỷ</v>
          </cell>
          <cell r="G11">
            <v>25540</v>
          </cell>
          <cell r="K11" t="str">
            <v>011769884</v>
          </cell>
          <cell r="L11">
            <v>39905</v>
          </cell>
          <cell r="M11" t="str">
            <v>Công an TP Hà Nội</v>
          </cell>
          <cell r="U11" t="str">
            <v>Tổ 7,  Phường Sài Đồng, Long Biên, Hà Nội</v>
          </cell>
          <cell r="V11" t="str">
            <v>0914964277</v>
          </cell>
          <cell r="AH11">
            <v>44409</v>
          </cell>
        </row>
        <row r="12">
          <cell r="E12" t="str">
            <v>QL001</v>
          </cell>
          <cell r="F12" t="str">
            <v>Nghiêm Mạnh Toàn</v>
          </cell>
          <cell r="G12">
            <v>22325</v>
          </cell>
          <cell r="AH12">
            <v>44409</v>
          </cell>
        </row>
        <row r="13">
          <cell r="E13" t="str">
            <v>QL005</v>
          </cell>
          <cell r="F13" t="str">
            <v>Nguyễn Đăng Khôi</v>
          </cell>
          <cell r="G13">
            <v>25940</v>
          </cell>
          <cell r="I13" t="str">
            <v>x</v>
          </cell>
          <cell r="K13" t="str">
            <v>001071009602</v>
          </cell>
          <cell r="L13">
            <v>37021</v>
          </cell>
          <cell r="M13" t="str">
            <v>Cục quản lý dân cư</v>
          </cell>
          <cell r="S13" t="str">
            <v>Thị trấn Trâu Quỳ, Gia Lâm, Hà Nội</v>
          </cell>
          <cell r="T13" t="str">
            <v>TDP Chính Trung, thị trấn Trâu Quỳ, Gia Lâm, Hà Nội</v>
          </cell>
          <cell r="U13" t="str">
            <v>TDP Chính Trung, thị trấn Trâu Quỳ, Gia Lâm, Hà Nội</v>
          </cell>
          <cell r="V13" t="str">
            <v>0913563484</v>
          </cell>
          <cell r="AE13">
            <v>44473</v>
          </cell>
          <cell r="AH13">
            <v>44409</v>
          </cell>
        </row>
        <row r="14">
          <cell r="E14">
            <v>50000</v>
          </cell>
          <cell r="F14" t="str">
            <v>Phạm Anh Phong</v>
          </cell>
          <cell r="G14">
            <v>30419</v>
          </cell>
          <cell r="H14">
            <v>38</v>
          </cell>
          <cell r="I14" t="str">
            <v>x</v>
          </cell>
          <cell r="K14" t="str">
            <v>012402647</v>
          </cell>
          <cell r="L14">
            <v>44276</v>
          </cell>
          <cell r="M14" t="str">
            <v>Công an TP Hà Nội</v>
          </cell>
          <cell r="N14" t="str">
            <v>Kinh</v>
          </cell>
          <cell r="O14" t="str">
            <v>Không</v>
          </cell>
          <cell r="P14" t="str">
            <v>Việt Nam</v>
          </cell>
          <cell r="Q14" t="str">
            <v>Đại học</v>
          </cell>
          <cell r="S14" t="str">
            <v>Trâu Quỳ, Gia Lâm, Hà Nội</v>
          </cell>
          <cell r="U14" t="str">
            <v>Phòng 706- Tầng 7, Toà nhà 10A- Khu đô thị Sài Đồng, Việt Hưng, Long Biên, Hà Nội</v>
          </cell>
          <cell r="V14" t="str">
            <v>0949587399</v>
          </cell>
          <cell r="W14" t="str">
            <v>0110127317</v>
          </cell>
          <cell r="AB14" t="str">
            <v>PHAM ANH PHONG</v>
          </cell>
          <cell r="AD14" t="str">
            <v>103873664497</v>
          </cell>
          <cell r="AE14">
            <v>43891</v>
          </cell>
          <cell r="AF14" t="str">
            <v>2 năm 0 tháng 5 ngày</v>
          </cell>
          <cell r="AH14">
            <v>44409</v>
          </cell>
        </row>
        <row r="15">
          <cell r="E15">
            <v>50001</v>
          </cell>
          <cell r="F15" t="str">
            <v>Lê Thị Yến</v>
          </cell>
          <cell r="G15">
            <v>31188</v>
          </cell>
          <cell r="H15">
            <v>36</v>
          </cell>
          <cell r="J15" t="str">
            <v>x</v>
          </cell>
          <cell r="K15" t="str">
            <v>038185003800</v>
          </cell>
          <cell r="L15">
            <v>42681</v>
          </cell>
          <cell r="M15" t="str">
            <v>Cục quản lý dân cư</v>
          </cell>
          <cell r="N15" t="str">
            <v>Kinh</v>
          </cell>
          <cell r="O15" t="str">
            <v>Không</v>
          </cell>
          <cell r="P15" t="str">
            <v>Việt Nam</v>
          </cell>
          <cell r="Q15" t="str">
            <v>Cao đẳng</v>
          </cell>
          <cell r="R15" t="str">
            <v>Hành chính văn thư</v>
          </cell>
          <cell r="S15" t="str">
            <v>Xã Quảng Hòa, huyện Quảng Xương, tỉnh Thanh Hóa</v>
          </cell>
          <cell r="T15" t="str">
            <v>Xã Quảng Hòa, huyện Quảng Xương, tỉnh Thanh Hóa</v>
          </cell>
          <cell r="U15" t="str">
            <v>Thôn Nam Châu, xã Hải Châu, huyện Tĩnh Gia, tỉnh Thanh Hóa</v>
          </cell>
          <cell r="V15" t="str">
            <v>0911254502</v>
          </cell>
          <cell r="W15" t="str">
            <v>7011014022</v>
          </cell>
          <cell r="AA15">
            <v>8578604088</v>
          </cell>
          <cell r="AB15" t="str">
            <v>LE THI YEN</v>
          </cell>
          <cell r="AC15" t="str">
            <v>0781000407203</v>
          </cell>
          <cell r="AD15">
            <v>105871536413</v>
          </cell>
          <cell r="AE15">
            <v>43900</v>
          </cell>
          <cell r="AF15" t="str">
            <v>1 năm 11 tháng 24 ngày</v>
          </cell>
          <cell r="AH15">
            <v>43983</v>
          </cell>
          <cell r="AN15">
            <v>3876000</v>
          </cell>
        </row>
        <row r="16">
          <cell r="E16">
            <v>50002</v>
          </cell>
          <cell r="F16" t="str">
            <v>Lê Thị Yến</v>
          </cell>
          <cell r="G16">
            <v>32770</v>
          </cell>
          <cell r="H16">
            <v>32</v>
          </cell>
          <cell r="J16" t="str">
            <v>x</v>
          </cell>
          <cell r="K16">
            <v>173347442</v>
          </cell>
          <cell r="L16">
            <v>40320</v>
          </cell>
          <cell r="M16" t="str">
            <v>Công an Thanh Hóa</v>
          </cell>
          <cell r="N16" t="str">
            <v>Kinh</v>
          </cell>
          <cell r="O16" t="str">
            <v>Không</v>
          </cell>
          <cell r="P16" t="str">
            <v>Việt Nam</v>
          </cell>
          <cell r="Q16" t="str">
            <v>Trung cấp</v>
          </cell>
          <cell r="R16" t="str">
            <v>Kế toán</v>
          </cell>
          <cell r="S16" t="str">
            <v>Xã Đông Cương, TP Thanh Hóa, tỉnh Thanh Hóa</v>
          </cell>
          <cell r="T16" t="str">
            <v>Xã Đông Cương, TP Thanh Hóa, tỉnh Thanh Hóa</v>
          </cell>
          <cell r="U16" t="str">
            <v>Thôn 1, xã Quảng Khê, huyện Quảng Xương, tỉnh Thanh Hóa</v>
          </cell>
          <cell r="V16" t="str">
            <v>0339103896</v>
          </cell>
          <cell r="AB16" t="str">
            <v>LE THI YEN</v>
          </cell>
          <cell r="AC16" t="str">
            <v>0781000399320</v>
          </cell>
          <cell r="AD16">
            <v>104870144656</v>
          </cell>
          <cell r="AF16" t="str">
            <v>122 năm 2 tháng 6 ngày</v>
          </cell>
          <cell r="AH16">
            <v>43983</v>
          </cell>
          <cell r="AN16">
            <v>3876000</v>
          </cell>
        </row>
        <row r="17">
          <cell r="E17">
            <v>50003</v>
          </cell>
          <cell r="F17" t="str">
            <v>Nguyễn Thị Dung</v>
          </cell>
          <cell r="G17">
            <v>34776</v>
          </cell>
          <cell r="H17">
            <v>26</v>
          </cell>
          <cell r="J17" t="str">
            <v>x</v>
          </cell>
          <cell r="AB17" t="str">
            <v>NGUYEN THI DUNG</v>
          </cell>
          <cell r="AC17" t="str">
            <v>0781000420652</v>
          </cell>
          <cell r="AD17">
            <v>102871536334</v>
          </cell>
          <cell r="AH17">
            <v>43983</v>
          </cell>
          <cell r="AN17">
            <v>4070000</v>
          </cell>
        </row>
        <row r="18">
          <cell r="E18">
            <v>50004</v>
          </cell>
          <cell r="F18" t="str">
            <v>Lê Văn Dũng</v>
          </cell>
          <cell r="G18">
            <v>33638</v>
          </cell>
          <cell r="H18">
            <v>30</v>
          </cell>
          <cell r="I18" t="str">
            <v>x</v>
          </cell>
          <cell r="K18" t="str">
            <v>173831292</v>
          </cell>
          <cell r="L18">
            <v>40189</v>
          </cell>
          <cell r="M18" t="str">
            <v>Công an Thanh Hóa</v>
          </cell>
          <cell r="N18" t="str">
            <v>Kinh</v>
          </cell>
          <cell r="O18" t="str">
            <v>Không</v>
          </cell>
          <cell r="P18" t="str">
            <v>Việt Nam</v>
          </cell>
          <cell r="V18" t="str">
            <v>0345441185</v>
          </cell>
          <cell r="AA18">
            <v>8355516007</v>
          </cell>
          <cell r="AB18" t="str">
            <v>LE VAN DUNG</v>
          </cell>
          <cell r="AC18" t="str">
            <v>0781000401083</v>
          </cell>
          <cell r="AD18">
            <v>101867980713</v>
          </cell>
          <cell r="AF18" t="str">
            <v>122 năm 2 tháng 6 ngày</v>
          </cell>
          <cell r="AH18">
            <v>43983</v>
          </cell>
          <cell r="AN18">
            <v>3876000</v>
          </cell>
        </row>
        <row r="19">
          <cell r="E19">
            <v>50005</v>
          </cell>
          <cell r="F19" t="str">
            <v>Đào Hồng Thái</v>
          </cell>
          <cell r="G19">
            <v>28396</v>
          </cell>
          <cell r="I19" t="str">
            <v>x</v>
          </cell>
          <cell r="K19" t="str">
            <v>012116304</v>
          </cell>
          <cell r="L19">
            <v>41449</v>
          </cell>
          <cell r="M19" t="str">
            <v>Công an TP Hà Nội</v>
          </cell>
          <cell r="N19" t="str">
            <v>Kinh</v>
          </cell>
          <cell r="O19" t="str">
            <v>Không</v>
          </cell>
          <cell r="P19" t="str">
            <v>Việt Nam</v>
          </cell>
          <cell r="S19" t="str">
            <v>Huyện Quỳnh Phụ, tỉnh Thái Bình</v>
          </cell>
          <cell r="U19" t="str">
            <v>Tổ 8, Phường Sài Đồng, Quận Long Biên, TP Hà Nội</v>
          </cell>
          <cell r="V19" t="str">
            <v>0919132028</v>
          </cell>
          <cell r="AD19" t="str">
            <v>107873754570</v>
          </cell>
          <cell r="AE19">
            <v>44198</v>
          </cell>
          <cell r="AF19" t="str">
            <v>1 năm 0 tháng 19 ngày</v>
          </cell>
          <cell r="AH19">
            <v>43983</v>
          </cell>
        </row>
        <row r="20">
          <cell r="E20">
            <v>50008</v>
          </cell>
          <cell r="F20" t="str">
            <v>Trịnh Tiến Hải</v>
          </cell>
          <cell r="G20">
            <v>35894</v>
          </cell>
          <cell r="H20">
            <v>23</v>
          </cell>
          <cell r="I20" t="str">
            <v>x</v>
          </cell>
          <cell r="K20">
            <v>174799225</v>
          </cell>
          <cell r="L20">
            <v>41967</v>
          </cell>
          <cell r="M20" t="str">
            <v>Công an Thanh Hóa</v>
          </cell>
          <cell r="N20" t="str">
            <v>Kinh</v>
          </cell>
          <cell r="O20" t="str">
            <v>Không</v>
          </cell>
          <cell r="P20" t="str">
            <v>Việt Nam</v>
          </cell>
          <cell r="Q20" t="str">
            <v>12/12</v>
          </cell>
          <cell r="S20" t="str">
            <v>Xã Thọ Phú, huyện Triệu Sơn, tỉnh Thanh Hóa</v>
          </cell>
          <cell r="T20" t="str">
            <v>Xã Thọ Phú, huyện Triệu Sơn, tỉnh Thanh Hóa</v>
          </cell>
          <cell r="U20" t="str">
            <v>Thôn 3, xã Thọ Phú, huyện Triệu Sơn, tỉnh Thanh Hóa</v>
          </cell>
          <cell r="V20" t="str">
            <v>0868013217</v>
          </cell>
          <cell r="W20">
            <v>3821988788</v>
          </cell>
          <cell r="X20" t="str">
            <v>BHXH huyện Quảng Xương</v>
          </cell>
          <cell r="Z20" t="str">
            <v>DN4383821988788</v>
          </cell>
          <cell r="AA20">
            <v>8585752182</v>
          </cell>
          <cell r="AB20" t="str">
            <v>TRINH TIEN HAI</v>
          </cell>
          <cell r="AC20">
            <v>1015536072</v>
          </cell>
          <cell r="AD20" t="str">
            <v>109871991236</v>
          </cell>
          <cell r="AE20">
            <v>43983</v>
          </cell>
          <cell r="AF20" t="str">
            <v>1 năm 9 tháng 5 ngày</v>
          </cell>
          <cell r="AG20">
            <v>43983</v>
          </cell>
          <cell r="AH20">
            <v>44044</v>
          </cell>
          <cell r="AK20" t="str">
            <v>Công nhân vận hành máy may công nghiệp</v>
          </cell>
          <cell r="AN20">
            <v>3876000</v>
          </cell>
          <cell r="AO20">
            <v>3470000</v>
          </cell>
        </row>
        <row r="21">
          <cell r="E21">
            <v>50010</v>
          </cell>
          <cell r="F21" t="str">
            <v>Nguyễn Thị Tâm</v>
          </cell>
          <cell r="G21">
            <v>34222</v>
          </cell>
          <cell r="H21">
            <v>28</v>
          </cell>
          <cell r="J21" t="str">
            <v>x</v>
          </cell>
          <cell r="K21" t="str">
            <v>038193001597</v>
          </cell>
          <cell r="L21">
            <v>43769</v>
          </cell>
          <cell r="M21" t="str">
            <v>Cục quản lý dân cư</v>
          </cell>
          <cell r="N21" t="str">
            <v>Kinh</v>
          </cell>
          <cell r="O21" t="str">
            <v>Không</v>
          </cell>
          <cell r="P21" t="str">
            <v>Việt Nam</v>
          </cell>
          <cell r="Q21" t="str">
            <v>12/12</v>
          </cell>
          <cell r="S21" t="str">
            <v>Xã Dân Lực, huyện Triệu Sơn, tỉnh Thanh Hóa</v>
          </cell>
          <cell r="T21" t="str">
            <v>Xã Dân Lực, huyện Triệu Sơn, tỉnh Thanh Hóa</v>
          </cell>
          <cell r="U21" t="str">
            <v>Thôn Thiện Chính, xã Dân Lực, huyện Triệu Sơn, tỉnh Thanh Hóa</v>
          </cell>
          <cell r="V21" t="str">
            <v>0962546325</v>
          </cell>
          <cell r="W21" t="str">
            <v>2712045797</v>
          </cell>
          <cell r="Y21" t="str">
            <v>Chưa có bìa sổ</v>
          </cell>
          <cell r="Z21" t="str">
            <v>DN4382712045797</v>
          </cell>
          <cell r="AB21" t="str">
            <v>NGUYEN THI TAM</v>
          </cell>
          <cell r="AC21">
            <v>351001086662</v>
          </cell>
          <cell r="AD21" t="str">
            <v>108871991237</v>
          </cell>
          <cell r="AE21">
            <v>43983</v>
          </cell>
          <cell r="AF21" t="str">
            <v>1 năm 9 tháng 5 ngày</v>
          </cell>
          <cell r="AG21">
            <v>44257</v>
          </cell>
          <cell r="AH21">
            <v>44317</v>
          </cell>
          <cell r="AK21" t="str">
            <v>Công nhân kiểm hoá công nghiệp</v>
          </cell>
          <cell r="AN21">
            <v>3876000</v>
          </cell>
          <cell r="AO21">
            <v>3470000</v>
          </cell>
        </row>
        <row r="22">
          <cell r="E22">
            <v>50011</v>
          </cell>
          <cell r="F22" t="str">
            <v>Hà Thị Trà My</v>
          </cell>
          <cell r="G22">
            <v>37052</v>
          </cell>
          <cell r="H22">
            <v>20</v>
          </cell>
          <cell r="J22" t="str">
            <v>x</v>
          </cell>
          <cell r="K22" t="str">
            <v>038301001713</v>
          </cell>
          <cell r="L22">
            <v>42649</v>
          </cell>
          <cell r="M22" t="str">
            <v>Cục quản lý dân cư</v>
          </cell>
          <cell r="N22" t="str">
            <v>Kinh</v>
          </cell>
          <cell r="O22" t="str">
            <v>Không</v>
          </cell>
          <cell r="P22" t="str">
            <v>Việt Nam</v>
          </cell>
          <cell r="Q22" t="str">
            <v>12/12</v>
          </cell>
          <cell r="S22" t="str">
            <v>Xã Minh Châu, huyện Triệu Sơn, tỉnh Thanh Hóa</v>
          </cell>
          <cell r="T22" t="str">
            <v>Thị Trấn Triệu Sơn, huyện Triệu Sơn, tỉnh Thanh Hóa</v>
          </cell>
          <cell r="U22" t="str">
            <v>Thôn 1, Thị trấn Triệu Sơn, huyện Triệu Sơn, tỉnh Thanh Hóa</v>
          </cell>
          <cell r="V22" t="str">
            <v>0359221853</v>
          </cell>
          <cell r="W22">
            <v>3821913674</v>
          </cell>
          <cell r="Z22" t="str">
            <v>DN4383821913674</v>
          </cell>
          <cell r="AA22">
            <v>8607712475</v>
          </cell>
          <cell r="AB22" t="str">
            <v>HA THI TRA MY</v>
          </cell>
          <cell r="AC22">
            <v>1015536570</v>
          </cell>
          <cell r="AD22" t="str">
            <v>107871991238</v>
          </cell>
          <cell r="AE22">
            <v>43983</v>
          </cell>
          <cell r="AF22" t="str">
            <v>1 năm 9 tháng 5 ngày</v>
          </cell>
          <cell r="AG22">
            <v>43983</v>
          </cell>
          <cell r="AH22">
            <v>44044</v>
          </cell>
          <cell r="AK22" t="str">
            <v>Công nhân vận hành máy may công nghiệp</v>
          </cell>
          <cell r="AN22">
            <v>3876000</v>
          </cell>
          <cell r="AO22">
            <v>3470000</v>
          </cell>
        </row>
        <row r="23">
          <cell r="E23">
            <v>50012</v>
          </cell>
          <cell r="F23" t="str">
            <v>Nguyễn Văn Tùng</v>
          </cell>
          <cell r="G23">
            <v>34151</v>
          </cell>
          <cell r="H23">
            <v>28</v>
          </cell>
          <cell r="I23" t="str">
            <v>x</v>
          </cell>
          <cell r="K23">
            <v>174782541</v>
          </cell>
          <cell r="L23">
            <v>40946</v>
          </cell>
          <cell r="M23" t="str">
            <v>Công an Thanh Hóa</v>
          </cell>
          <cell r="N23" t="str">
            <v>Kinh</v>
          </cell>
          <cell r="O23" t="str">
            <v>Không</v>
          </cell>
          <cell r="P23" t="str">
            <v>Việt Nam</v>
          </cell>
          <cell r="Q23" t="str">
            <v>Cao đẳng</v>
          </cell>
          <cell r="R23" t="str">
            <v>Công nghệ may</v>
          </cell>
          <cell r="S23" t="str">
            <v>Xã Dân Quyền, huyện Triệu Sơn, tỉnh Thanh Hóa</v>
          </cell>
          <cell r="T23" t="str">
            <v>Xã Dân Quyền, huyện Triệu Sơn, tỉnh Thanh Hóa</v>
          </cell>
          <cell r="U23" t="str">
            <v>Thôn 1, xã Dân Quyền, huyện Triệu Sơn, tỉnh Thanh Hóa</v>
          </cell>
          <cell r="V23" t="str">
            <v>0969306480</v>
          </cell>
          <cell r="W23">
            <v>7413169244</v>
          </cell>
          <cell r="Z23" t="str">
            <v>DN4387413169244</v>
          </cell>
          <cell r="AA23">
            <v>8407380198</v>
          </cell>
          <cell r="AB23" t="str">
            <v>NGUYEN VAN TUNG</v>
          </cell>
          <cell r="AC23">
            <v>281000315142</v>
          </cell>
          <cell r="AD23" t="str">
            <v>106871991239</v>
          </cell>
          <cell r="AE23">
            <v>43983</v>
          </cell>
          <cell r="AF23" t="str">
            <v>1 năm 9 tháng 5 ngày</v>
          </cell>
          <cell r="AG23">
            <v>43983</v>
          </cell>
          <cell r="AH23">
            <v>44044</v>
          </cell>
          <cell r="AK23" t="str">
            <v>Công nhân vận hành máy may công nghiệp</v>
          </cell>
          <cell r="AN23">
            <v>3876000</v>
          </cell>
          <cell r="AO23">
            <v>3470000</v>
          </cell>
        </row>
        <row r="24">
          <cell r="E24">
            <v>50014</v>
          </cell>
          <cell r="F24" t="str">
            <v>Nguyễn Thị Cúc</v>
          </cell>
          <cell r="G24">
            <v>36933</v>
          </cell>
          <cell r="H24">
            <v>21</v>
          </cell>
          <cell r="J24" t="str">
            <v>x</v>
          </cell>
          <cell r="K24" t="str">
            <v>038301006720</v>
          </cell>
          <cell r="L24">
            <v>43060</v>
          </cell>
          <cell r="M24" t="str">
            <v>Cục quản lý dân cư</v>
          </cell>
          <cell r="N24" t="str">
            <v>Kinh</v>
          </cell>
          <cell r="O24" t="str">
            <v>Không</v>
          </cell>
          <cell r="P24" t="str">
            <v>Việt Nam</v>
          </cell>
          <cell r="Q24" t="str">
            <v>12/12</v>
          </cell>
          <cell r="S24" t="str">
            <v>Xã Dân Lực, huyện Triệu Sơn, tỉnh Thanh Hóa</v>
          </cell>
          <cell r="T24" t="str">
            <v>Xã Dân Lực, huyện Triệu Sơn, tỉnh Thanh Hóa</v>
          </cell>
          <cell r="U24" t="str">
            <v>Thôn Ân Mộc, xã Dân Lực, huyện Triệu Sơn, tỉnh Thanh Hóa</v>
          </cell>
          <cell r="V24" t="str">
            <v>0382509492</v>
          </cell>
          <cell r="W24">
            <v>3821952834</v>
          </cell>
          <cell r="Z24" t="str">
            <v>DN4383821952834</v>
          </cell>
          <cell r="AA24">
            <v>8604847058</v>
          </cell>
          <cell r="AB24" t="str">
            <v>NGUYEN THI CUC</v>
          </cell>
          <cell r="AC24" t="str">
            <v>0001015538305</v>
          </cell>
          <cell r="AD24" t="str">
            <v>108871991240</v>
          </cell>
          <cell r="AE24">
            <v>43983</v>
          </cell>
          <cell r="AF24" t="str">
            <v>1 năm 9 tháng 5 ngày</v>
          </cell>
          <cell r="AG24">
            <v>43983</v>
          </cell>
          <cell r="AH24">
            <v>44044</v>
          </cell>
          <cell r="AK24" t="str">
            <v>Công nhân vận hành máy may công nghiệp</v>
          </cell>
          <cell r="AN24">
            <v>3876000</v>
          </cell>
          <cell r="AO24">
            <v>3470000</v>
          </cell>
        </row>
        <row r="25">
          <cell r="E25">
            <v>50015</v>
          </cell>
          <cell r="F25" t="str">
            <v>Nguyễn Văn Bình</v>
          </cell>
          <cell r="G25">
            <v>35957</v>
          </cell>
          <cell r="H25">
            <v>23</v>
          </cell>
          <cell r="I25" t="str">
            <v>x</v>
          </cell>
          <cell r="K25">
            <v>174829739</v>
          </cell>
          <cell r="L25">
            <v>42297</v>
          </cell>
          <cell r="M25" t="str">
            <v>Công an Thanh Hóa</v>
          </cell>
          <cell r="N25" t="str">
            <v>Kinh</v>
          </cell>
          <cell r="O25" t="str">
            <v>Không</v>
          </cell>
          <cell r="P25" t="str">
            <v>Việt Nam</v>
          </cell>
          <cell r="Q25" t="str">
            <v>Sơ cấp</v>
          </cell>
          <cell r="R25" t="str">
            <v>Sữa chữa máy may cn</v>
          </cell>
          <cell r="S25" t="str">
            <v>Xã Xuân Hòa, huyện Thọ Xuân, tỉnh Thanh Hóa</v>
          </cell>
          <cell r="T25" t="str">
            <v>Xã Xuân Hòa, huyện Thọ Xuân, tỉnh Thanh Hóa</v>
          </cell>
          <cell r="U25" t="str">
            <v>Thôn Trung Thành, xã Xuân Hòa, huyện Thọ Xuân, tỉnh Thanh Hóa</v>
          </cell>
          <cell r="V25" t="str">
            <v>0385325341</v>
          </cell>
          <cell r="W25">
            <v>3821690951</v>
          </cell>
          <cell r="X25" t="str">
            <v>BHXH huyện Quảng Xương</v>
          </cell>
          <cell r="Z25" t="str">
            <v>DN4383821690951</v>
          </cell>
          <cell r="AB25" t="str">
            <v>NGUYEN VAN BINH</v>
          </cell>
          <cell r="AC25" t="str">
            <v>0001015537935</v>
          </cell>
          <cell r="AD25" t="str">
            <v>105002901698</v>
          </cell>
          <cell r="AE25">
            <v>43983</v>
          </cell>
          <cell r="AF25" t="str">
            <v>1 năm 9 tháng 5 ngày</v>
          </cell>
          <cell r="AG25">
            <v>43983</v>
          </cell>
          <cell r="AH25">
            <v>44044</v>
          </cell>
          <cell r="AK25" t="str">
            <v>Công nhân vận hành máy may công nghiệp</v>
          </cell>
          <cell r="AN25">
            <v>3876000</v>
          </cell>
          <cell r="AO25">
            <v>3470000</v>
          </cell>
        </row>
        <row r="26">
          <cell r="E26">
            <v>50016</v>
          </cell>
          <cell r="F26" t="str">
            <v>Lê Đăng Đạt</v>
          </cell>
          <cell r="G26">
            <v>34454</v>
          </cell>
          <cell r="H26">
            <v>27</v>
          </cell>
          <cell r="I26" t="str">
            <v>x</v>
          </cell>
          <cell r="K26" t="str">
            <v>038094000569</v>
          </cell>
          <cell r="L26">
            <v>43075</v>
          </cell>
          <cell r="M26" t="str">
            <v>Cục quản lý dân cư</v>
          </cell>
          <cell r="N26" t="str">
            <v>Kinh</v>
          </cell>
          <cell r="O26" t="str">
            <v>Không</v>
          </cell>
          <cell r="P26" t="str">
            <v>Việt Nam</v>
          </cell>
          <cell r="Q26" t="str">
            <v>12/12</v>
          </cell>
          <cell r="S26" t="str">
            <v>Xã Minh Châu, huyện Triệu Sơn, tỉnh Thanh Hóa</v>
          </cell>
          <cell r="T26" t="str">
            <v>Xã Minh Châu, huyện Triệu Sơn, tỉnh Thanh Hóa</v>
          </cell>
          <cell r="U26" t="str">
            <v>Thôn 4, Thị rấn Triệu Sơn, huyện Triệu Sơn, tỉnh Thanh Hóa</v>
          </cell>
          <cell r="V26" t="str">
            <v>0914817030</v>
          </cell>
          <cell r="W26">
            <v>3824404360</v>
          </cell>
          <cell r="Y26" t="str">
            <v>Chưa có bìa sổ</v>
          </cell>
          <cell r="Z26" t="str">
            <v>DN4383824404360</v>
          </cell>
          <cell r="AA26">
            <v>8626814169</v>
          </cell>
          <cell r="AB26" t="str">
            <v>LE DANG DAT</v>
          </cell>
          <cell r="AC26" t="str">
            <v>0001015538619</v>
          </cell>
          <cell r="AD26" t="str">
            <v>107871991241</v>
          </cell>
          <cell r="AE26">
            <v>43983</v>
          </cell>
          <cell r="AF26" t="str">
            <v>1 năm 9 tháng 5 ngày</v>
          </cell>
          <cell r="AG26">
            <v>43983</v>
          </cell>
          <cell r="AH26">
            <v>44044</v>
          </cell>
          <cell r="AK26" t="str">
            <v>Công nhân vận hành máy may công nghiệp</v>
          </cell>
          <cell r="AN26">
            <v>3876000</v>
          </cell>
          <cell r="AO26">
            <v>3470000</v>
          </cell>
        </row>
        <row r="27">
          <cell r="E27">
            <v>50018</v>
          </cell>
          <cell r="F27" t="str">
            <v>Nguyễn Văn Huy</v>
          </cell>
          <cell r="G27">
            <v>33913</v>
          </cell>
          <cell r="H27">
            <v>29</v>
          </cell>
          <cell r="I27" t="str">
            <v>x</v>
          </cell>
          <cell r="K27" t="str">
            <v>038092001510</v>
          </cell>
          <cell r="L27">
            <v>42571</v>
          </cell>
          <cell r="M27" t="str">
            <v>Cục quản lý dân cư</v>
          </cell>
          <cell r="N27" t="str">
            <v>Kinh</v>
          </cell>
          <cell r="O27" t="str">
            <v>Không</v>
          </cell>
          <cell r="P27" t="str">
            <v>Việt Nam</v>
          </cell>
          <cell r="Q27" t="str">
            <v>Trung cấp</v>
          </cell>
          <cell r="R27" t="str">
            <v>Điện công nghiệp</v>
          </cell>
          <cell r="S27" t="str">
            <v>Xã Dân Lực, huyện Triệu Sơn, tỉnh Thanh Hóa</v>
          </cell>
          <cell r="T27" t="str">
            <v>Xã Dân Lực, huyện Triệu Sơn, tỉnh Thanh Hóa</v>
          </cell>
          <cell r="U27" t="str">
            <v>Thôn Thiện Chính, xã Dân Lực, huyện Triệu Sơn, tỉnh Thanh Hóa</v>
          </cell>
          <cell r="V27" t="str">
            <v>0929561693</v>
          </cell>
          <cell r="W27">
            <v>3822021170</v>
          </cell>
          <cell r="X27" t="str">
            <v>BHXH huyện Quảng Xương</v>
          </cell>
          <cell r="Z27" t="str">
            <v>DN4383822021170</v>
          </cell>
          <cell r="AA27">
            <v>8503586843</v>
          </cell>
          <cell r="AB27" t="str">
            <v>NGUYEN VAN HUY</v>
          </cell>
          <cell r="AC27" t="str">
            <v>0001015539570</v>
          </cell>
          <cell r="AD27" t="str">
            <v>105871991243</v>
          </cell>
          <cell r="AE27">
            <v>43983</v>
          </cell>
          <cell r="AF27" t="str">
            <v>1 năm 9 tháng 5 ngày</v>
          </cell>
          <cell r="AG27">
            <v>43983</v>
          </cell>
          <cell r="AH27">
            <v>44044</v>
          </cell>
          <cell r="AK27" t="str">
            <v>Công nhân vận hành máy may công nghiệp</v>
          </cell>
          <cell r="AN27">
            <v>3876000</v>
          </cell>
          <cell r="AO27">
            <v>3470000</v>
          </cell>
        </row>
        <row r="28">
          <cell r="E28">
            <v>50019</v>
          </cell>
          <cell r="F28" t="str">
            <v>Vũ Thị Phương Thảo</v>
          </cell>
          <cell r="G28">
            <v>32742</v>
          </cell>
          <cell r="H28">
            <v>32</v>
          </cell>
          <cell r="J28" t="str">
            <v>x</v>
          </cell>
          <cell r="K28">
            <v>173530383</v>
          </cell>
          <cell r="L28">
            <v>41596</v>
          </cell>
          <cell r="M28" t="str">
            <v>Công an Thanh Hóa</v>
          </cell>
          <cell r="N28" t="str">
            <v>Kinh</v>
          </cell>
          <cell r="O28" t="str">
            <v>Không</v>
          </cell>
          <cell r="P28" t="str">
            <v>Việt Nam</v>
          </cell>
          <cell r="Q28" t="str">
            <v>9/12</v>
          </cell>
          <cell r="S28" t="str">
            <v>Xã Thọ Phú, huyện Triệu Sơn, tỉnh Thanh Hóa</v>
          </cell>
          <cell r="T28" t="str">
            <v>Xã Thọ Phú, huyện Triệu Sơn, tỉnh Thanh Hóa</v>
          </cell>
          <cell r="U28" t="str">
            <v>Thôn Tiên Mộc, xã Dân Lực, huyện Triệu Sơn, tỉnh Thanh Hóa</v>
          </cell>
          <cell r="V28" t="str">
            <v>0355877345</v>
          </cell>
          <cell r="W28" t="str">
            <v>3822022403</v>
          </cell>
          <cell r="X28" t="str">
            <v>BHXH huyện Quảng Xương</v>
          </cell>
          <cell r="Z28" t="str">
            <v>DN4383822022403</v>
          </cell>
          <cell r="AA28">
            <v>8442258539</v>
          </cell>
          <cell r="AB28" t="str">
            <v>VU THI PHUONG THAO</v>
          </cell>
          <cell r="AC28" t="str">
            <v>0001015539900</v>
          </cell>
          <cell r="AD28" t="str">
            <v>104871991244</v>
          </cell>
          <cell r="AE28">
            <v>43983</v>
          </cell>
          <cell r="AF28" t="str">
            <v>1 năm 9 tháng 5 ngày</v>
          </cell>
          <cell r="AG28">
            <v>43983</v>
          </cell>
          <cell r="AH28">
            <v>44044</v>
          </cell>
          <cell r="AK28" t="str">
            <v>Công nhân vận hành máy may công nghiệp</v>
          </cell>
          <cell r="AN28">
            <v>3876000</v>
          </cell>
          <cell r="AO28">
            <v>3470000</v>
          </cell>
        </row>
        <row r="29">
          <cell r="E29">
            <v>50022</v>
          </cell>
          <cell r="F29" t="str">
            <v>Hà Đình Hoàng</v>
          </cell>
          <cell r="G29">
            <v>33723</v>
          </cell>
          <cell r="H29">
            <v>29</v>
          </cell>
          <cell r="I29" t="str">
            <v>x</v>
          </cell>
          <cell r="K29">
            <v>173558395</v>
          </cell>
          <cell r="L29">
            <v>41299</v>
          </cell>
          <cell r="M29" t="str">
            <v>Công an Thanh Hóa</v>
          </cell>
          <cell r="N29" t="str">
            <v>Kinh</v>
          </cell>
          <cell r="O29" t="str">
            <v>Không</v>
          </cell>
          <cell r="P29" t="str">
            <v>Việt Nam</v>
          </cell>
          <cell r="Q29" t="str">
            <v>9/12</v>
          </cell>
          <cell r="S29" t="str">
            <v>Xã Thọ Phú, huyện Triệu Sơn, tỉnh Thanh Hóa</v>
          </cell>
          <cell r="T29" t="str">
            <v>Xã Thọ Phú, huyện Triệu Sơn, tỉnh Thanh Hóa</v>
          </cell>
          <cell r="U29" t="str">
            <v>Thôn 4, xã Thọ Phú, huyện Triệu Sơn, tỉnh Thanh Hóa</v>
          </cell>
          <cell r="V29" t="str">
            <v>0987366625</v>
          </cell>
          <cell r="W29">
            <v>3821854390</v>
          </cell>
          <cell r="Z29" t="str">
            <v>DN4383821854390</v>
          </cell>
          <cell r="AA29">
            <v>8360839902</v>
          </cell>
          <cell r="AB29" t="str">
            <v>HA DINH HOANG</v>
          </cell>
          <cell r="AC29" t="str">
            <v>0001015540108</v>
          </cell>
          <cell r="AD29" t="str">
            <v>103871991245</v>
          </cell>
          <cell r="AE29">
            <v>43983</v>
          </cell>
          <cell r="AF29" t="str">
            <v>1 năm 9 tháng 5 ngày</v>
          </cell>
          <cell r="AG29">
            <v>43983</v>
          </cell>
          <cell r="AH29">
            <v>44044</v>
          </cell>
          <cell r="AK29" t="str">
            <v>Công nhân vận hành máy may công nghiệp</v>
          </cell>
          <cell r="AN29">
            <v>3876000</v>
          </cell>
          <cell r="AO29">
            <v>3470000</v>
          </cell>
        </row>
        <row r="30">
          <cell r="E30">
            <v>50023</v>
          </cell>
          <cell r="F30" t="str">
            <v>Phan Thị Quyên</v>
          </cell>
          <cell r="G30">
            <v>35186</v>
          </cell>
          <cell r="H30">
            <v>25</v>
          </cell>
          <cell r="J30" t="str">
            <v>x</v>
          </cell>
          <cell r="K30" t="str">
            <v>038196003277</v>
          </cell>
          <cell r="L30">
            <v>43094</v>
          </cell>
          <cell r="M30" t="str">
            <v>Cục quản lý dân cư</v>
          </cell>
          <cell r="N30" t="str">
            <v>Kinh</v>
          </cell>
          <cell r="O30" t="str">
            <v>Không</v>
          </cell>
          <cell r="P30" t="str">
            <v>Việt Nam</v>
          </cell>
          <cell r="Q30" t="str">
            <v>12/12</v>
          </cell>
          <cell r="S30" t="str">
            <v>Xã Thọ Tân, huyện Triệu Sơn, tỉnh Thanh Hóa</v>
          </cell>
          <cell r="T30" t="str">
            <v>Xã Thọ Tân, huyện Triệu Sơn, tỉnh Thanh Hóa</v>
          </cell>
          <cell r="U30" t="str">
            <v>Thôn 5, xã Thọ Phú, huyện Triệu Sơn, tỉnh Thanh Hóa</v>
          </cell>
          <cell r="V30" t="str">
            <v>0867794533</v>
          </cell>
          <cell r="W30">
            <v>3821980649</v>
          </cell>
          <cell r="X30" t="str">
            <v>BHXH huyện Quảng Xương</v>
          </cell>
          <cell r="Z30" t="str">
            <v>DN4383821980649</v>
          </cell>
          <cell r="AA30">
            <v>8564835342</v>
          </cell>
          <cell r="AB30" t="str">
            <v>PHAN THI QUYEN</v>
          </cell>
          <cell r="AC30" t="str">
            <v>0001015540498</v>
          </cell>
          <cell r="AD30" t="str">
            <v>102871991246</v>
          </cell>
          <cell r="AE30">
            <v>43983</v>
          </cell>
          <cell r="AF30" t="str">
            <v>1 năm 9 tháng 5 ngày</v>
          </cell>
          <cell r="AG30">
            <v>43983</v>
          </cell>
          <cell r="AH30">
            <v>44044</v>
          </cell>
          <cell r="AK30" t="str">
            <v>Công nhân vận hành máy may công nghiệp</v>
          </cell>
          <cell r="AN30">
            <v>3876000</v>
          </cell>
          <cell r="AO30">
            <v>3470000</v>
          </cell>
        </row>
        <row r="31">
          <cell r="E31">
            <v>50024</v>
          </cell>
          <cell r="F31" t="str">
            <v>Nguyễn Thị Thảo</v>
          </cell>
          <cell r="G31">
            <v>34014</v>
          </cell>
          <cell r="H31">
            <v>29</v>
          </cell>
          <cell r="J31" t="str">
            <v>x</v>
          </cell>
          <cell r="K31">
            <v>174787920</v>
          </cell>
          <cell r="L31">
            <v>41214</v>
          </cell>
          <cell r="M31" t="str">
            <v>Công an Thanh Hóa</v>
          </cell>
          <cell r="N31" t="str">
            <v>Kinh</v>
          </cell>
          <cell r="O31" t="str">
            <v>Không</v>
          </cell>
          <cell r="P31" t="str">
            <v>Việt Nam</v>
          </cell>
          <cell r="Q31" t="str">
            <v>12/12</v>
          </cell>
          <cell r="S31" t="str">
            <v>Xã Dân Lực, huyện Triệu Sơn, tỉnh Thanh Hóa</v>
          </cell>
          <cell r="T31" t="str">
            <v>Xã Dân Lực, huyện Triệu Sơn, tỉnh Thanh Hóa</v>
          </cell>
          <cell r="U31" t="str">
            <v>Thôn Ân Mộc, xã Dân Lực, huyện Triệu Sơn, tỉnh Thanh Hóa</v>
          </cell>
          <cell r="V31" t="str">
            <v>0385020915</v>
          </cell>
          <cell r="W31">
            <v>3816074541</v>
          </cell>
          <cell r="Z31" t="str">
            <v>DN4383816074541</v>
          </cell>
          <cell r="AA31">
            <v>8484581477</v>
          </cell>
          <cell r="AB31" t="str">
            <v>NGUYEN THI THAO</v>
          </cell>
          <cell r="AC31" t="str">
            <v>0001015540697</v>
          </cell>
          <cell r="AD31" t="str">
            <v>101871991247</v>
          </cell>
          <cell r="AE31">
            <v>43983</v>
          </cell>
          <cell r="AF31" t="str">
            <v>1 năm 9 tháng 5 ngày</v>
          </cell>
          <cell r="AG31">
            <v>43983</v>
          </cell>
          <cell r="AH31">
            <v>44013</v>
          </cell>
          <cell r="AK31" t="str">
            <v>Công nhân vận hành máy may công nghiệp</v>
          </cell>
          <cell r="AN31">
            <v>3876000</v>
          </cell>
          <cell r="AO31">
            <v>3470000</v>
          </cell>
        </row>
        <row r="32">
          <cell r="E32">
            <v>50027</v>
          </cell>
          <cell r="F32" t="str">
            <v>Hà Đình Long</v>
          </cell>
          <cell r="G32">
            <v>35313</v>
          </cell>
          <cell r="H32">
            <v>25</v>
          </cell>
          <cell r="I32" t="str">
            <v>x</v>
          </cell>
          <cell r="K32" t="str">
            <v>038096009663</v>
          </cell>
          <cell r="L32">
            <v>43642</v>
          </cell>
          <cell r="M32" t="str">
            <v>Cục quản lý dân cư</v>
          </cell>
          <cell r="N32" t="str">
            <v>Kinh</v>
          </cell>
          <cell r="O32" t="str">
            <v>Không</v>
          </cell>
          <cell r="P32" t="str">
            <v>Việt Nam</v>
          </cell>
          <cell r="Q32" t="str">
            <v>9/12</v>
          </cell>
          <cell r="S32" t="str">
            <v>Xã Thọ Phú, huyện Triệu Sơn, tỉnh Thanh Hóa</v>
          </cell>
          <cell r="T32" t="str">
            <v>Xã Thọ Phú, huyện Triệu Sơn, tỉnh Thanh Hóa</v>
          </cell>
          <cell r="U32" t="str">
            <v>Thôn 4, xã Thọ Phú, huyện Triệu Sơn, tỉnh Thanh Hóa</v>
          </cell>
          <cell r="V32" t="str">
            <v>0964288698</v>
          </cell>
          <cell r="W32">
            <v>3821833089</v>
          </cell>
          <cell r="X32" t="str">
            <v>BHXH huyện Quảng Xương</v>
          </cell>
          <cell r="Z32" t="str">
            <v>DN4383821833089</v>
          </cell>
          <cell r="AA32">
            <v>8664934386</v>
          </cell>
          <cell r="AB32" t="str">
            <v>HA DINH LONG</v>
          </cell>
          <cell r="AC32" t="str">
            <v>0001015541334</v>
          </cell>
          <cell r="AD32" t="str">
            <v>109871991249</v>
          </cell>
          <cell r="AE32">
            <v>43983</v>
          </cell>
          <cell r="AF32" t="str">
            <v>1 năm 9 tháng 5 ngày</v>
          </cell>
          <cell r="AG32">
            <v>43983</v>
          </cell>
          <cell r="AH32">
            <v>44013</v>
          </cell>
          <cell r="AK32" t="str">
            <v>Công nhân vận hành máy may công nghiệp</v>
          </cell>
          <cell r="AN32">
            <v>3876000</v>
          </cell>
          <cell r="AO32">
            <v>3470000</v>
          </cell>
        </row>
        <row r="33">
          <cell r="E33">
            <v>50028</v>
          </cell>
          <cell r="F33" t="str">
            <v>Hà Thị Mong</v>
          </cell>
          <cell r="G33">
            <v>35463</v>
          </cell>
          <cell r="H33">
            <v>25</v>
          </cell>
          <cell r="J33" t="str">
            <v>x</v>
          </cell>
          <cell r="K33">
            <v>187660066</v>
          </cell>
          <cell r="L33">
            <v>41499</v>
          </cell>
          <cell r="M33" t="str">
            <v>Công an Nghệ An</v>
          </cell>
          <cell r="N33" t="str">
            <v>Thái</v>
          </cell>
          <cell r="O33" t="str">
            <v>Không</v>
          </cell>
          <cell r="P33" t="str">
            <v>Việt Nam</v>
          </cell>
          <cell r="Q33" t="str">
            <v>9/12</v>
          </cell>
          <cell r="S33" t="str">
            <v>Xã Quỳnh Thắng, huyện Quỳnh Lưu, tỉnh Nghệ AN</v>
          </cell>
          <cell r="T33" t="str">
            <v>Xã Nghĩa Lơi, huyện Nghĩa Đàn, tỉnh Nghệ An</v>
          </cell>
          <cell r="U33" t="str">
            <v>Thôn Ân Mộc, xã Dân Lực, huyện Triệu Sơn, tỉnh Thanh Hóa</v>
          </cell>
          <cell r="V33" t="str">
            <v>0328468916</v>
          </cell>
          <cell r="W33">
            <v>6416009456</v>
          </cell>
          <cell r="Z33" t="str">
            <v>DN4386416009456</v>
          </cell>
          <cell r="AA33">
            <v>8515240279</v>
          </cell>
          <cell r="AB33" t="str">
            <v>HA THI MONG</v>
          </cell>
          <cell r="AC33" t="str">
            <v>0001015541457</v>
          </cell>
          <cell r="AD33" t="str">
            <v>100871991250</v>
          </cell>
          <cell r="AE33">
            <v>43983</v>
          </cell>
          <cell r="AF33" t="str">
            <v>1 năm 9 tháng 5 ngày</v>
          </cell>
          <cell r="AG33">
            <v>43983</v>
          </cell>
          <cell r="AH33">
            <v>44044</v>
          </cell>
          <cell r="AK33" t="str">
            <v>Công nhân vận hành máy may công nghiệp</v>
          </cell>
          <cell r="AN33">
            <v>3876000</v>
          </cell>
          <cell r="AO33">
            <v>3470000</v>
          </cell>
        </row>
        <row r="34">
          <cell r="E34">
            <v>50029</v>
          </cell>
          <cell r="F34" t="str">
            <v>Tống Duy Khánh</v>
          </cell>
          <cell r="G34">
            <v>33264</v>
          </cell>
          <cell r="H34">
            <v>31</v>
          </cell>
          <cell r="I34" t="str">
            <v>X</v>
          </cell>
          <cell r="K34" t="str">
            <v>038091018993</v>
          </cell>
          <cell r="L34">
            <v>43875</v>
          </cell>
          <cell r="M34" t="str">
            <v>Cục quản lý dân cư</v>
          </cell>
          <cell r="N34" t="str">
            <v>Kinh</v>
          </cell>
          <cell r="O34" t="str">
            <v>Không</v>
          </cell>
          <cell r="P34" t="str">
            <v>Việt Nam</v>
          </cell>
          <cell r="Q34" t="str">
            <v>12/12</v>
          </cell>
          <cell r="S34" t="str">
            <v>Xã Dân Lực, huyện Triệu Sơn, tỉnh Thanh Hóa</v>
          </cell>
          <cell r="T34" t="str">
            <v>Xã Dân Lực, huyện Triệu Sơn, tỉnh Thanh Hóa</v>
          </cell>
          <cell r="U34" t="str">
            <v>Thôn Tiên Mộc, xã Dân Lực, huyện Triệu Sơn, tỉnh Thanh Hóa</v>
          </cell>
          <cell r="V34" t="str">
            <v>0378851704</v>
          </cell>
          <cell r="W34">
            <v>7514002357</v>
          </cell>
          <cell r="Z34" t="str">
            <v>DN4387514002357</v>
          </cell>
          <cell r="AB34" t="str">
            <v>TONG DUY KHANH</v>
          </cell>
          <cell r="AC34" t="str">
            <v>0001015541606</v>
          </cell>
          <cell r="AD34" t="str">
            <v>109871991251</v>
          </cell>
          <cell r="AE34">
            <v>43983</v>
          </cell>
          <cell r="AF34" t="str">
            <v>1 năm 9 tháng 5 ngày</v>
          </cell>
          <cell r="AG34">
            <v>44137</v>
          </cell>
          <cell r="AH34">
            <v>44197</v>
          </cell>
          <cell r="AK34" t="str">
            <v>Công nhân vận hành máy may công nghiệp</v>
          </cell>
          <cell r="AN34">
            <v>3876000</v>
          </cell>
          <cell r="AO34">
            <v>3470000</v>
          </cell>
        </row>
        <row r="35">
          <cell r="E35">
            <v>50033</v>
          </cell>
          <cell r="F35" t="str">
            <v>Tống Văn Tuấn</v>
          </cell>
          <cell r="G35">
            <v>32310</v>
          </cell>
          <cell r="H35">
            <v>33</v>
          </cell>
          <cell r="I35" t="str">
            <v>x</v>
          </cell>
          <cell r="K35" t="str">
            <v>038088010683</v>
          </cell>
          <cell r="L35">
            <v>43270</v>
          </cell>
          <cell r="M35" t="str">
            <v>Cục quản lý dân cư</v>
          </cell>
          <cell r="N35" t="str">
            <v>Kinh</v>
          </cell>
          <cell r="O35" t="str">
            <v>Không</v>
          </cell>
          <cell r="P35" t="str">
            <v>Việt Nam</v>
          </cell>
          <cell r="Q35" t="str">
            <v>9/12</v>
          </cell>
          <cell r="S35" t="str">
            <v>Xã Dân Lực, huyện Triệu Sơn, tỉnh Thanh Hóa</v>
          </cell>
          <cell r="T35" t="str">
            <v>Xã Dân Lực, huyện Triệu Sơn, tỉnh Thanh Hóa</v>
          </cell>
          <cell r="U35" t="str">
            <v>Thôn Tiên Mộc, xã Dân Lực, huyện Triệu Sơn, tỉnh Thanh Hóa</v>
          </cell>
          <cell r="V35" t="str">
            <v>0964525018</v>
          </cell>
          <cell r="W35">
            <v>3821839137</v>
          </cell>
          <cell r="X35" t="str">
            <v>BHXH huyện Quảng Xương</v>
          </cell>
          <cell r="Z35" t="str">
            <v>DN4383821839137</v>
          </cell>
          <cell r="AA35">
            <v>8643696892</v>
          </cell>
          <cell r="AB35" t="str">
            <v>TONG VAN TUAN</v>
          </cell>
          <cell r="AC35" t="str">
            <v>0001015543535</v>
          </cell>
          <cell r="AD35" t="str">
            <v>108871991252</v>
          </cell>
          <cell r="AE35">
            <v>43983</v>
          </cell>
          <cell r="AF35" t="str">
            <v>1 năm 9 tháng 5 ngày</v>
          </cell>
          <cell r="AG35">
            <v>43983</v>
          </cell>
          <cell r="AH35">
            <v>44013</v>
          </cell>
          <cell r="AK35" t="str">
            <v>Công nhân cắt công nghiệp</v>
          </cell>
          <cell r="AN35">
            <v>3876000</v>
          </cell>
          <cell r="AO35">
            <v>3470000</v>
          </cell>
        </row>
        <row r="36">
          <cell r="E36">
            <v>50034</v>
          </cell>
          <cell r="F36" t="str">
            <v>Cao Thị Mai</v>
          </cell>
          <cell r="G36">
            <v>32500</v>
          </cell>
          <cell r="H36">
            <v>33</v>
          </cell>
          <cell r="J36" t="str">
            <v>x</v>
          </cell>
          <cell r="K36">
            <v>172926230</v>
          </cell>
          <cell r="L36">
            <v>39877</v>
          </cell>
          <cell r="M36" t="str">
            <v>Công an Thanh Hóa</v>
          </cell>
          <cell r="N36" t="str">
            <v>Kinh</v>
          </cell>
          <cell r="O36" t="str">
            <v>Không</v>
          </cell>
          <cell r="P36" t="str">
            <v>Việt Nam</v>
          </cell>
          <cell r="Q36" t="str">
            <v>12/12</v>
          </cell>
          <cell r="S36" t="str">
            <v>Xã Vân Sơn, huyện Triệu Sơn, tỉnh Thanh Hóa</v>
          </cell>
          <cell r="T36" t="str">
            <v>Xã Vân Sơn, huyện Triệu Sơn, tỉnh Thanh Hóa</v>
          </cell>
          <cell r="U36" t="str">
            <v>Thôn Ân Mộc, xã Dân Lực, huyện Triệu Sơn, tỉnh Thanh Hóa</v>
          </cell>
          <cell r="V36" t="str">
            <v>0389904395</v>
          </cell>
          <cell r="W36">
            <v>3821949823</v>
          </cell>
          <cell r="Z36" t="str">
            <v>DN4383821949823</v>
          </cell>
          <cell r="AA36">
            <v>8024129871</v>
          </cell>
          <cell r="AB36" t="str">
            <v>CAO THI MAI</v>
          </cell>
          <cell r="AC36" t="str">
            <v>0001015543805</v>
          </cell>
          <cell r="AD36" t="str">
            <v>107871991253</v>
          </cell>
          <cell r="AE36">
            <v>43983</v>
          </cell>
          <cell r="AF36" t="str">
            <v>1 năm 9 tháng 5 ngày</v>
          </cell>
          <cell r="AG36">
            <v>43983</v>
          </cell>
          <cell r="AH36">
            <v>44044</v>
          </cell>
          <cell r="AK36" t="str">
            <v>Công nhân vận hành máy may công nghiệp</v>
          </cell>
          <cell r="AN36">
            <v>3876000</v>
          </cell>
          <cell r="AO36">
            <v>3470000</v>
          </cell>
        </row>
        <row r="37">
          <cell r="E37">
            <v>50035</v>
          </cell>
          <cell r="F37" t="str">
            <v>Nguyễn Thị Toán</v>
          </cell>
          <cell r="G37">
            <v>32702</v>
          </cell>
          <cell r="H37">
            <v>32</v>
          </cell>
          <cell r="J37" t="str">
            <v>x</v>
          </cell>
          <cell r="K37" t="str">
            <v>038189014831</v>
          </cell>
          <cell r="L37">
            <v>43797</v>
          </cell>
          <cell r="M37" t="str">
            <v>Cục quản lý dân cư</v>
          </cell>
          <cell r="N37" t="str">
            <v>Kinh</v>
          </cell>
          <cell r="O37" t="str">
            <v>Không</v>
          </cell>
          <cell r="P37" t="str">
            <v>Việt Nam</v>
          </cell>
          <cell r="Q37" t="str">
            <v>9/12</v>
          </cell>
          <cell r="S37" t="str">
            <v>Xã Dân Lực, huyện Triệu Sơn, tỉnh Thanh Hóa</v>
          </cell>
          <cell r="T37" t="str">
            <v>Xã Dân Lực, huyện Triệu Sơn, tỉnh Thanh Hóa</v>
          </cell>
          <cell r="U37" t="str">
            <v>Thôn Ân Mộc, xã Dân Lực, huyện Triệu Sơn, tỉnh Thanh Hóa</v>
          </cell>
          <cell r="V37" t="str">
            <v>0389552991</v>
          </cell>
          <cell r="W37">
            <v>3821887728</v>
          </cell>
          <cell r="X37" t="str">
            <v>BHXH huyện Quảng Xương</v>
          </cell>
          <cell r="Z37" t="str">
            <v>DN4383821887728</v>
          </cell>
          <cell r="AA37" t="str">
            <v>8678698227</v>
          </cell>
          <cell r="AB37" t="str">
            <v>NGUYEN THI TOAN</v>
          </cell>
          <cell r="AC37" t="str">
            <v>0001015543960</v>
          </cell>
          <cell r="AD37" t="str">
            <v>106871991254</v>
          </cell>
          <cell r="AE37">
            <v>43983</v>
          </cell>
          <cell r="AF37" t="str">
            <v>1 năm 9 tháng 5 ngày</v>
          </cell>
          <cell r="AG37">
            <v>43983</v>
          </cell>
          <cell r="AH37">
            <v>44044</v>
          </cell>
          <cell r="AK37" t="str">
            <v>Công nhân vận hành máy may công nghiệp</v>
          </cell>
          <cell r="AN37">
            <v>3876000</v>
          </cell>
          <cell r="AO37">
            <v>3470000</v>
          </cell>
        </row>
        <row r="38">
          <cell r="E38">
            <v>50038</v>
          </cell>
          <cell r="F38" t="str">
            <v>Phạm Văn Định</v>
          </cell>
          <cell r="G38">
            <v>36346</v>
          </cell>
          <cell r="H38">
            <v>22</v>
          </cell>
          <cell r="I38" t="str">
            <v>x</v>
          </cell>
          <cell r="K38" t="str">
            <v>038099013277</v>
          </cell>
          <cell r="L38">
            <v>43060</v>
          </cell>
          <cell r="M38" t="str">
            <v>Cục quản lý dân cư</v>
          </cell>
          <cell r="N38" t="str">
            <v>Kinh</v>
          </cell>
          <cell r="O38" t="str">
            <v>Không</v>
          </cell>
          <cell r="P38" t="str">
            <v>Việt Nam</v>
          </cell>
          <cell r="Q38" t="str">
            <v>Sơ cấp</v>
          </cell>
          <cell r="R38" t="str">
            <v>Sữa chữa máy may cn</v>
          </cell>
          <cell r="S38" t="str">
            <v>Xã Dân Lực, huyện Triệu Sơn, tỉnh Thanh Hóa</v>
          </cell>
          <cell r="T38" t="str">
            <v>Xã Dân Lực, huyện Triệu Sơn, tỉnh Thanh Hóa</v>
          </cell>
          <cell r="U38" t="str">
            <v>Thôn Đô Xá, xã Dân Lực, huyện Triệu Sơn, tỉnh Thanh Hóa</v>
          </cell>
          <cell r="V38" t="str">
            <v>0378581770</v>
          </cell>
          <cell r="W38">
            <v>3821849774</v>
          </cell>
          <cell r="X38" t="str">
            <v>BHXH huyện Quảng Xương</v>
          </cell>
          <cell r="Z38" t="str">
            <v>DN4383821849774</v>
          </cell>
          <cell r="AA38">
            <v>8610324497</v>
          </cell>
          <cell r="AB38" t="str">
            <v>PHAM VAN DINH</v>
          </cell>
          <cell r="AC38">
            <v>1016242448</v>
          </cell>
          <cell r="AE38">
            <v>43983</v>
          </cell>
          <cell r="AF38" t="str">
            <v>1 năm 9 tháng 5 ngày</v>
          </cell>
          <cell r="AG38">
            <v>43983</v>
          </cell>
          <cell r="AH38">
            <v>44044</v>
          </cell>
          <cell r="AK38" t="str">
            <v>Công nhân vận hành máy may công nghiệp</v>
          </cell>
          <cell r="AN38">
            <v>3876000</v>
          </cell>
          <cell r="AO38">
            <v>3470000</v>
          </cell>
        </row>
        <row r="39">
          <cell r="E39">
            <v>50039</v>
          </cell>
          <cell r="F39" t="str">
            <v>Lê Khắc Phong</v>
          </cell>
          <cell r="G39">
            <v>33484</v>
          </cell>
          <cell r="H39">
            <v>30</v>
          </cell>
          <cell r="I39" t="str">
            <v>x</v>
          </cell>
          <cell r="K39" t="str">
            <v>038091018467</v>
          </cell>
          <cell r="L39">
            <v>43817</v>
          </cell>
          <cell r="M39" t="str">
            <v>Cục quản lý dân cư</v>
          </cell>
          <cell r="N39" t="str">
            <v>Kinh</v>
          </cell>
          <cell r="O39" t="str">
            <v>Không</v>
          </cell>
          <cell r="P39" t="str">
            <v>Việt Nam</v>
          </cell>
          <cell r="Q39" t="str">
            <v>12/12</v>
          </cell>
          <cell r="S39" t="str">
            <v>Xã Thọ Vực, huyện Triệu Sơn, tỉnh Thanh Hóa</v>
          </cell>
          <cell r="T39" t="str">
            <v>Xã Thọ Vực, huyện Triệu Sơn, tỉnh Thanh Hóa</v>
          </cell>
          <cell r="U39" t="str">
            <v>Thôn 3, xã Thọ Vực, huyện Triệu Sơn, tỉnh Thanh Hóa</v>
          </cell>
          <cell r="V39" t="str">
            <v>0934156897</v>
          </cell>
          <cell r="W39">
            <v>7516101169</v>
          </cell>
          <cell r="Z39" t="str">
            <v>DN4387516101169</v>
          </cell>
          <cell r="AA39" t="str">
            <v>8678698259</v>
          </cell>
          <cell r="AB39" t="str">
            <v>LE KHAC PHONG</v>
          </cell>
          <cell r="AC39" t="str">
            <v>0001015544139</v>
          </cell>
          <cell r="AD39" t="str">
            <v>105871991255</v>
          </cell>
          <cell r="AE39">
            <v>43983</v>
          </cell>
          <cell r="AF39" t="str">
            <v>1 năm 9 tháng 5 ngày</v>
          </cell>
          <cell r="AG39">
            <v>43983</v>
          </cell>
          <cell r="AH39">
            <v>44044</v>
          </cell>
          <cell r="AK39" t="str">
            <v>Công nhân vận hành máy may công nghiệp</v>
          </cell>
          <cell r="AN39">
            <v>3876000</v>
          </cell>
          <cell r="AO39">
            <v>3470000</v>
          </cell>
        </row>
        <row r="40">
          <cell r="E40">
            <v>50041</v>
          </cell>
          <cell r="F40" t="str">
            <v>Đặng Văn Tá</v>
          </cell>
          <cell r="G40">
            <v>35068</v>
          </cell>
          <cell r="H40">
            <v>26</v>
          </cell>
          <cell r="I40" t="str">
            <v>x</v>
          </cell>
          <cell r="K40" t="str">
            <v>038096001842</v>
          </cell>
          <cell r="L40">
            <v>42697</v>
          </cell>
          <cell r="M40" t="str">
            <v>Cục quản lý dân cư</v>
          </cell>
          <cell r="N40" t="str">
            <v>Kinh</v>
          </cell>
          <cell r="O40" t="str">
            <v>Không</v>
          </cell>
          <cell r="P40" t="str">
            <v>Việt Nam</v>
          </cell>
          <cell r="Q40" t="str">
            <v>Sơ cấp</v>
          </cell>
          <cell r="R40" t="str">
            <v>Sữa chữa máy may cn</v>
          </cell>
          <cell r="S40" t="str">
            <v>Xã Thọ Thế, huyện Triệu Sơn, tỉnh Thanh Hóa</v>
          </cell>
          <cell r="T40" t="str">
            <v>Xã Thọ Thế, huyện Triệu Sơn, tỉnh Thanh Hóa</v>
          </cell>
          <cell r="U40" t="str">
            <v>Thôn 5, Xã Thọ Thế, huyện Triệu Sơn, tỉnh Thanh Hóa</v>
          </cell>
          <cell r="V40" t="str">
            <v>0972724279</v>
          </cell>
          <cell r="W40">
            <v>3821905315</v>
          </cell>
          <cell r="Z40" t="str">
            <v>DN4383821905315</v>
          </cell>
          <cell r="AA40" t="str">
            <v>8678698347</v>
          </cell>
          <cell r="AB40" t="str">
            <v>DANG VAN TA</v>
          </cell>
          <cell r="AC40" t="str">
            <v>0001015547043</v>
          </cell>
          <cell r="AD40" t="str">
            <v>103871991257</v>
          </cell>
          <cell r="AE40">
            <v>43983</v>
          </cell>
          <cell r="AF40" t="str">
            <v>1 năm 9 tháng 5 ngày</v>
          </cell>
          <cell r="AG40">
            <v>43983</v>
          </cell>
          <cell r="AH40">
            <v>44044</v>
          </cell>
          <cell r="AK40" t="str">
            <v>Công nhân vận hành máy may công nghiệp</v>
          </cell>
          <cell r="AN40">
            <v>3876000</v>
          </cell>
          <cell r="AO40">
            <v>3470000</v>
          </cell>
        </row>
        <row r="41">
          <cell r="E41">
            <v>50043</v>
          </cell>
          <cell r="F41" t="str">
            <v>Vũ Văn Trường</v>
          </cell>
          <cell r="G41">
            <v>36748</v>
          </cell>
          <cell r="H41">
            <v>21</v>
          </cell>
          <cell r="I41" t="str">
            <v>x</v>
          </cell>
          <cell r="K41" t="str">
            <v>038200011696</v>
          </cell>
          <cell r="L41">
            <v>43557</v>
          </cell>
          <cell r="M41" t="str">
            <v>Cục quản lý dân cư</v>
          </cell>
          <cell r="N41" t="str">
            <v>Kinh</v>
          </cell>
          <cell r="O41" t="str">
            <v>Không</v>
          </cell>
          <cell r="P41" t="str">
            <v>Việt Nam</v>
          </cell>
          <cell r="Q41" t="str">
            <v>12/12</v>
          </cell>
          <cell r="S41" t="str">
            <v>Xã Thọ Tân, huyện Triệu Sơn, tỉnh Thanh Hóa</v>
          </cell>
          <cell r="T41" t="str">
            <v>Xã Thọ Tân, huyện Triệu Sơn, tỉnh Thanh Hóa</v>
          </cell>
          <cell r="U41" t="str">
            <v>Thôn 3, xã Thọ Tân, huyện Triệu Sơn, tỉnh Thanh Hóa</v>
          </cell>
          <cell r="V41" t="str">
            <v>0332249600</v>
          </cell>
          <cell r="W41">
            <v>3821952100</v>
          </cell>
          <cell r="X41" t="str">
            <v>BHXH huyện Quảng Xương</v>
          </cell>
          <cell r="Z41" t="str">
            <v>DN4383821952100</v>
          </cell>
          <cell r="AA41" t="str">
            <v>8678698386</v>
          </cell>
          <cell r="AB41" t="str">
            <v>VU VAN TRUONG</v>
          </cell>
          <cell r="AC41" t="str">
            <v>0001015538037</v>
          </cell>
          <cell r="AD41" t="str">
            <v>101871991259</v>
          </cell>
          <cell r="AE41">
            <v>43983</v>
          </cell>
          <cell r="AF41" t="str">
            <v>1 năm 9 tháng 5 ngày</v>
          </cell>
          <cell r="AG41">
            <v>43983</v>
          </cell>
          <cell r="AH41">
            <v>44044</v>
          </cell>
          <cell r="AK41" t="str">
            <v>Công nhân cắt công nghiệp</v>
          </cell>
          <cell r="AN41">
            <v>3876000</v>
          </cell>
          <cell r="AO41">
            <v>3470000</v>
          </cell>
        </row>
        <row r="42">
          <cell r="E42">
            <v>50044</v>
          </cell>
          <cell r="F42" t="str">
            <v>Hoàng Ngọc Vinh</v>
          </cell>
          <cell r="G42">
            <v>37209</v>
          </cell>
          <cell r="H42">
            <v>20</v>
          </cell>
          <cell r="I42" t="str">
            <v>x</v>
          </cell>
          <cell r="K42" t="str">
            <v>038201016265</v>
          </cell>
          <cell r="L42">
            <v>43402</v>
          </cell>
          <cell r="M42" t="str">
            <v>Cục quản lý dân cư</v>
          </cell>
          <cell r="N42" t="str">
            <v>Kinh</v>
          </cell>
          <cell r="O42" t="str">
            <v>Không</v>
          </cell>
          <cell r="P42" t="str">
            <v>Việt Nam</v>
          </cell>
          <cell r="Q42" t="str">
            <v>12/12</v>
          </cell>
          <cell r="S42" t="str">
            <v>Xã Dân Lực, huyện Triệu Sơn, tỉnh Thanh Hóa</v>
          </cell>
          <cell r="T42" t="str">
            <v>Xã Dân Lực, huyện Triệu Sơn, tỉnh Thanh Hóa</v>
          </cell>
          <cell r="U42" t="str">
            <v>Thôn Tiên Mộc, xã Dân Lực, huyện Triệu Sơn, tỉnh Thanh Hóa</v>
          </cell>
          <cell r="V42" t="str">
            <v>0947014136</v>
          </cell>
          <cell r="W42">
            <v>3822023752</v>
          </cell>
          <cell r="Y42" t="str">
            <v>Chưa có bìa sổ</v>
          </cell>
          <cell r="Z42" t="str">
            <v>DN4383822023752</v>
          </cell>
          <cell r="AA42">
            <v>8650076145</v>
          </cell>
          <cell r="AB42" t="str">
            <v>HOANG NGOC VINH</v>
          </cell>
          <cell r="AC42" t="str">
            <v>0001015538535</v>
          </cell>
          <cell r="AD42" t="str">
            <v>102871991260</v>
          </cell>
          <cell r="AE42">
            <v>43983</v>
          </cell>
          <cell r="AF42" t="str">
            <v>1 năm 9 tháng 5 ngày</v>
          </cell>
          <cell r="AG42">
            <v>43983</v>
          </cell>
          <cell r="AH42">
            <v>44044</v>
          </cell>
          <cell r="AK42" t="str">
            <v>Công nhân kiểm hóa công nghiệp</v>
          </cell>
          <cell r="AN42">
            <v>3876000</v>
          </cell>
          <cell r="AO42">
            <v>3470000</v>
          </cell>
        </row>
        <row r="43">
          <cell r="E43">
            <v>50046</v>
          </cell>
          <cell r="F43" t="str">
            <v>Lê Thị Thiệp</v>
          </cell>
          <cell r="G43">
            <v>33040</v>
          </cell>
          <cell r="H43">
            <v>31</v>
          </cell>
          <cell r="J43" t="str">
            <v>x</v>
          </cell>
          <cell r="K43">
            <v>173104240</v>
          </cell>
          <cell r="L43">
            <v>39465</v>
          </cell>
          <cell r="M43" t="str">
            <v>Công an Thanh Hóa</v>
          </cell>
          <cell r="N43" t="str">
            <v>Kinh</v>
          </cell>
          <cell r="O43" t="str">
            <v>Không</v>
          </cell>
          <cell r="P43" t="str">
            <v>Việt Nam</v>
          </cell>
          <cell r="Q43" t="str">
            <v>12/12</v>
          </cell>
          <cell r="S43" t="str">
            <v>Xã Quang Hiến, huyện Lang Chánh, tỉnh Thanh Hóa</v>
          </cell>
          <cell r="T43" t="str">
            <v>Xã Quang Hiến, huyện Lang Chánh, tỉnh Thanh Hóa</v>
          </cell>
          <cell r="U43" t="str">
            <v>Thôn Thiện Chính, xã Dân Lực, huyện Triệu Sơn, tỉnh Thanh Hóa</v>
          </cell>
          <cell r="V43" t="str">
            <v>0333956118</v>
          </cell>
          <cell r="W43">
            <v>7910253714</v>
          </cell>
          <cell r="Z43" t="str">
            <v>DN4387910253714</v>
          </cell>
          <cell r="AA43">
            <v>8030416747</v>
          </cell>
          <cell r="AB43" t="str">
            <v>LE THI THIEP</v>
          </cell>
          <cell r="AC43" t="str">
            <v>0001015547826</v>
          </cell>
          <cell r="AD43" t="str">
            <v>100871991262</v>
          </cell>
          <cell r="AE43">
            <v>43983</v>
          </cell>
          <cell r="AF43" t="str">
            <v>1 năm 9 tháng 5 ngày</v>
          </cell>
          <cell r="AG43">
            <v>43983</v>
          </cell>
          <cell r="AH43">
            <v>44044</v>
          </cell>
          <cell r="AK43" t="str">
            <v>Công nhân vận hành máy may công nghiệp</v>
          </cell>
          <cell r="AN43">
            <v>3876000</v>
          </cell>
          <cell r="AO43">
            <v>3470000</v>
          </cell>
        </row>
        <row r="44">
          <cell r="E44">
            <v>50047</v>
          </cell>
          <cell r="F44" t="str">
            <v>Lê Thị Nhuận</v>
          </cell>
          <cell r="G44">
            <v>32028</v>
          </cell>
          <cell r="H44">
            <v>34</v>
          </cell>
          <cell r="J44" t="str">
            <v>x</v>
          </cell>
          <cell r="K44">
            <v>172189883</v>
          </cell>
          <cell r="L44">
            <v>40240</v>
          </cell>
          <cell r="M44" t="str">
            <v>Công an Thanh Hóa</v>
          </cell>
          <cell r="N44" t="str">
            <v>Kinh</v>
          </cell>
          <cell r="O44" t="str">
            <v>Không</v>
          </cell>
          <cell r="P44" t="str">
            <v>Việt Nam</v>
          </cell>
          <cell r="Q44" t="str">
            <v>9/12</v>
          </cell>
          <cell r="S44" t="str">
            <v>Xã Hải Nhân, huyện Tĩnh Gia, tỉnh Thanh Hóa</v>
          </cell>
          <cell r="T44" t="str">
            <v>Xã Hải Nhân, huyện Tĩnh Gia, tỉnh Thanh Hóa</v>
          </cell>
          <cell r="U44" t="str">
            <v>Thôn Ân Mộc, xã Dân Lực, huyện Triệu Sơn, tỉnh Thanh Hóa</v>
          </cell>
          <cell r="V44" t="str">
            <v>0355717888</v>
          </cell>
          <cell r="W44" t="str">
            <v>7409132263</v>
          </cell>
          <cell r="Y44" t="str">
            <v>Chưa có bìa sổ</v>
          </cell>
          <cell r="Z44" t="str">
            <v>DN4387409132263</v>
          </cell>
          <cell r="AA44" t="e">
            <v>#N/A</v>
          </cell>
          <cell r="AB44" t="str">
            <v>LE THI NHUAN</v>
          </cell>
          <cell r="AC44" t="str">
            <v>0001015548243</v>
          </cell>
          <cell r="AD44" t="str">
            <v>109871991263</v>
          </cell>
          <cell r="AE44">
            <v>43983</v>
          </cell>
          <cell r="AF44" t="str">
            <v>1 năm 9 tháng 5 ngày</v>
          </cell>
          <cell r="AG44">
            <v>44257</v>
          </cell>
          <cell r="AH44">
            <v>44317</v>
          </cell>
          <cell r="AK44" t="str">
            <v>Công nhân kiểm hoá công nghiệp</v>
          </cell>
          <cell r="AN44">
            <v>3876000</v>
          </cell>
          <cell r="AO44">
            <v>3470000</v>
          </cell>
        </row>
        <row r="45">
          <cell r="E45">
            <v>50048</v>
          </cell>
          <cell r="F45" t="str">
            <v>Nguyễn Hữu Minh</v>
          </cell>
          <cell r="G45">
            <v>36472</v>
          </cell>
          <cell r="H45">
            <v>22</v>
          </cell>
          <cell r="I45" t="str">
            <v>x</v>
          </cell>
          <cell r="K45" t="str">
            <v>038099007761</v>
          </cell>
          <cell r="L45">
            <v>42740</v>
          </cell>
          <cell r="M45" t="str">
            <v>Cục quản lý dân cư</v>
          </cell>
          <cell r="N45" t="str">
            <v>Kinh</v>
          </cell>
          <cell r="O45" t="str">
            <v>Không</v>
          </cell>
          <cell r="P45" t="str">
            <v>Việt Nam</v>
          </cell>
          <cell r="Q45" t="str">
            <v>12/12</v>
          </cell>
          <cell r="S45" t="str">
            <v>Xã Dân Lực, huyện Triệu Sơn, tỉnh Thanh Hóa</v>
          </cell>
          <cell r="T45" t="str">
            <v>Xã Dân Lực, huyện Triệu Sơn, tỉnh Thanh Hóa</v>
          </cell>
          <cell r="U45" t="str">
            <v>Thôn Ân Mộc, xã Dân Lực, huyện Triệu Sơn, tỉnh Thanh Hóa</v>
          </cell>
          <cell r="V45" t="str">
            <v>0964862458</v>
          </cell>
          <cell r="W45">
            <v>3824432067</v>
          </cell>
          <cell r="Z45" t="str">
            <v>DN4383824432067</v>
          </cell>
          <cell r="AA45">
            <v>8554037591</v>
          </cell>
          <cell r="AB45" t="str">
            <v>NGUYEN HUU MINH</v>
          </cell>
          <cell r="AC45" t="str">
            <v>0001015548443</v>
          </cell>
          <cell r="AD45" t="str">
            <v>108871991264</v>
          </cell>
          <cell r="AE45">
            <v>43983</v>
          </cell>
          <cell r="AF45" t="str">
            <v>1 năm 9 tháng 5 ngày</v>
          </cell>
          <cell r="AG45">
            <v>44105</v>
          </cell>
          <cell r="AH45">
            <v>44166</v>
          </cell>
          <cell r="AK45" t="str">
            <v>Công nhân vận hành máy may công nghiệp</v>
          </cell>
          <cell r="AN45">
            <v>3876000</v>
          </cell>
          <cell r="AO45">
            <v>3470000</v>
          </cell>
        </row>
        <row r="46">
          <cell r="E46">
            <v>50049</v>
          </cell>
          <cell r="F46" t="str">
            <v>Lê Thị Quỳnh</v>
          </cell>
          <cell r="G46">
            <v>34979</v>
          </cell>
          <cell r="H46">
            <v>26</v>
          </cell>
          <cell r="J46" t="str">
            <v>x</v>
          </cell>
          <cell r="K46">
            <v>173895022</v>
          </cell>
          <cell r="L46">
            <v>40378</v>
          </cell>
          <cell r="M46" t="str">
            <v>Công an Thanh Hóa</v>
          </cell>
          <cell r="N46" t="str">
            <v>Kinh</v>
          </cell>
          <cell r="O46" t="str">
            <v>Không</v>
          </cell>
          <cell r="P46" t="str">
            <v>Việt Nam</v>
          </cell>
          <cell r="Q46" t="str">
            <v>9/12</v>
          </cell>
          <cell r="S46" t="str">
            <v>Xã Đông Hoàng, huyện Đông Sơn, tỉnh Thanh Hóa</v>
          </cell>
          <cell r="T46" t="str">
            <v>Xã Đông Hoàng, huyện Đông Sơn, tỉnh Thanh Hóa</v>
          </cell>
          <cell r="U46" t="str">
            <v>Thôn Xuân Tiên, xã Dân Lực, huyện Triệu Sơn, tỉnh Thanh Hóa</v>
          </cell>
          <cell r="V46" t="str">
            <v>0981406209</v>
          </cell>
          <cell r="W46">
            <v>3823112893</v>
          </cell>
          <cell r="Z46" t="str">
            <v>DN438 3823112893</v>
          </cell>
          <cell r="AA46">
            <v>8357206811</v>
          </cell>
          <cell r="AB46" t="str">
            <v>LE THI QUYNH</v>
          </cell>
          <cell r="AC46" t="str">
            <v>0001015548853</v>
          </cell>
          <cell r="AD46" t="str">
            <v>107871991265</v>
          </cell>
          <cell r="AE46">
            <v>43983</v>
          </cell>
          <cell r="AF46" t="str">
            <v>1 năm 9 tháng 5 ngày</v>
          </cell>
          <cell r="AG46">
            <v>43983</v>
          </cell>
          <cell r="AH46">
            <v>44044</v>
          </cell>
          <cell r="AK46" t="str">
            <v>Công nhân vận hành máy may công nghiệp</v>
          </cell>
          <cell r="AN46">
            <v>3876000</v>
          </cell>
          <cell r="AO46">
            <v>3470000</v>
          </cell>
        </row>
        <row r="47">
          <cell r="E47">
            <v>50056</v>
          </cell>
          <cell r="F47" t="str">
            <v>Lê Thị Lương</v>
          </cell>
          <cell r="G47">
            <v>31100</v>
          </cell>
          <cell r="H47">
            <v>37</v>
          </cell>
          <cell r="J47" t="str">
            <v>x</v>
          </cell>
          <cell r="K47">
            <v>125900022</v>
          </cell>
          <cell r="L47">
            <v>42590</v>
          </cell>
          <cell r="M47" t="str">
            <v>Công an Bắc Ninh</v>
          </cell>
          <cell r="N47" t="str">
            <v>Kinh</v>
          </cell>
          <cell r="O47" t="str">
            <v>Không</v>
          </cell>
          <cell r="P47" t="str">
            <v>Việt Nam</v>
          </cell>
          <cell r="Q47" t="str">
            <v>9/12</v>
          </cell>
          <cell r="S47" t="str">
            <v>Xã Dân Quyền, huyện Triệu Sơn, tỉnh Thanh Hóa</v>
          </cell>
          <cell r="T47" t="str">
            <v>Xã Dân Quyền, huyện Triệu Sơn, tỉnh Thanh Hóa</v>
          </cell>
          <cell r="U47" t="str">
            <v>Phù Lãng, Quế Võ, Bắc Ninh</v>
          </cell>
          <cell r="V47" t="str">
            <v>0336657718</v>
          </cell>
          <cell r="W47">
            <v>2720462574</v>
          </cell>
          <cell r="Z47" t="str">
            <v>DN4382720462574</v>
          </cell>
          <cell r="AA47">
            <v>8619689277</v>
          </cell>
          <cell r="AB47" t="str">
            <v>LE THI LUONG</v>
          </cell>
          <cell r="AC47" t="str">
            <v>0001015538709</v>
          </cell>
          <cell r="AD47" t="str">
            <v>104871991268</v>
          </cell>
          <cell r="AE47">
            <v>43983</v>
          </cell>
          <cell r="AF47" t="str">
            <v>1 năm 9 tháng 5 ngày</v>
          </cell>
          <cell r="AH47">
            <v>44013</v>
          </cell>
          <cell r="AK47" t="str">
            <v>Công nhân vận hành máy may công nghiệp</v>
          </cell>
          <cell r="AN47">
            <v>3876000</v>
          </cell>
          <cell r="AO47">
            <v>3470000</v>
          </cell>
        </row>
        <row r="48">
          <cell r="E48">
            <v>50060</v>
          </cell>
          <cell r="F48" t="str">
            <v>Lê Thị Vân</v>
          </cell>
          <cell r="G48">
            <v>35266</v>
          </cell>
          <cell r="H48">
            <v>25</v>
          </cell>
          <cell r="J48" t="str">
            <v>x</v>
          </cell>
          <cell r="K48">
            <v>174717969</v>
          </cell>
          <cell r="L48">
            <v>41293</v>
          </cell>
          <cell r="M48" t="str">
            <v>Công an Thanh Hóa</v>
          </cell>
          <cell r="N48" t="str">
            <v>Kinh</v>
          </cell>
          <cell r="O48" t="str">
            <v>Không</v>
          </cell>
          <cell r="P48" t="str">
            <v>Việt Nam</v>
          </cell>
          <cell r="Q48" t="str">
            <v>Đại học</v>
          </cell>
          <cell r="R48" t="str">
            <v>Công nghệ kỹ thuật hóa học</v>
          </cell>
          <cell r="S48" t="str">
            <v>Xã Quảng Hòa, huyện Quảng Xương, tỉnh Thanh Hóa</v>
          </cell>
          <cell r="T48" t="str">
            <v>Xã Quảng Hòa, huyện Quảng Xương, tỉnh Thanh Hóa</v>
          </cell>
          <cell r="U48" t="str">
            <v>Thôn Thái Yên, xã Thái Hòa, huyện Triệu Sơn, tỉnh Thanh Hóa</v>
          </cell>
          <cell r="V48" t="str">
            <v>0973734750</v>
          </cell>
          <cell r="W48">
            <v>3823294892</v>
          </cell>
          <cell r="Z48" t="str">
            <v>DN4383823294892</v>
          </cell>
          <cell r="AA48">
            <v>8535431183</v>
          </cell>
          <cell r="AB48" t="str">
            <v>LE THI VAN</v>
          </cell>
          <cell r="AC48" t="str">
            <v>0001015535808</v>
          </cell>
          <cell r="AD48" t="str">
            <v>105871991270</v>
          </cell>
          <cell r="AE48">
            <v>43984</v>
          </cell>
          <cell r="AF48" t="str">
            <v>1 năm 9 tháng 4 ngày</v>
          </cell>
          <cell r="AH48">
            <v>44044</v>
          </cell>
          <cell r="AK48" t="str">
            <v>Công nhân vận hành máy may công nghiệp</v>
          </cell>
          <cell r="AN48">
            <v>3876000</v>
          </cell>
          <cell r="AO48">
            <v>3470000</v>
          </cell>
        </row>
        <row r="49">
          <cell r="E49">
            <v>50062</v>
          </cell>
          <cell r="F49" t="str">
            <v>Nguyễn Thị Chung</v>
          </cell>
          <cell r="G49">
            <v>27473</v>
          </cell>
          <cell r="H49">
            <v>46</v>
          </cell>
          <cell r="J49" t="str">
            <v>x</v>
          </cell>
          <cell r="K49" t="str">
            <v>038175001910</v>
          </cell>
          <cell r="L49">
            <v>42671</v>
          </cell>
          <cell r="M49" t="str">
            <v>Cục quản lý dân cư</v>
          </cell>
          <cell r="N49" t="str">
            <v>Kinh</v>
          </cell>
          <cell r="O49" t="str">
            <v>Không</v>
          </cell>
          <cell r="P49" t="str">
            <v>Việt Nam</v>
          </cell>
          <cell r="Q49" t="str">
            <v>9/12</v>
          </cell>
          <cell r="S49" t="str">
            <v>Xã Dân Lực, huyện Triệu Sơn, tỉnh Thanh Hóa</v>
          </cell>
          <cell r="T49" t="str">
            <v>Xã Dân Lực, huyện Triệu Sơn, tỉnh Thanh Hóa</v>
          </cell>
          <cell r="U49" t="str">
            <v>Thôn Ân Mộc, xã Dân Lực, huyện Triệu Sơn, tỉnh Thanh Hóa</v>
          </cell>
          <cell r="V49" t="str">
            <v>0335792442</v>
          </cell>
          <cell r="W49">
            <v>3821852742</v>
          </cell>
          <cell r="X49" t="str">
            <v>BHXH huyện Quảng Xương</v>
          </cell>
          <cell r="Z49" t="str">
            <v>DN4383821852742</v>
          </cell>
          <cell r="AA49">
            <v>8669918701</v>
          </cell>
          <cell r="AB49" t="str">
            <v>NGUYEN THI CHUNG</v>
          </cell>
          <cell r="AC49" t="str">
            <v>0001015536650</v>
          </cell>
          <cell r="AD49" t="str">
            <v>104871991271</v>
          </cell>
          <cell r="AE49">
            <v>43990</v>
          </cell>
          <cell r="AF49" t="str">
            <v>1 năm 8 tháng 26 ngày</v>
          </cell>
          <cell r="AH49">
            <v>44044</v>
          </cell>
          <cell r="AK49" t="str">
            <v>Công nhân vận hành máy may công nghiệp</v>
          </cell>
          <cell r="AN49">
            <v>3876000</v>
          </cell>
          <cell r="AO49">
            <v>3470000</v>
          </cell>
        </row>
        <row r="50">
          <cell r="E50">
            <v>50063</v>
          </cell>
          <cell r="F50" t="str">
            <v>Lê Thị Thủy</v>
          </cell>
          <cell r="G50">
            <v>33805</v>
          </cell>
          <cell r="H50">
            <v>29</v>
          </cell>
          <cell r="J50" t="str">
            <v>x</v>
          </cell>
          <cell r="K50">
            <v>173891438</v>
          </cell>
          <cell r="L50">
            <v>40023</v>
          </cell>
          <cell r="M50" t="str">
            <v>Công an Thanh Hóa</v>
          </cell>
          <cell r="N50" t="str">
            <v>Kinh</v>
          </cell>
          <cell r="O50" t="str">
            <v>Không</v>
          </cell>
          <cell r="P50" t="str">
            <v>Việt Nam</v>
          </cell>
          <cell r="Q50" t="str">
            <v>12/12</v>
          </cell>
          <cell r="S50" t="str">
            <v>Xã Đông Ninh, huyện Đông Sơn, tỉnh Thanh Hóa</v>
          </cell>
          <cell r="T50" t="str">
            <v>Xã Đông Ninh, huyện Đông Sơn, tỉnh Thanh Hóa</v>
          </cell>
          <cell r="U50" t="str">
            <v>Thôn Tân Dân, Thị Trấn Triệu Sơn, huyện Triệu Sơn, tỉnh Thanh Hóa</v>
          </cell>
          <cell r="V50" t="str">
            <v>0394077432</v>
          </cell>
          <cell r="W50" t="str">
            <v>2715075055</v>
          </cell>
          <cell r="Y50" t="str">
            <v>Chưa có bìa sổ</v>
          </cell>
          <cell r="Z50" t="str">
            <v>DN4382715075055</v>
          </cell>
          <cell r="AA50">
            <v>8093128773</v>
          </cell>
          <cell r="AB50" t="str">
            <v>LE THI THUY</v>
          </cell>
          <cell r="AC50" t="str">
            <v>0001015538928</v>
          </cell>
          <cell r="AD50" t="str">
            <v>108001988359</v>
          </cell>
          <cell r="AE50">
            <v>43990</v>
          </cell>
          <cell r="AF50" t="str">
            <v>1 năm 8 tháng 26 ngày</v>
          </cell>
          <cell r="AH50">
            <v>44044</v>
          </cell>
          <cell r="AK50" t="str">
            <v>Công nhân vận hành máy may công nghiệp</v>
          </cell>
          <cell r="AN50">
            <v>3876000</v>
          </cell>
          <cell r="AO50">
            <v>3470000</v>
          </cell>
        </row>
        <row r="51">
          <cell r="E51">
            <v>50070</v>
          </cell>
          <cell r="F51" t="str">
            <v>Nguyễn Viết Hoàng</v>
          </cell>
          <cell r="G51">
            <v>36071</v>
          </cell>
          <cell r="H51">
            <v>23</v>
          </cell>
          <cell r="I51" t="str">
            <v>x</v>
          </cell>
          <cell r="K51" t="str">
            <v>038098000215</v>
          </cell>
          <cell r="L51">
            <v>42438</v>
          </cell>
          <cell r="M51" t="str">
            <v>Cục quản lý dân cư</v>
          </cell>
          <cell r="N51" t="str">
            <v>Kinh</v>
          </cell>
          <cell r="O51" t="str">
            <v>Không</v>
          </cell>
          <cell r="P51" t="str">
            <v>Việt Nam</v>
          </cell>
          <cell r="Q51" t="str">
            <v>12/12</v>
          </cell>
          <cell r="S51" t="str">
            <v>Xã Thọ Phú, huyện Triệu Sơn, tỉnh Thanh Hóa</v>
          </cell>
          <cell r="T51" t="str">
            <v>Xã Thọ Phú, huyện Triệu Sơn, tỉnh Thanh Hóa</v>
          </cell>
          <cell r="U51" t="str">
            <v>Xóm 5, Xã Thọ Phú, huyện Triệu Sơn, tỉnh Thanh Hóa</v>
          </cell>
          <cell r="V51" t="str">
            <v>0869572875</v>
          </cell>
          <cell r="W51">
            <v>1916832751</v>
          </cell>
          <cell r="Z51" t="str">
            <v>DN4381916832751</v>
          </cell>
          <cell r="AA51">
            <v>8469110392</v>
          </cell>
          <cell r="AB51" t="str">
            <v>NGUYEN VIET HOANG</v>
          </cell>
          <cell r="AC51">
            <v>1016242852</v>
          </cell>
          <cell r="AD51" t="str">
            <v>109871994066</v>
          </cell>
          <cell r="AE51">
            <v>43994</v>
          </cell>
          <cell r="AF51" t="str">
            <v>1 năm 8 tháng 22 ngày</v>
          </cell>
          <cell r="AG51">
            <v>43994</v>
          </cell>
          <cell r="AH51">
            <v>44075</v>
          </cell>
          <cell r="AK51" t="str">
            <v>Công nhận vận hành máy may công nghiệp</v>
          </cell>
          <cell r="AN51">
            <v>3876000</v>
          </cell>
          <cell r="AO51">
            <v>3470000</v>
          </cell>
        </row>
        <row r="52">
          <cell r="E52">
            <v>50071</v>
          </cell>
          <cell r="F52" t="str">
            <v>Lê Văn Quang</v>
          </cell>
          <cell r="G52">
            <v>32926</v>
          </cell>
          <cell r="H52">
            <v>32</v>
          </cell>
          <cell r="I52" t="str">
            <v>x</v>
          </cell>
          <cell r="K52">
            <v>173523291</v>
          </cell>
          <cell r="L52">
            <v>38904</v>
          </cell>
          <cell r="M52" t="str">
            <v>Công an Thanh Hóa</v>
          </cell>
          <cell r="N52" t="str">
            <v>Kinh</v>
          </cell>
          <cell r="O52" t="str">
            <v>Không</v>
          </cell>
          <cell r="P52" t="str">
            <v>Việt Nam</v>
          </cell>
          <cell r="Q52" t="str">
            <v>9/12</v>
          </cell>
          <cell r="S52" t="str">
            <v>Xã Dân Quyền, huyện Triệu Sơn, tỉnh Thanh Hóa</v>
          </cell>
          <cell r="T52" t="str">
            <v>Xã Dân Quyền, huyện Triệu Sơn, tỉnh Thanh Hóa</v>
          </cell>
          <cell r="U52" t="str">
            <v>Thôn 8, Xã Dân Quyền, huyện Triệu Sơn, tỉnh Thanh Hóa</v>
          </cell>
          <cell r="V52" t="str">
            <v>0346100701</v>
          </cell>
          <cell r="W52">
            <v>7908258854</v>
          </cell>
          <cell r="Z52" t="str">
            <v>DN4387908258854</v>
          </cell>
          <cell r="AA52">
            <v>8468781630</v>
          </cell>
          <cell r="AB52" t="str">
            <v>LE VAN QUANG</v>
          </cell>
          <cell r="AD52" t="str">
            <v>101871991274</v>
          </cell>
          <cell r="AE52">
            <v>43994</v>
          </cell>
          <cell r="AF52" t="str">
            <v>1 năm 8 tháng 22 ngày</v>
          </cell>
          <cell r="AG52">
            <v>43994</v>
          </cell>
          <cell r="AH52">
            <v>44075</v>
          </cell>
          <cell r="AK52" t="str">
            <v>Công nhận vận hành máy may công nghiệp</v>
          </cell>
          <cell r="AN52">
            <v>3876000</v>
          </cell>
          <cell r="AO52">
            <v>3470000</v>
          </cell>
        </row>
        <row r="53">
          <cell r="E53">
            <v>50073</v>
          </cell>
          <cell r="F53" t="str">
            <v>Phạm Thị Loan</v>
          </cell>
          <cell r="G53">
            <v>33739</v>
          </cell>
          <cell r="H53">
            <v>29</v>
          </cell>
          <cell r="J53" t="str">
            <v>x</v>
          </cell>
          <cell r="K53" t="str">
            <v>038192000382</v>
          </cell>
          <cell r="L53">
            <v>42450</v>
          </cell>
          <cell r="M53" t="str">
            <v>Cục quản lý dân cư</v>
          </cell>
          <cell r="N53" t="str">
            <v>Kinh</v>
          </cell>
          <cell r="O53" t="str">
            <v>Không</v>
          </cell>
          <cell r="P53" t="str">
            <v>Việt Nam</v>
          </cell>
          <cell r="Q53" t="str">
            <v>Đại học</v>
          </cell>
          <cell r="R53" t="str">
            <v>Thiết kế đồ họa</v>
          </cell>
          <cell r="S53" t="str">
            <v>Xã Dân Quyền, huyện Triệu Sơn, tỉnh Thanh Hóa</v>
          </cell>
          <cell r="T53" t="str">
            <v>Xã Dân Quyền, huyện Triệu Sơn, tỉnh Thanh Hóa</v>
          </cell>
          <cell r="U53" t="str">
            <v>Thôn 4, xã Dân Quyền, huyện Triệu Sơn, tỉnh Thanh Hóa</v>
          </cell>
          <cell r="V53" t="str">
            <v>0396781094</v>
          </cell>
          <cell r="W53" t="str">
            <v>0116388652</v>
          </cell>
          <cell r="Z53" t="str">
            <v>DN4380116388652</v>
          </cell>
          <cell r="AA53">
            <v>8522555375</v>
          </cell>
          <cell r="AB53" t="str">
            <v>PHAM THI LOAN</v>
          </cell>
          <cell r="AC53" t="str">
            <v>0001015539062</v>
          </cell>
          <cell r="AD53" t="str">
            <v>100871991275</v>
          </cell>
          <cell r="AE53">
            <v>43997</v>
          </cell>
          <cell r="AF53" t="str">
            <v>1 năm 8 tháng 19 ngày</v>
          </cell>
          <cell r="AH53">
            <v>44044</v>
          </cell>
          <cell r="AK53" t="str">
            <v>Công nhân vận hành máy may công nghiệp</v>
          </cell>
          <cell r="AN53">
            <v>3876000</v>
          </cell>
          <cell r="AO53">
            <v>3470000</v>
          </cell>
        </row>
        <row r="54">
          <cell r="E54">
            <v>50075</v>
          </cell>
          <cell r="F54" t="str">
            <v>Phạm Thị Huệ</v>
          </cell>
          <cell r="G54">
            <v>33250</v>
          </cell>
          <cell r="H54">
            <v>31</v>
          </cell>
          <cell r="J54" t="str">
            <v>x</v>
          </cell>
          <cell r="K54">
            <v>173543734</v>
          </cell>
          <cell r="L54">
            <v>39568</v>
          </cell>
          <cell r="M54" t="str">
            <v>Công an Thanh Hóa</v>
          </cell>
          <cell r="N54" t="str">
            <v>Kinh</v>
          </cell>
          <cell r="O54" t="str">
            <v>Không</v>
          </cell>
          <cell r="P54" t="str">
            <v>Việt Nam</v>
          </cell>
          <cell r="Q54" t="str">
            <v>12/12</v>
          </cell>
          <cell r="S54" t="str">
            <v>Xã Hợp Thắng, huyện Triệu Sơn, tỉnh Thanh Hóa</v>
          </cell>
          <cell r="T54" t="str">
            <v>Xã Hợp Thắng, huyện Triệu Sơn, tỉnh Thanh Hóa</v>
          </cell>
          <cell r="U54" t="str">
            <v>Thôn Châu Cương, Xã Hợp Thắng, huyện Triệu Sơn, tỉnh Thanh Hóa</v>
          </cell>
          <cell r="V54" t="str">
            <v>0979016783</v>
          </cell>
          <cell r="W54">
            <v>7916127568</v>
          </cell>
          <cell r="Z54" t="str">
            <v>DN4387916127568</v>
          </cell>
          <cell r="AA54">
            <v>8060713070</v>
          </cell>
          <cell r="AB54" t="str">
            <v>PHAM THI HUE</v>
          </cell>
          <cell r="AC54" t="str">
            <v>0001015539761</v>
          </cell>
          <cell r="AD54">
            <v>100873664546</v>
          </cell>
          <cell r="AE54">
            <v>44000</v>
          </cell>
          <cell r="AF54" t="str">
            <v>1 năm 8 tháng 16 ngày</v>
          </cell>
          <cell r="AH54">
            <v>44075</v>
          </cell>
          <cell r="AK54" t="str">
            <v>Công nhận vận hành máy may công nghiệp</v>
          </cell>
          <cell r="AN54">
            <v>3876000</v>
          </cell>
          <cell r="AO54">
            <v>3470000</v>
          </cell>
        </row>
        <row r="55">
          <cell r="E55">
            <v>50077</v>
          </cell>
          <cell r="F55" t="str">
            <v>Lê Thị Nguyệt</v>
          </cell>
          <cell r="G55">
            <v>29815</v>
          </cell>
          <cell r="H55">
            <v>40</v>
          </cell>
          <cell r="J55" t="str">
            <v>x</v>
          </cell>
          <cell r="K55">
            <v>173545221</v>
          </cell>
          <cell r="L55">
            <v>39583</v>
          </cell>
          <cell r="M55" t="str">
            <v>Công an Thanh Hóa</v>
          </cell>
          <cell r="N55" t="str">
            <v>Kinh</v>
          </cell>
          <cell r="O55" t="str">
            <v>Không</v>
          </cell>
          <cell r="P55" t="str">
            <v>Việt Nam</v>
          </cell>
          <cell r="Q55" t="str">
            <v>7/12</v>
          </cell>
          <cell r="S55" t="str">
            <v>Xã Phượng Nghi, huyện Như Thanh, tỉnh Thanh Hóa</v>
          </cell>
          <cell r="T55" t="str">
            <v>Xã Phượng Nghi, huyện Như Thanh, tỉnh Thanh Hóa</v>
          </cell>
          <cell r="U55" t="str">
            <v>Thôn Sơn Trung, xã Triệu Thành, huyện Triệu Sơn, tỉnh Thanh Hóa</v>
          </cell>
          <cell r="V55" t="str">
            <v>0367346419</v>
          </cell>
          <cell r="W55">
            <v>3821880208</v>
          </cell>
          <cell r="Z55" t="str">
            <v>DN4383821880208</v>
          </cell>
          <cell r="AA55">
            <v>8344836647</v>
          </cell>
          <cell r="AB55" t="str">
            <v>LE THI NGUYET</v>
          </cell>
          <cell r="AC55">
            <v>1016247235</v>
          </cell>
          <cell r="AD55" t="str">
            <v>108871991277</v>
          </cell>
          <cell r="AE55">
            <v>44001</v>
          </cell>
          <cell r="AF55" t="str">
            <v>1 năm 8 tháng 15 ngày</v>
          </cell>
          <cell r="AG55">
            <v>1</v>
          </cell>
          <cell r="AH55">
            <v>44075</v>
          </cell>
          <cell r="AK55" t="str">
            <v>Công nhận vận hành máy may công nghiệp</v>
          </cell>
          <cell r="AN55">
            <v>3876000</v>
          </cell>
          <cell r="AO55">
            <v>3470000</v>
          </cell>
        </row>
        <row r="56">
          <cell r="E56">
            <v>50078</v>
          </cell>
          <cell r="F56" t="str">
            <v>Bùi Thị Dung</v>
          </cell>
          <cell r="G56">
            <v>34521</v>
          </cell>
          <cell r="H56">
            <v>27</v>
          </cell>
          <cell r="J56" t="str">
            <v>x</v>
          </cell>
          <cell r="K56">
            <v>174244325</v>
          </cell>
          <cell r="L56">
            <v>40414</v>
          </cell>
          <cell r="M56" t="str">
            <v>Công an Thanh Hóa</v>
          </cell>
          <cell r="N56" t="str">
            <v>Kinh</v>
          </cell>
          <cell r="O56" t="str">
            <v>Không</v>
          </cell>
          <cell r="P56" t="str">
            <v>Việt Nam</v>
          </cell>
          <cell r="Q56" t="str">
            <v>12/12</v>
          </cell>
          <cell r="S56" t="str">
            <v>Xã Dân Quyền, huyện Triệu Sơn, tỉnh Thanh Hóa</v>
          </cell>
          <cell r="T56" t="str">
            <v>Xã Dân Quyền, huyện Triệu Sơn, tỉnh Thanh Hóa</v>
          </cell>
          <cell r="U56" t="str">
            <v>Thôn 4, Xã Dân Quyền, huyện Triệu Sơn, tỉnh Thanh Hóa</v>
          </cell>
          <cell r="V56" t="str">
            <v>'0357611022</v>
          </cell>
          <cell r="W56">
            <v>3822025463</v>
          </cell>
          <cell r="X56" t="str">
            <v>BHXH huyện Quảng Xương</v>
          </cell>
          <cell r="Z56" t="str">
            <v>DN4383822025463</v>
          </cell>
          <cell r="AA56">
            <v>8170921683</v>
          </cell>
          <cell r="AB56" t="str">
            <v>BUI THI DUNG</v>
          </cell>
          <cell r="AC56" t="str">
            <v>0001015540163</v>
          </cell>
          <cell r="AD56" t="str">
            <v>106872021856</v>
          </cell>
          <cell r="AE56">
            <v>44007</v>
          </cell>
          <cell r="AF56" t="str">
            <v>1 năm 8 tháng 9 ngày</v>
          </cell>
          <cell r="AH56">
            <v>44075</v>
          </cell>
          <cell r="AK56" t="str">
            <v>Công nhận vận hành máy may công nghiệp</v>
          </cell>
          <cell r="AN56">
            <v>3876000</v>
          </cell>
          <cell r="AO56">
            <v>3470000</v>
          </cell>
        </row>
        <row r="57">
          <cell r="E57">
            <v>50079</v>
          </cell>
          <cell r="F57" t="str">
            <v>Nguyễn Thị Hạnh</v>
          </cell>
          <cell r="G57">
            <v>34674</v>
          </cell>
          <cell r="H57">
            <v>27</v>
          </cell>
          <cell r="J57" t="str">
            <v>x</v>
          </cell>
          <cell r="K57">
            <v>174243187</v>
          </cell>
          <cell r="L57">
            <v>41298</v>
          </cell>
          <cell r="M57" t="str">
            <v>Công an Thanh Hóa</v>
          </cell>
          <cell r="N57" t="str">
            <v>Kinh</v>
          </cell>
          <cell r="O57" t="str">
            <v>Không</v>
          </cell>
          <cell r="P57" t="str">
            <v>Việt Nam</v>
          </cell>
          <cell r="Q57" t="str">
            <v>12/12</v>
          </cell>
          <cell r="S57" t="str">
            <v>Xã Dân Quyền, huyện Triệu Sơn, tỉnh Thanh Hóa</v>
          </cell>
          <cell r="T57" t="str">
            <v>Xã Dân Quyền, huyện Triệu Sơn, tỉnh Thanh Hóa</v>
          </cell>
          <cell r="U57" t="str">
            <v>Thôn 9, Xã Dân Quyền, huyện Triệu Sơn, tỉnh Thanh Hóa</v>
          </cell>
          <cell r="V57" t="str">
            <v>0963115108</v>
          </cell>
          <cell r="W57">
            <v>3821993046</v>
          </cell>
          <cell r="Z57" t="str">
            <v>DN4383821993046</v>
          </cell>
          <cell r="AA57">
            <v>8312304720</v>
          </cell>
          <cell r="AB57" t="str">
            <v>NGUYEN THI HANH</v>
          </cell>
          <cell r="AC57" t="str">
            <v>0001015539997</v>
          </cell>
          <cell r="AD57" t="str">
            <v>107871991278</v>
          </cell>
          <cell r="AE57">
            <v>44014</v>
          </cell>
          <cell r="AF57" t="str">
            <v>1 năm 8 tháng 4 ngày</v>
          </cell>
          <cell r="AG57">
            <v>1</v>
          </cell>
          <cell r="AH57">
            <v>44075</v>
          </cell>
          <cell r="AK57" t="str">
            <v>Công nhận vận hành máy may công nghiệp</v>
          </cell>
          <cell r="AN57">
            <v>3876000</v>
          </cell>
          <cell r="AO57">
            <v>3470000</v>
          </cell>
        </row>
        <row r="58">
          <cell r="E58">
            <v>50082</v>
          </cell>
          <cell r="F58" t="str">
            <v>Trần Thị Huyền Trang</v>
          </cell>
          <cell r="G58">
            <v>34799</v>
          </cell>
          <cell r="H58">
            <v>26</v>
          </cell>
          <cell r="J58" t="str">
            <v>x</v>
          </cell>
          <cell r="K58">
            <v>174779227</v>
          </cell>
          <cell r="L58">
            <v>40822</v>
          </cell>
          <cell r="M58" t="str">
            <v>Công an Thanh Hóa</v>
          </cell>
          <cell r="N58" t="str">
            <v>Kinh</v>
          </cell>
          <cell r="O58" t="str">
            <v>Không</v>
          </cell>
          <cell r="P58" t="str">
            <v>Việt Nam</v>
          </cell>
          <cell r="Q58" t="str">
            <v>12/12</v>
          </cell>
          <cell r="S58" t="str">
            <v>Xã Dân Quyền, huyện Triệu Sơn, tỉnh Thanh Hóa</v>
          </cell>
          <cell r="T58" t="str">
            <v>Xã Dân Quyền, huyện Triệu Sơn, tỉnh Thanh Hóa</v>
          </cell>
          <cell r="U58" t="str">
            <v>Thôn 9, Xã Dân Quyền, huyện Triệu Sơn, tỉnh Thanh Hóa</v>
          </cell>
          <cell r="V58" t="str">
            <v>0325787516</v>
          </cell>
          <cell r="W58">
            <v>3821971689</v>
          </cell>
          <cell r="Z58" t="str">
            <v>DN4383821971689</v>
          </cell>
          <cell r="AA58">
            <v>8345664091</v>
          </cell>
          <cell r="AB58" t="str">
            <v>TRAN THI HUYEN TRANG</v>
          </cell>
          <cell r="AC58" t="str">
            <v>0351000815462</v>
          </cell>
          <cell r="AE58">
            <v>44019</v>
          </cell>
          <cell r="AF58" t="str">
            <v>1 năm 7 tháng 27 ngày</v>
          </cell>
          <cell r="AH58">
            <v>44105</v>
          </cell>
          <cell r="AK58" t="str">
            <v>Công nhận vận hành máy may công nghiệp</v>
          </cell>
          <cell r="AN58">
            <v>3876000</v>
          </cell>
          <cell r="AO58">
            <v>3470000</v>
          </cell>
        </row>
        <row r="59">
          <cell r="E59">
            <v>50089</v>
          </cell>
          <cell r="F59" t="str">
            <v>Vũ Thị Lẽ</v>
          </cell>
          <cell r="G59">
            <v>28161</v>
          </cell>
          <cell r="H59">
            <v>45</v>
          </cell>
          <cell r="J59" t="str">
            <v>x</v>
          </cell>
          <cell r="K59">
            <v>173352394</v>
          </cell>
          <cell r="L59">
            <v>39265</v>
          </cell>
          <cell r="M59" t="str">
            <v>Công an Thanh Hóa</v>
          </cell>
          <cell r="N59" t="str">
            <v>Kinh</v>
          </cell>
          <cell r="O59" t="str">
            <v>Không</v>
          </cell>
          <cell r="P59" t="str">
            <v>Việt Nam</v>
          </cell>
          <cell r="Q59" t="str">
            <v>9/12</v>
          </cell>
          <cell r="S59" t="str">
            <v>Xã Minh Châu, huyện Triệu Sơn, tỉnh Thanh Hóa</v>
          </cell>
          <cell r="T59" t="str">
            <v>Xã Minh Châu, huyện Triệu Sơn, tỉnh Thanh Hóa</v>
          </cell>
          <cell r="U59" t="str">
            <v>Thô 4, xã Minh Sơn, huyện Triệu Sơn, tỉnh Thanh Hóa</v>
          </cell>
          <cell r="V59" t="str">
            <v>0328689108</v>
          </cell>
          <cell r="W59">
            <v>3815031449</v>
          </cell>
          <cell r="Z59" t="str">
            <v>DN4383815031449</v>
          </cell>
          <cell r="AA59">
            <v>8416647634</v>
          </cell>
          <cell r="AB59" t="str">
            <v>VU THI LE</v>
          </cell>
          <cell r="AC59">
            <v>1016264698</v>
          </cell>
          <cell r="AD59">
            <v>108873664562</v>
          </cell>
          <cell r="AE59">
            <v>44043</v>
          </cell>
          <cell r="AF59" t="str">
            <v>1 năm 7 tháng 3 ngày</v>
          </cell>
          <cell r="AH59">
            <v>44105</v>
          </cell>
          <cell r="AK59" t="str">
            <v>Công nhận vận hành máy may công nghiệp</v>
          </cell>
          <cell r="AN59">
            <v>3876000</v>
          </cell>
          <cell r="AO59">
            <v>3470000</v>
          </cell>
        </row>
        <row r="60">
          <cell r="E60">
            <v>50091</v>
          </cell>
          <cell r="F60" t="str">
            <v>Nguyễn Thị Hạnh</v>
          </cell>
          <cell r="G60">
            <v>35598</v>
          </cell>
          <cell r="H60">
            <v>24</v>
          </cell>
          <cell r="J60" t="str">
            <v>x</v>
          </cell>
          <cell r="K60">
            <v>174742376</v>
          </cell>
          <cell r="L60">
            <v>41336</v>
          </cell>
          <cell r="M60" t="str">
            <v>Công an Thanh Hóa</v>
          </cell>
          <cell r="N60" t="str">
            <v>Kinh</v>
          </cell>
          <cell r="O60" t="str">
            <v>Không</v>
          </cell>
          <cell r="P60" t="str">
            <v>Việt Nam</v>
          </cell>
          <cell r="Q60" t="str">
            <v>Đại học</v>
          </cell>
          <cell r="R60" t="str">
            <v>Thiết kế thời trang</v>
          </cell>
          <cell r="S60" t="str">
            <v>Xã Thiệu Phú, huyện Thiệu Hóa, tỉnh Thanh Hóa</v>
          </cell>
          <cell r="T60" t="str">
            <v>Xã Thiệu Phú, huyện Thiệu Hóa, tỉnh Thanh Hóa</v>
          </cell>
          <cell r="U60" t="str">
            <v>Thôn Ngọc Tỉnh, Xã Thiệu Phú, huyện Thiệu Hóa, tỉnh Thanh Hóa</v>
          </cell>
          <cell r="V60" t="str">
            <v>0964452219</v>
          </cell>
          <cell r="W60">
            <v>3822028966</v>
          </cell>
          <cell r="X60" t="str">
            <v>BHXH huyện Quảng Xương</v>
          </cell>
          <cell r="Z60" t="str">
            <v>DN4383822028966</v>
          </cell>
          <cell r="AA60">
            <v>8410019538</v>
          </cell>
          <cell r="AB60" t="str">
            <v>NGUYEN THI HANH</v>
          </cell>
          <cell r="AC60">
            <v>1016265035</v>
          </cell>
          <cell r="AE60">
            <v>44046</v>
          </cell>
          <cell r="AF60" t="str">
            <v>1 năm 7 tháng 3 ngày</v>
          </cell>
          <cell r="AH60">
            <v>44105</v>
          </cell>
          <cell r="AK60" t="str">
            <v>Công nhận vận hành máy may công nghiệp</v>
          </cell>
          <cell r="AN60">
            <v>3876000</v>
          </cell>
          <cell r="AO60">
            <v>3470000</v>
          </cell>
        </row>
        <row r="61">
          <cell r="E61">
            <v>50096</v>
          </cell>
          <cell r="F61" t="str">
            <v>Nguyễn Thị Lan</v>
          </cell>
          <cell r="G61">
            <v>35681</v>
          </cell>
          <cell r="H61">
            <v>24</v>
          </cell>
          <cell r="J61" t="str">
            <v>x</v>
          </cell>
          <cell r="K61" t="str">
            <v>038197002890</v>
          </cell>
          <cell r="L61">
            <v>44011</v>
          </cell>
          <cell r="M61" t="str">
            <v>Cục quản lý dân cư</v>
          </cell>
          <cell r="N61" t="str">
            <v>Kinh</v>
          </cell>
          <cell r="O61" t="str">
            <v>Không</v>
          </cell>
          <cell r="P61" t="str">
            <v>Việt Nam</v>
          </cell>
          <cell r="Q61" t="str">
            <v>12/12</v>
          </cell>
          <cell r="S61" t="str">
            <v>Xã Dân Quyền, huyện Triệu Sơn, tỉnh Thanh Hóa</v>
          </cell>
          <cell r="T61" t="str">
            <v>Xã Dân Quyền, huyện Triệu Sơn, tỉnh Thanh Hóa</v>
          </cell>
          <cell r="U61" t="str">
            <v>Thôn Đô Trang, xã Dân Lực, huyện Triệu Sơn, tỉnh Thanh Hóa</v>
          </cell>
          <cell r="V61" t="str">
            <v>0388953656</v>
          </cell>
          <cell r="W61" t="str">
            <v>0115017016</v>
          </cell>
          <cell r="Z61" t="str">
            <v>DN4380115017016</v>
          </cell>
          <cell r="AA61" t="str">
            <v>8678698530</v>
          </cell>
          <cell r="AB61" t="str">
            <v>NGUYEN THI LAN</v>
          </cell>
          <cell r="AC61">
            <v>1016247933</v>
          </cell>
          <cell r="AE61">
            <v>44049</v>
          </cell>
          <cell r="AF61" t="str">
            <v>1 năm 7 tháng 0 ngày</v>
          </cell>
          <cell r="AH61">
            <v>44105</v>
          </cell>
          <cell r="AK61" t="str">
            <v>Công nhận vận hành máy may công nghiệp</v>
          </cell>
          <cell r="AN61">
            <v>3876000</v>
          </cell>
          <cell r="AO61">
            <v>3470000</v>
          </cell>
        </row>
        <row r="62">
          <cell r="E62">
            <v>50097</v>
          </cell>
          <cell r="F62" t="str">
            <v>Lê Thị Thủy</v>
          </cell>
          <cell r="G62">
            <v>30971</v>
          </cell>
          <cell r="H62">
            <v>37</v>
          </cell>
          <cell r="J62" t="str">
            <v>x</v>
          </cell>
          <cell r="K62" t="str">
            <v>038184010280</v>
          </cell>
          <cell r="L62">
            <v>43032</v>
          </cell>
          <cell r="M62" t="str">
            <v>Cục quản lý dân cư</v>
          </cell>
          <cell r="N62" t="str">
            <v>Kinh</v>
          </cell>
          <cell r="O62" t="str">
            <v>Không</v>
          </cell>
          <cell r="P62" t="str">
            <v>Việt Nam</v>
          </cell>
          <cell r="Q62" t="str">
            <v>12/12</v>
          </cell>
          <cell r="S62" t="str">
            <v>Xã Hoàng Trường, huyện Hoàng Hóa, tỉnh Thanh Hóa</v>
          </cell>
          <cell r="T62" t="str">
            <v>Xã Hoàng Trường, huyện Hoàng Hóa, tỉnh Thanh Hóa</v>
          </cell>
          <cell r="U62" t="str">
            <v>Thôn Ân Mộc, xã Dân Lực, huyện Triệu Sơn, tỉnh Thanh Hóa</v>
          </cell>
          <cell r="V62" t="str">
            <v>0962385559</v>
          </cell>
          <cell r="W62" t="str">
            <v>3809009091</v>
          </cell>
          <cell r="Z62" t="str">
            <v>DN4383809009091</v>
          </cell>
          <cell r="AA62">
            <v>8576986963</v>
          </cell>
          <cell r="AB62" t="str">
            <v>LE THI THUY</v>
          </cell>
          <cell r="AC62">
            <v>1016247248</v>
          </cell>
          <cell r="AE62">
            <v>44053</v>
          </cell>
          <cell r="AF62" t="str">
            <v>1 năm 6 tháng 24 ngày</v>
          </cell>
          <cell r="AH62">
            <v>44105</v>
          </cell>
          <cell r="AK62" t="str">
            <v>Công nhận vận hành máy may công nghiệp</v>
          </cell>
          <cell r="AN62">
            <v>3876000</v>
          </cell>
          <cell r="AO62">
            <v>3470000</v>
          </cell>
        </row>
        <row r="63">
          <cell r="E63">
            <v>50098</v>
          </cell>
          <cell r="F63" t="str">
            <v>Phạm Thị Phương Hoa</v>
          </cell>
          <cell r="G63">
            <v>33655</v>
          </cell>
          <cell r="H63">
            <v>30</v>
          </cell>
          <cell r="J63" t="str">
            <v>x</v>
          </cell>
          <cell r="K63" t="str">
            <v>038192003148</v>
          </cell>
          <cell r="L63">
            <v>42794</v>
          </cell>
          <cell r="M63" t="str">
            <v>Cục quản lý dân cư</v>
          </cell>
          <cell r="N63" t="str">
            <v>Kinh</v>
          </cell>
          <cell r="O63" t="str">
            <v>Không</v>
          </cell>
          <cell r="P63" t="str">
            <v>Việt Nam</v>
          </cell>
          <cell r="Q63" t="str">
            <v>Cao đẳng</v>
          </cell>
          <cell r="R63" t="str">
            <v>Điều dưỡng</v>
          </cell>
          <cell r="S63" t="str">
            <v>Xã Dân Lực, huyện Triệu Sơn, tỉnh Thanh Hóa</v>
          </cell>
          <cell r="T63" t="str">
            <v>Xã Dân Lực, huyện Triệu Sơn, tỉnh Thanh Hóa</v>
          </cell>
          <cell r="U63" t="str">
            <v>Thôn 8, Xã Xuân Thịnh, huyện Triệu Sơn, tỉnh Thanh Hóa</v>
          </cell>
          <cell r="V63" t="str">
            <v>0359936857</v>
          </cell>
          <cell r="W63" t="str">
            <v>3016015816</v>
          </cell>
          <cell r="Z63" t="str">
            <v>DN4383016015816</v>
          </cell>
          <cell r="AA63">
            <v>8492931887</v>
          </cell>
          <cell r="AB63" t="str">
            <v>PHAM THI PHUONG HOA</v>
          </cell>
          <cell r="AC63">
            <v>1016246839</v>
          </cell>
          <cell r="AD63" t="str">
            <v>109873754650</v>
          </cell>
          <cell r="AE63">
            <v>44053</v>
          </cell>
          <cell r="AF63" t="str">
            <v>1 năm 6 tháng 24 ngày</v>
          </cell>
          <cell r="AH63">
            <v>44105</v>
          </cell>
          <cell r="AK63" t="str">
            <v>Công nhân đóng gói công nghiệp</v>
          </cell>
          <cell r="AN63">
            <v>3876000</v>
          </cell>
          <cell r="AO63">
            <v>3470000</v>
          </cell>
        </row>
        <row r="64">
          <cell r="E64">
            <v>50099</v>
          </cell>
          <cell r="F64" t="str">
            <v>Lê Thị Thanh</v>
          </cell>
          <cell r="G64">
            <v>34805</v>
          </cell>
          <cell r="H64">
            <v>26</v>
          </cell>
          <cell r="J64" t="str">
            <v>x</v>
          </cell>
          <cell r="K64" t="str">
            <v>038195004527</v>
          </cell>
          <cell r="L64">
            <v>44053</v>
          </cell>
          <cell r="M64" t="str">
            <v>Cục quản lý dân cư</v>
          </cell>
          <cell r="N64" t="str">
            <v>Kinh</v>
          </cell>
          <cell r="O64" t="str">
            <v>Không</v>
          </cell>
          <cell r="P64" t="str">
            <v>Việt Nam</v>
          </cell>
          <cell r="Q64" t="str">
            <v>8/12</v>
          </cell>
          <cell r="S64" t="str">
            <v>Xã Dân Quyền, huyện Triệu Sơn, tỉnh Thanh Hóa</v>
          </cell>
          <cell r="T64" t="str">
            <v>Xã Dân Quyền, huyện Triệu Sơn, tỉnh Thanh Hóa</v>
          </cell>
          <cell r="U64" t="str">
            <v>Thôn 7, Xã Dân Quyền, huyện Triệu Sơn, tỉnh Thanh Hóa</v>
          </cell>
          <cell r="V64" t="str">
            <v>0326253301</v>
          </cell>
          <cell r="W64">
            <v>3822028051</v>
          </cell>
          <cell r="X64" t="str">
            <v>BHXH huyện Quảng Xương</v>
          </cell>
          <cell r="Z64" t="str">
            <v>DN4383822028051</v>
          </cell>
          <cell r="AA64">
            <v>8575987964</v>
          </cell>
          <cell r="AB64" t="str">
            <v>LE THI THANH</v>
          </cell>
          <cell r="AC64">
            <v>1017108423</v>
          </cell>
          <cell r="AD64">
            <v>105873664578</v>
          </cell>
          <cell r="AE64">
            <v>44055</v>
          </cell>
          <cell r="AF64" t="str">
            <v>1 năm 6 tháng 22 ngày</v>
          </cell>
          <cell r="AH64">
            <v>44105</v>
          </cell>
          <cell r="AK64" t="str">
            <v>Công nhân đóng gói công nghiệp</v>
          </cell>
          <cell r="AN64">
            <v>3876000</v>
          </cell>
          <cell r="AO64">
            <v>3470000</v>
          </cell>
        </row>
        <row r="65">
          <cell r="E65">
            <v>50101</v>
          </cell>
          <cell r="F65" t="str">
            <v>Đỗ Văn Cảnh</v>
          </cell>
          <cell r="G65">
            <v>33822</v>
          </cell>
          <cell r="H65">
            <v>29</v>
          </cell>
          <cell r="I65" t="str">
            <v>x</v>
          </cell>
          <cell r="K65" t="str">
            <v>038092006775</v>
          </cell>
          <cell r="L65">
            <v>42943</v>
          </cell>
          <cell r="M65" t="str">
            <v>Cục quản lý dân cư</v>
          </cell>
          <cell r="N65" t="str">
            <v>Kinh</v>
          </cell>
          <cell r="O65" t="str">
            <v>Không</v>
          </cell>
          <cell r="P65" t="str">
            <v>Việt Nam</v>
          </cell>
          <cell r="Q65" t="str">
            <v>12/12</v>
          </cell>
          <cell r="S65" t="str">
            <v>Xã Dân Quyền, huyện Triệu Sơn, tỉnh Thanh Hóa</v>
          </cell>
          <cell r="T65" t="str">
            <v>Xã Dân Quyền, huyện Triệu Sơn, tỉnh Thanh Hóa</v>
          </cell>
          <cell r="U65" t="str">
            <v>Thôn 3, Xã Dân Quyền, huyện Triệu Sơn, tỉnh Thanh Hóa</v>
          </cell>
          <cell r="V65" t="str">
            <v>0363098242</v>
          </cell>
          <cell r="W65">
            <v>3815042463</v>
          </cell>
          <cell r="Z65" t="str">
            <v>DN4383815042463</v>
          </cell>
          <cell r="AA65" t="str">
            <v>8678698562</v>
          </cell>
          <cell r="AB65" t="str">
            <v>DO VAN CANH</v>
          </cell>
          <cell r="AC65">
            <v>1016246480</v>
          </cell>
          <cell r="AD65">
            <v>100873664628</v>
          </cell>
          <cell r="AE65">
            <v>44067</v>
          </cell>
          <cell r="AF65" t="str">
            <v>1 năm 6 tháng 10 ngày</v>
          </cell>
          <cell r="AH65">
            <v>44105</v>
          </cell>
          <cell r="AK65" t="str">
            <v>Công nhận vận hành máy may công nghiệp</v>
          </cell>
          <cell r="AN65">
            <v>3876000</v>
          </cell>
          <cell r="AO65">
            <v>3470000</v>
          </cell>
        </row>
        <row r="66">
          <cell r="E66">
            <v>50105</v>
          </cell>
          <cell r="F66" t="str">
            <v>Lê Thị Trang</v>
          </cell>
          <cell r="G66">
            <v>33795</v>
          </cell>
          <cell r="H66">
            <v>29</v>
          </cell>
          <cell r="J66" t="str">
            <v>x</v>
          </cell>
          <cell r="K66">
            <v>173383927</v>
          </cell>
          <cell r="L66">
            <v>39282</v>
          </cell>
          <cell r="M66" t="str">
            <v>Công an Thanh Hóa</v>
          </cell>
          <cell r="N66" t="str">
            <v>Kinh</v>
          </cell>
          <cell r="O66" t="str">
            <v>Không</v>
          </cell>
          <cell r="P66" t="str">
            <v>Việt Nam</v>
          </cell>
          <cell r="Q66" t="str">
            <v>Đại học</v>
          </cell>
          <cell r="R66" t="str">
            <v>Công nghệ may</v>
          </cell>
          <cell r="S66" t="str">
            <v>Xã Yên Phú, huyện Yên Định, tỉnh Thanh Hóa</v>
          </cell>
          <cell r="T66" t="str">
            <v>Xã Yên Phú, huyện Yên Định, tỉnh Thanh Hóa</v>
          </cell>
          <cell r="U66" t="str">
            <v>Thôn Tân Tiến, TT Triệu Sơn, huyện Triệu Sơn, tỉnh Thanh Hóa</v>
          </cell>
          <cell r="V66" t="str">
            <v>0974176429</v>
          </cell>
          <cell r="W66">
            <v>3821441560</v>
          </cell>
          <cell r="Z66" t="str">
            <v>DN4383821441560</v>
          </cell>
          <cell r="AA66">
            <v>8428009393</v>
          </cell>
          <cell r="AB66" t="str">
            <v>LE THI TRANG</v>
          </cell>
          <cell r="AC66">
            <v>1016243058</v>
          </cell>
          <cell r="AE66">
            <v>44068</v>
          </cell>
          <cell r="AF66" t="str">
            <v>1 năm 6 tháng 9 ngày</v>
          </cell>
          <cell r="AH66">
            <v>44105</v>
          </cell>
          <cell r="AK66" t="str">
            <v>Công nhận vận hành máy may công nghiệp</v>
          </cell>
          <cell r="AN66">
            <v>3876000</v>
          </cell>
          <cell r="AO66">
            <v>3470000</v>
          </cell>
        </row>
        <row r="67">
          <cell r="E67">
            <v>50107</v>
          </cell>
          <cell r="F67" t="str">
            <v>Nguyễn Văn Cường</v>
          </cell>
          <cell r="G67">
            <v>35590</v>
          </cell>
          <cell r="H67">
            <v>24</v>
          </cell>
          <cell r="I67" t="str">
            <v>x</v>
          </cell>
          <cell r="K67">
            <v>175001401</v>
          </cell>
          <cell r="L67">
            <v>42079</v>
          </cell>
          <cell r="M67" t="str">
            <v>Công an Thanh Hóa</v>
          </cell>
          <cell r="N67" t="str">
            <v>Kinh</v>
          </cell>
          <cell r="O67" t="str">
            <v>Không</v>
          </cell>
          <cell r="P67" t="str">
            <v>Việt Nam</v>
          </cell>
          <cell r="Q67" t="str">
            <v>12/12</v>
          </cell>
          <cell r="S67" t="str">
            <v>Xã Dân Lực, huyện Triệu Sơn, tỉnh Thanh Hóa</v>
          </cell>
          <cell r="T67" t="str">
            <v>Xã Dân Lực, huyện Triệu Sơn, tỉnh Thanh Hóa</v>
          </cell>
          <cell r="U67" t="str">
            <v>Thôn Ân Mọc, xã Dân Lực huyện Triệu Sơn, tỉnh Thanh Hóa</v>
          </cell>
          <cell r="V67" t="str">
            <v>0949909235</v>
          </cell>
          <cell r="W67">
            <v>3821952836</v>
          </cell>
          <cell r="Z67" t="str">
            <v>DN4383821952836</v>
          </cell>
          <cell r="AA67">
            <v>8450678921</v>
          </cell>
          <cell r="AB67" t="str">
            <v>NGUYEN VAN CUONG</v>
          </cell>
          <cell r="AC67" t="str">
            <v>0781000489487</v>
          </cell>
          <cell r="AD67" t="str">
            <v>106873754653</v>
          </cell>
          <cell r="AE67">
            <v>44071</v>
          </cell>
          <cell r="AF67" t="str">
            <v>1 năm 6 tháng 6 ngày</v>
          </cell>
          <cell r="AH67">
            <v>44105</v>
          </cell>
          <cell r="AK67" t="str">
            <v>Công nhân đóng gói công nghiệp</v>
          </cell>
          <cell r="AN67">
            <v>3876000</v>
          </cell>
          <cell r="AO67">
            <v>3470000</v>
          </cell>
        </row>
        <row r="68">
          <cell r="E68">
            <v>50111</v>
          </cell>
          <cell r="F68" t="str">
            <v>Nguyễn Tài Dương</v>
          </cell>
          <cell r="G68">
            <v>36496</v>
          </cell>
          <cell r="H68">
            <v>22</v>
          </cell>
          <cell r="I68" t="str">
            <v>x</v>
          </cell>
          <cell r="K68" t="str">
            <v>038099007023</v>
          </cell>
          <cell r="L68">
            <v>42731</v>
          </cell>
          <cell r="M68" t="str">
            <v>Cục quản lý dân cư</v>
          </cell>
          <cell r="N68" t="str">
            <v>Kinh</v>
          </cell>
          <cell r="O68" t="str">
            <v>Không</v>
          </cell>
          <cell r="P68" t="str">
            <v>Việt Nam</v>
          </cell>
          <cell r="Q68" t="str">
            <v>12/12</v>
          </cell>
          <cell r="S68" t="str">
            <v>Xã Dân Lực, huyện Triệu Sơn, tỉnh Thanh Hóa</v>
          </cell>
          <cell r="T68" t="str">
            <v>Xã Dân Lực, huyện Triệu Sơn, tỉnh Thanh Hóa</v>
          </cell>
          <cell r="U68" t="str">
            <v>Thôn Ân Mộc, xã Dân Lực, huyện Triệu Sơn, tỉnh Thanh Hóa</v>
          </cell>
          <cell r="V68" t="str">
            <v>0329979817</v>
          </cell>
          <cell r="W68">
            <v>3822002095</v>
          </cell>
          <cell r="X68" t="str">
            <v>BHXH huyện Quảng Xương</v>
          </cell>
          <cell r="Z68" t="str">
            <v>DN4383822002095</v>
          </cell>
          <cell r="AA68">
            <v>8616206884</v>
          </cell>
          <cell r="AB68" t="str">
            <v>NGUYEN TAI DUONG</v>
          </cell>
          <cell r="AC68">
            <v>1017108631</v>
          </cell>
          <cell r="AD68" t="str">
            <v>108873754651</v>
          </cell>
          <cell r="AE68">
            <v>44081</v>
          </cell>
          <cell r="AF68" t="str">
            <v>1 năm 5 tháng 27 ngày</v>
          </cell>
          <cell r="AH68">
            <v>44137</v>
          </cell>
          <cell r="AK68" t="str">
            <v>Công nhân vận hành máy may công nghiệp</v>
          </cell>
          <cell r="AN68">
            <v>3876000</v>
          </cell>
          <cell r="AO68">
            <v>3470000</v>
          </cell>
        </row>
        <row r="69">
          <cell r="E69">
            <v>50112</v>
          </cell>
          <cell r="F69" t="str">
            <v>Vũ Thị Thủy</v>
          </cell>
          <cell r="G69">
            <v>35744</v>
          </cell>
          <cell r="H69">
            <v>24</v>
          </cell>
          <cell r="J69" t="str">
            <v>x</v>
          </cell>
          <cell r="K69">
            <v>175000427</v>
          </cell>
          <cell r="L69">
            <v>42028</v>
          </cell>
          <cell r="M69" t="str">
            <v>Công an Thanh Hóa</v>
          </cell>
          <cell r="N69" t="str">
            <v>Kinh</v>
          </cell>
          <cell r="O69" t="str">
            <v>Không</v>
          </cell>
          <cell r="P69" t="str">
            <v>Việt Nam</v>
          </cell>
          <cell r="Q69" t="str">
            <v>Đại học</v>
          </cell>
          <cell r="R69" t="str">
            <v>Công nghệ may</v>
          </cell>
          <cell r="S69" t="str">
            <v>Xã Thọ Phú, huyện Triệu Sơn, tỉnh Thanh Hóa</v>
          </cell>
          <cell r="T69" t="str">
            <v>Xã Thọ Phú, huyện Triệu Sơn, tỉnh Thanh Hóa</v>
          </cell>
          <cell r="U69" t="str">
            <v>Thôn 5, Xã Thọ Phú, huyện Triệu Sơn, tỉnh Thanh Hóa</v>
          </cell>
          <cell r="V69" t="str">
            <v>0389520394</v>
          </cell>
          <cell r="W69">
            <v>3822001567</v>
          </cell>
          <cell r="Z69" t="str">
            <v>DN4383822001567</v>
          </cell>
          <cell r="AA69">
            <v>8605333746</v>
          </cell>
          <cell r="AB69" t="str">
            <v>VU THI THUY</v>
          </cell>
          <cell r="AC69">
            <v>1017108757</v>
          </cell>
          <cell r="AD69">
            <v>103873664543</v>
          </cell>
          <cell r="AE69">
            <v>44083</v>
          </cell>
          <cell r="AF69" t="str">
            <v>1 năm 5 tháng 25 ngày</v>
          </cell>
          <cell r="AH69">
            <v>44137</v>
          </cell>
          <cell r="AK69" t="str">
            <v>Công nhân vận hành máy may công nghiệp</v>
          </cell>
          <cell r="AN69">
            <v>3876000</v>
          </cell>
          <cell r="AO69">
            <v>3470000</v>
          </cell>
        </row>
        <row r="70">
          <cell r="E70">
            <v>50121</v>
          </cell>
          <cell r="F70" t="str">
            <v>Nguyễn Thị Vân Anh</v>
          </cell>
          <cell r="G70">
            <v>37366</v>
          </cell>
          <cell r="H70">
            <v>19</v>
          </cell>
          <cell r="J70" t="str">
            <v>x</v>
          </cell>
          <cell r="K70" t="str">
            <v>038302018894</v>
          </cell>
          <cell r="L70">
            <v>43825</v>
          </cell>
          <cell r="M70" t="str">
            <v>Cục quản lý dân cư</v>
          </cell>
          <cell r="N70" t="str">
            <v>Kinh</v>
          </cell>
          <cell r="O70" t="str">
            <v>Không</v>
          </cell>
          <cell r="P70" t="str">
            <v>Việt Nam</v>
          </cell>
          <cell r="Q70" t="str">
            <v>12/12</v>
          </cell>
          <cell r="S70" t="str">
            <v>Xã Nông Trường, huyện Triệu Sơn, tỉnh Thanh Hóa</v>
          </cell>
          <cell r="T70" t="str">
            <v>Xã Nông Trường, huyện Triệu Sơn, tỉnh Thanh Hóa</v>
          </cell>
          <cell r="U70" t="str">
            <v>Thôn 5, Xã Nông Trường, huyện Triệu Sơn, tỉnh Thanh Hóa</v>
          </cell>
          <cell r="V70" t="str">
            <v>0383901380</v>
          </cell>
          <cell r="W70">
            <v>3824410004</v>
          </cell>
          <cell r="X70" t="str">
            <v>BHXH huyện Quảng Xương</v>
          </cell>
          <cell r="Z70" t="str">
            <v>DN4383824410004</v>
          </cell>
          <cell r="AA70">
            <v>8659596445</v>
          </cell>
          <cell r="AB70" t="str">
            <v>NGUYEN THI VAN ANH</v>
          </cell>
          <cell r="AC70">
            <v>1017111227</v>
          </cell>
          <cell r="AD70">
            <v>100873664506</v>
          </cell>
          <cell r="AE70">
            <v>44091</v>
          </cell>
          <cell r="AF70" t="str">
            <v>1 năm 5 tháng 17 ngày</v>
          </cell>
          <cell r="AH70">
            <v>44137</v>
          </cell>
          <cell r="AK70" t="str">
            <v>Công nhân vận hành máy ép mex công nghiệp</v>
          </cell>
          <cell r="AN70">
            <v>3876000</v>
          </cell>
          <cell r="AO70">
            <v>3470000</v>
          </cell>
        </row>
        <row r="71">
          <cell r="E71">
            <v>50122</v>
          </cell>
          <cell r="F71" t="str">
            <v>Nguyễn Thị Thu</v>
          </cell>
          <cell r="G71">
            <v>27395</v>
          </cell>
          <cell r="H71">
            <v>47</v>
          </cell>
          <cell r="J71" t="str">
            <v>x</v>
          </cell>
          <cell r="K71" t="str">
            <v>038175000840</v>
          </cell>
          <cell r="L71">
            <v>42543</v>
          </cell>
          <cell r="M71" t="str">
            <v>Cục quản lý dân cư</v>
          </cell>
          <cell r="N71" t="str">
            <v>Kinh</v>
          </cell>
          <cell r="O71" t="str">
            <v>Không</v>
          </cell>
          <cell r="P71" t="str">
            <v>Việt Nam</v>
          </cell>
          <cell r="Q71" t="str">
            <v>12/12</v>
          </cell>
          <cell r="S71" t="str">
            <v>Xã Dân Lực, huyện Triệu Sơn, tỉnh Thanh Hóa</v>
          </cell>
          <cell r="T71" t="str">
            <v>Xã Dân Lực, huyện Triệu Sơn, tỉnh Thanh Hóa</v>
          </cell>
          <cell r="U71" t="str">
            <v>Thôn Ân Mộc, xã Dân Lực, huyện Triệu Sơn, tỉnh Thanh Hóa</v>
          </cell>
          <cell r="V71" t="str">
            <v>0763041478</v>
          </cell>
          <cell r="W71" t="str">
            <v>3821962796</v>
          </cell>
          <cell r="Z71" t="str">
            <v>DN4383821962796</v>
          </cell>
          <cell r="AA71">
            <v>8491321712</v>
          </cell>
          <cell r="AC71">
            <v>1017107873</v>
          </cell>
          <cell r="AD71">
            <v>104873664579</v>
          </cell>
          <cell r="AE71">
            <v>44105</v>
          </cell>
          <cell r="AF71" t="str">
            <v>1 năm 5 tháng 5 ngày</v>
          </cell>
          <cell r="AG71">
            <v>44105</v>
          </cell>
          <cell r="AH71">
            <v>44166</v>
          </cell>
          <cell r="AK71" t="str">
            <v>Công nhân vận hành máy may công nghiệp</v>
          </cell>
          <cell r="AN71">
            <v>3876000</v>
          </cell>
          <cell r="AO71">
            <v>3470000</v>
          </cell>
        </row>
        <row r="72">
          <cell r="E72">
            <v>50124</v>
          </cell>
          <cell r="F72" t="str">
            <v>Quách Thị Nhung</v>
          </cell>
          <cell r="G72">
            <v>35853</v>
          </cell>
          <cell r="H72">
            <v>24</v>
          </cell>
          <cell r="J72" t="str">
            <v>x</v>
          </cell>
          <cell r="K72">
            <v>174772211</v>
          </cell>
          <cell r="L72">
            <v>42320</v>
          </cell>
          <cell r="M72" t="str">
            <v>Công an Thanh Hóa</v>
          </cell>
          <cell r="N72" t="str">
            <v>Mường</v>
          </cell>
          <cell r="O72" t="str">
            <v>Không</v>
          </cell>
          <cell r="P72" t="str">
            <v>Việt Nam</v>
          </cell>
          <cell r="Q72" t="str">
            <v>12/12</v>
          </cell>
          <cell r="S72" t="str">
            <v>Xã Phượng Nghi, huyện Như Thanh, tỉnh Thanh Hóa</v>
          </cell>
          <cell r="T72" t="str">
            <v>Xã Phượng Nghi, huyện Như Thanh, tỉnh Thanh Hóa</v>
          </cell>
          <cell r="U72" t="str">
            <v>Thôn 6, Xã Dân Quyền, huyện Triệu Sơn, tỉnh Thanh Hóa</v>
          </cell>
          <cell r="V72" t="str">
            <v>0949705165</v>
          </cell>
          <cell r="W72">
            <v>2716032721</v>
          </cell>
          <cell r="Z72" t="str">
            <v>DN4382716032721</v>
          </cell>
          <cell r="AA72">
            <v>8467476465</v>
          </cell>
          <cell r="AC72">
            <v>1017108737</v>
          </cell>
          <cell r="AE72">
            <v>44106</v>
          </cell>
          <cell r="AF72" t="str">
            <v>1 năm 5 tháng 4 ngày</v>
          </cell>
          <cell r="AG72">
            <v>44106</v>
          </cell>
          <cell r="AH72">
            <v>44166</v>
          </cell>
          <cell r="AK72" t="str">
            <v>Công nhân vận hành máy may công nghiệp</v>
          </cell>
          <cell r="AN72">
            <v>3876000</v>
          </cell>
          <cell r="AO72">
            <v>3470000</v>
          </cell>
        </row>
        <row r="73">
          <cell r="E73">
            <v>50130</v>
          </cell>
          <cell r="F73" t="str">
            <v>Trần Đình Anh</v>
          </cell>
          <cell r="G73">
            <v>33824</v>
          </cell>
          <cell r="H73">
            <v>29</v>
          </cell>
          <cell r="I73" t="str">
            <v>x</v>
          </cell>
          <cell r="K73" t="str">
            <v>038092005512</v>
          </cell>
          <cell r="L73">
            <v>42846</v>
          </cell>
          <cell r="M73" t="str">
            <v>Cục quản lý dân cư</v>
          </cell>
          <cell r="N73" t="str">
            <v>Kinh</v>
          </cell>
          <cell r="O73" t="str">
            <v>Không</v>
          </cell>
          <cell r="P73" t="str">
            <v>Việt Nam</v>
          </cell>
          <cell r="Q73" t="str">
            <v>12/12</v>
          </cell>
          <cell r="S73" t="str">
            <v>Xã Dân Quyền, huyện Triệu Sơn, tỉnh Thanh Hóa</v>
          </cell>
          <cell r="T73" t="str">
            <v>Xã Dân Quyền, huyện Triệu Sơn, tỉnh Thanh Hóa</v>
          </cell>
          <cell r="U73" t="str">
            <v>Thôn 1, xã Dân Quyền, huyện Triệu Sơn, tỉnh Thanh Hóa</v>
          </cell>
          <cell r="V73" t="str">
            <v>0969680225</v>
          </cell>
          <cell r="W73">
            <v>3821922261</v>
          </cell>
          <cell r="Z73" t="str">
            <v>DN4383821922261</v>
          </cell>
          <cell r="AA73">
            <v>8490388633</v>
          </cell>
          <cell r="AC73">
            <v>1017112540</v>
          </cell>
          <cell r="AD73" t="str">
            <v>109873937604</v>
          </cell>
          <cell r="AE73">
            <v>44116</v>
          </cell>
          <cell r="AF73" t="str">
            <v>1 năm 4 tháng 22 ngày</v>
          </cell>
          <cell r="AG73">
            <v>44116</v>
          </cell>
          <cell r="AH73">
            <v>44166</v>
          </cell>
          <cell r="AK73" t="str">
            <v>Công nhân cắt công nghiệp</v>
          </cell>
          <cell r="AN73">
            <v>3876000</v>
          </cell>
          <cell r="AO73">
            <v>3470000</v>
          </cell>
        </row>
        <row r="74">
          <cell r="E74">
            <v>50136</v>
          </cell>
          <cell r="F74" t="str">
            <v>Trịnh Thị Thanh Huyền</v>
          </cell>
          <cell r="G74">
            <v>35096</v>
          </cell>
          <cell r="H74">
            <v>26</v>
          </cell>
          <cell r="J74" t="str">
            <v>x</v>
          </cell>
          <cell r="K74">
            <v>174781340</v>
          </cell>
          <cell r="L74">
            <v>41541</v>
          </cell>
          <cell r="M74" t="str">
            <v>Công an Thanh Hóa</v>
          </cell>
          <cell r="N74" t="str">
            <v>Kinh</v>
          </cell>
          <cell r="O74" t="str">
            <v>Không</v>
          </cell>
          <cell r="P74" t="str">
            <v>Việt Nam</v>
          </cell>
          <cell r="Q74" t="str">
            <v>6/12</v>
          </cell>
          <cell r="S74" t="str">
            <v>Xã Dân Quyền, huyện Triệu Sơn, tỉnh Thanh Hóa</v>
          </cell>
          <cell r="T74" t="str">
            <v>Xã Dân Quyền, huyện Triệu Sơn, tỉnh Thanh Hóa</v>
          </cell>
          <cell r="U74" t="str">
            <v>Thôn 4, xã Dân Quyền, huyện Triệu Sơn, tỉnh Thanh Hóa</v>
          </cell>
          <cell r="V74" t="str">
            <v>0812100572</v>
          </cell>
          <cell r="W74">
            <v>3824234240</v>
          </cell>
          <cell r="Z74" t="str">
            <v>DN4383824234240</v>
          </cell>
          <cell r="AA74">
            <v>8575522020</v>
          </cell>
          <cell r="AC74">
            <v>1017113587</v>
          </cell>
          <cell r="AD74">
            <v>105873664580</v>
          </cell>
          <cell r="AE74">
            <v>44117</v>
          </cell>
          <cell r="AF74" t="str">
            <v>1 năm 4 tháng 21 ngày</v>
          </cell>
          <cell r="AG74">
            <v>44117</v>
          </cell>
          <cell r="AH74">
            <v>44166</v>
          </cell>
          <cell r="AK74" t="str">
            <v>Công nhân vận hành máy may công nghiệp</v>
          </cell>
          <cell r="AN74">
            <v>3876000</v>
          </cell>
          <cell r="AO74">
            <v>3470000</v>
          </cell>
        </row>
        <row r="75">
          <cell r="E75">
            <v>50137</v>
          </cell>
          <cell r="F75" t="str">
            <v>Lê Thị Hồng</v>
          </cell>
          <cell r="G75">
            <v>31930</v>
          </cell>
          <cell r="H75">
            <v>34</v>
          </cell>
          <cell r="J75" t="str">
            <v>x</v>
          </cell>
          <cell r="K75">
            <v>174799715</v>
          </cell>
          <cell r="L75">
            <v>41989</v>
          </cell>
          <cell r="M75" t="str">
            <v>Công an Thanh Hóa</v>
          </cell>
          <cell r="N75" t="str">
            <v>Kinh</v>
          </cell>
          <cell r="O75" t="str">
            <v>Không</v>
          </cell>
          <cell r="P75" t="str">
            <v>Việt Nam</v>
          </cell>
          <cell r="Q75" t="str">
            <v>9/12</v>
          </cell>
          <cell r="S75" t="str">
            <v>Xã Thọ Thế, huyện Triệu Sơn, tỉnh Thanh Hóa</v>
          </cell>
          <cell r="T75" t="str">
            <v>Xã Thọ Thế, huyện Triệu Sơn, tỉnh Thanh Hóa</v>
          </cell>
          <cell r="U75" t="str">
            <v>Thôn 2, xã Thọ Tân, huyện Triệu Sơn, tỉnh Thanh Hóa</v>
          </cell>
          <cell r="V75" t="str">
            <v>0776223583</v>
          </cell>
          <cell r="W75">
            <v>3821972784</v>
          </cell>
          <cell r="Z75" t="str">
            <v>DN4383821972784</v>
          </cell>
          <cell r="AC75" t="str">
            <v>0001018271122</v>
          </cell>
          <cell r="AD75">
            <v>106873664564</v>
          </cell>
          <cell r="AE75">
            <v>44137</v>
          </cell>
          <cell r="AF75" t="str">
            <v>1 năm 4 tháng 4 ngày</v>
          </cell>
          <cell r="AG75">
            <v>44137</v>
          </cell>
          <cell r="AH75">
            <v>44197</v>
          </cell>
          <cell r="AK75" t="str">
            <v>Công nhân vận hành máy may công nghiệp</v>
          </cell>
          <cell r="AN75">
            <v>3876000</v>
          </cell>
          <cell r="AO75">
            <v>3470000</v>
          </cell>
        </row>
        <row r="76">
          <cell r="E76">
            <v>50138</v>
          </cell>
          <cell r="F76" t="str">
            <v>Lê Thị Hoa</v>
          </cell>
          <cell r="G76">
            <v>32203</v>
          </cell>
          <cell r="H76">
            <v>34</v>
          </cell>
          <cell r="J76" t="str">
            <v>x</v>
          </cell>
          <cell r="K76">
            <v>172933616</v>
          </cell>
          <cell r="L76">
            <v>38087</v>
          </cell>
          <cell r="M76" t="str">
            <v>Công an Thanh Hóa</v>
          </cell>
          <cell r="N76" t="str">
            <v>Kinh</v>
          </cell>
          <cell r="O76" t="str">
            <v>Không</v>
          </cell>
          <cell r="P76" t="str">
            <v>Việt Nam</v>
          </cell>
          <cell r="Q76" t="str">
            <v>9/12</v>
          </cell>
          <cell r="S76" t="str">
            <v>Xã Thọ Tân, huyện Triệu Sơn, tỉnh Thanh Hóa</v>
          </cell>
          <cell r="T76" t="str">
            <v>Xã Thọ Tân, huyện Triệu Sơn, tỉnh Thanh Hóa</v>
          </cell>
          <cell r="U76" t="str">
            <v>Thôn Đô Trang, xã Dân Lực, huyện Triệu Sơn, tỉnh Thanh Hóa</v>
          </cell>
          <cell r="V76" t="str">
            <v>0961481933</v>
          </cell>
          <cell r="W76">
            <v>3822017087</v>
          </cell>
          <cell r="X76" t="str">
            <v>BHXH huyện Quảng Xương</v>
          </cell>
          <cell r="Z76" t="str">
            <v>DN4383822017087</v>
          </cell>
          <cell r="AD76" t="str">
            <v>109874050452</v>
          </cell>
          <cell r="AE76">
            <v>44137</v>
          </cell>
          <cell r="AF76" t="str">
            <v>1 năm 4 tháng 4 ngày</v>
          </cell>
          <cell r="AG76">
            <v>44137</v>
          </cell>
          <cell r="AH76">
            <v>44197</v>
          </cell>
          <cell r="AK76" t="str">
            <v>Công nhân vận hành máy may công nghiệp</v>
          </cell>
          <cell r="AN76">
            <v>3876000</v>
          </cell>
          <cell r="AO76">
            <v>3470000</v>
          </cell>
        </row>
        <row r="77">
          <cell r="E77">
            <v>50139</v>
          </cell>
          <cell r="F77" t="str">
            <v>Bàn Thị Lâm</v>
          </cell>
          <cell r="G77">
            <v>31049</v>
          </cell>
          <cell r="H77">
            <v>37</v>
          </cell>
          <cell r="J77" t="str">
            <v>x</v>
          </cell>
          <cell r="K77" t="str">
            <v>008185000653</v>
          </cell>
          <cell r="L77">
            <v>43823</v>
          </cell>
          <cell r="M77" t="str">
            <v>Cục quản lý dân cư</v>
          </cell>
          <cell r="N77" t="str">
            <v>Dao</v>
          </cell>
          <cell r="O77" t="str">
            <v>Không</v>
          </cell>
          <cell r="P77" t="str">
            <v>Việt Nam</v>
          </cell>
          <cell r="Q77" t="str">
            <v>9/12</v>
          </cell>
          <cell r="S77" t="str">
            <v>Xã Trung Hà, huyện Chiêm Hóa, tỉnh Tuyên Quang</v>
          </cell>
          <cell r="T77" t="str">
            <v>Xã Trung Hà, huyện Chiêm Hóa, tỉnh Tuyên Quang</v>
          </cell>
          <cell r="U77" t="str">
            <v>Thôn Đô Trang, xã Dân Lực, huyện Triệu Sơn, tỉnh Thanh Hóa</v>
          </cell>
          <cell r="V77" t="str">
            <v>0358835931</v>
          </cell>
          <cell r="W77">
            <v>3821963582</v>
          </cell>
          <cell r="X77" t="str">
            <v>BHXH huyện Quảng Xương</v>
          </cell>
          <cell r="Z77" t="str">
            <v>DN4383821963582</v>
          </cell>
          <cell r="AC77" t="str">
            <v>0001018270547</v>
          </cell>
          <cell r="AD77">
            <v>104873664581</v>
          </cell>
          <cell r="AE77">
            <v>44137</v>
          </cell>
          <cell r="AF77" t="str">
            <v>1 năm 4 tháng 4 ngày</v>
          </cell>
          <cell r="AG77">
            <v>44137</v>
          </cell>
          <cell r="AH77">
            <v>44197</v>
          </cell>
          <cell r="AK77" t="str">
            <v>Công nhân vận hành máy may công nghiệp</v>
          </cell>
          <cell r="AN77">
            <v>3876000</v>
          </cell>
          <cell r="AO77">
            <v>3470000</v>
          </cell>
        </row>
        <row r="78">
          <cell r="E78">
            <v>50141</v>
          </cell>
          <cell r="F78" t="str">
            <v>Lò Thị Hương</v>
          </cell>
          <cell r="G78">
            <v>36936</v>
          </cell>
          <cell r="H78">
            <v>21</v>
          </cell>
          <cell r="J78" t="str">
            <v>x</v>
          </cell>
          <cell r="K78" t="str">
            <v>040686563</v>
          </cell>
          <cell r="L78">
            <v>42685</v>
          </cell>
          <cell r="M78" t="str">
            <v>Công an tỉnh Điện biên</v>
          </cell>
          <cell r="N78" t="str">
            <v>Kháng</v>
          </cell>
          <cell r="O78" t="str">
            <v>Không</v>
          </cell>
          <cell r="P78" t="str">
            <v>Việt Nam</v>
          </cell>
          <cell r="Q78" t="str">
            <v>12/12</v>
          </cell>
          <cell r="S78" t="str">
            <v>Xã Nậm Nèn, huyện Mường Chà, tỉnh Điện Biên</v>
          </cell>
          <cell r="T78" t="str">
            <v>Xã Nậm Nèn, huyện Mường Chà, tỉnh Điện Biên</v>
          </cell>
          <cell r="U78" t="str">
            <v>Thôn Ân Mộc, xã Dân Lực, huyện Triệu Sơn, tỉnh Thanh Hóa</v>
          </cell>
          <cell r="V78" t="str">
            <v>0348479687</v>
          </cell>
          <cell r="W78">
            <v>1120499841</v>
          </cell>
          <cell r="Z78" t="str">
            <v>DN4381120499841</v>
          </cell>
          <cell r="AC78" t="str">
            <v>0001018270067</v>
          </cell>
          <cell r="AD78">
            <v>109873664547</v>
          </cell>
          <cell r="AE78">
            <v>44144</v>
          </cell>
          <cell r="AF78" t="str">
            <v>1 năm 3 tháng 25 ngày</v>
          </cell>
          <cell r="AG78">
            <v>44144</v>
          </cell>
          <cell r="AH78">
            <v>44197</v>
          </cell>
          <cell r="AK78" t="str">
            <v>Công nhân vận hành máy may công nghiệp</v>
          </cell>
          <cell r="AN78">
            <v>3876000</v>
          </cell>
          <cell r="AO78">
            <v>3470000</v>
          </cell>
        </row>
        <row r="79">
          <cell r="E79">
            <v>50144</v>
          </cell>
          <cell r="F79" t="str">
            <v>Trần Thị Quỳnh</v>
          </cell>
          <cell r="G79">
            <v>31472</v>
          </cell>
          <cell r="H79">
            <v>36</v>
          </cell>
          <cell r="J79" t="str">
            <v>x</v>
          </cell>
          <cell r="K79">
            <v>172949083</v>
          </cell>
          <cell r="L79">
            <v>38735</v>
          </cell>
          <cell r="M79" t="str">
            <v>Công an Thanh Hóa</v>
          </cell>
          <cell r="N79" t="str">
            <v>Kinh</v>
          </cell>
          <cell r="O79" t="str">
            <v>Không</v>
          </cell>
          <cell r="P79" t="str">
            <v>Việt Nam</v>
          </cell>
          <cell r="Q79" t="str">
            <v>9/12</v>
          </cell>
          <cell r="S79" t="str">
            <v>Xã Thọ Tân, huyện Triệu Sơn, tỉnh Thanh Hóa</v>
          </cell>
          <cell r="T79" t="str">
            <v>Xã Thọ Tân, huyện Triệu Sơn, tỉnh Thanh Hóa</v>
          </cell>
          <cell r="U79" t="str">
            <v>Thôn Ân Mộc, xã Dân Lực, huyện Triệu Sơn, tỉnh Thanh Hóa</v>
          </cell>
          <cell r="V79" t="str">
            <v>0336102637</v>
          </cell>
          <cell r="W79">
            <v>3821836971</v>
          </cell>
          <cell r="X79" t="str">
            <v>BHXH huyện Quảng Xương</v>
          </cell>
          <cell r="Z79" t="str">
            <v>DN4383821836971</v>
          </cell>
          <cell r="AC79" t="str">
            <v>0001018267459</v>
          </cell>
          <cell r="AD79">
            <v>101874050450</v>
          </cell>
          <cell r="AE79">
            <v>44144</v>
          </cell>
          <cell r="AF79" t="str">
            <v>1 năm 3 tháng 25 ngày</v>
          </cell>
          <cell r="AG79">
            <v>44144</v>
          </cell>
          <cell r="AH79">
            <v>44197</v>
          </cell>
          <cell r="AK79" t="str">
            <v>Công nhân vận hành máy may công nghiệp</v>
          </cell>
          <cell r="AN79">
            <v>3876000</v>
          </cell>
          <cell r="AO79">
            <v>3470000</v>
          </cell>
        </row>
        <row r="80">
          <cell r="E80">
            <v>50145</v>
          </cell>
          <cell r="F80" t="str">
            <v>Phan Thị Chúc</v>
          </cell>
          <cell r="G80">
            <v>29984</v>
          </cell>
          <cell r="H80">
            <v>40</v>
          </cell>
          <cell r="J80" t="str">
            <v>x</v>
          </cell>
          <cell r="K80">
            <v>174780730</v>
          </cell>
          <cell r="L80">
            <v>40829</v>
          </cell>
          <cell r="M80" t="str">
            <v>Công an Thanh Hóa</v>
          </cell>
          <cell r="N80" t="str">
            <v>Kinh</v>
          </cell>
          <cell r="O80" t="str">
            <v>Không</v>
          </cell>
          <cell r="P80" t="str">
            <v>Việt Nam</v>
          </cell>
          <cell r="Q80" t="str">
            <v>9/12</v>
          </cell>
          <cell r="S80" t="str">
            <v>Xã Xuân Thọ, huyện Triệu Sơn, tỉnh Thanh Hóa</v>
          </cell>
          <cell r="T80" t="str">
            <v>Xã Xuân Thọ, huyện Triệu Sơn, tỉnh Thanh Hóa</v>
          </cell>
          <cell r="U80" t="str">
            <v>Thôn Phúc Hải, xã Dân Lực, huyện Triệu Sơn, tỉnh Thanh Hóa</v>
          </cell>
          <cell r="V80" t="str">
            <v>0368608361</v>
          </cell>
          <cell r="W80">
            <v>3815042073</v>
          </cell>
          <cell r="Z80" t="str">
            <v>DN4383815042073</v>
          </cell>
          <cell r="AC80" t="str">
            <v>0001018267238</v>
          </cell>
          <cell r="AE80">
            <v>44144</v>
          </cell>
          <cell r="AG80">
            <v>44144</v>
          </cell>
          <cell r="AH80">
            <v>44197</v>
          </cell>
          <cell r="AK80" t="str">
            <v>Công nhân vận hành máy may công nghiệp</v>
          </cell>
          <cell r="AN80">
            <v>3876000</v>
          </cell>
          <cell r="AO80">
            <v>3470000</v>
          </cell>
        </row>
        <row r="81">
          <cell r="E81">
            <v>50147</v>
          </cell>
          <cell r="F81" t="str">
            <v>Đỗ Thị Phúc</v>
          </cell>
          <cell r="G81">
            <v>30975</v>
          </cell>
          <cell r="H81">
            <v>37</v>
          </cell>
          <cell r="J81" t="str">
            <v>x</v>
          </cell>
          <cell r="K81">
            <v>172321916</v>
          </cell>
          <cell r="L81">
            <v>42076</v>
          </cell>
          <cell r="M81" t="str">
            <v>Công an Thanh Hóa</v>
          </cell>
          <cell r="N81" t="str">
            <v>Kinh</v>
          </cell>
          <cell r="O81" t="str">
            <v>Không</v>
          </cell>
          <cell r="P81" t="str">
            <v>Việt Nam</v>
          </cell>
          <cell r="Q81" t="str">
            <v>12/12</v>
          </cell>
          <cell r="S81" t="str">
            <v>Xã Minh Châu, huyện Triệu Sơn, tỉnh Thanh Hóa</v>
          </cell>
          <cell r="T81" t="str">
            <v>Xã Minh Châu, huyện Triệu Sơn, tỉnh Thanh Hóa</v>
          </cell>
          <cell r="U81" t="str">
            <v>Thôn 1, xã Dân Quyền, huyện Triệu Sơn, tỉnh Thanh Hóa</v>
          </cell>
          <cell r="V81" t="str">
            <v>0974780345</v>
          </cell>
          <cell r="W81">
            <v>3010016789</v>
          </cell>
          <cell r="Z81" t="str">
            <v>DN4383010016789</v>
          </cell>
          <cell r="AC81" t="str">
            <v>0001018267101</v>
          </cell>
          <cell r="AD81" t="str">
            <v>103873754574</v>
          </cell>
          <cell r="AE81">
            <v>44152</v>
          </cell>
          <cell r="AF81" t="str">
            <v>1 năm 3 tháng 17 ngày</v>
          </cell>
          <cell r="AG81">
            <v>44152</v>
          </cell>
          <cell r="AH81">
            <v>44197</v>
          </cell>
          <cell r="AK81" t="str">
            <v>Công nhân đóng gói công nghiệp</v>
          </cell>
          <cell r="AN81">
            <v>3876000</v>
          </cell>
          <cell r="AO81">
            <v>3470000</v>
          </cell>
        </row>
        <row r="82">
          <cell r="E82">
            <v>50148</v>
          </cell>
          <cell r="F82" t="str">
            <v>Nguyễn Thị Tâm</v>
          </cell>
          <cell r="G82">
            <v>29383</v>
          </cell>
          <cell r="H82">
            <v>41</v>
          </cell>
          <cell r="J82" t="str">
            <v>x</v>
          </cell>
          <cell r="K82" t="str">
            <v>038180004220</v>
          </cell>
          <cell r="L82">
            <v>43999</v>
          </cell>
          <cell r="M82" t="str">
            <v>Cục quản lý dân cư</v>
          </cell>
          <cell r="N82" t="str">
            <v>Kinh</v>
          </cell>
          <cell r="O82" t="str">
            <v>Không</v>
          </cell>
          <cell r="P82" t="str">
            <v>Việt Nam</v>
          </cell>
          <cell r="Q82" t="str">
            <v>9/12</v>
          </cell>
          <cell r="S82" t="str">
            <v>Xã Dân Quyền, huyện Triệu Sơn, tỉnh Thanh Hóa</v>
          </cell>
          <cell r="T82" t="str">
            <v>Xã Dân Quyền, huyện Triệu Sơn, tỉnh Thanh Hóa</v>
          </cell>
          <cell r="U82" t="str">
            <v>Thôn Ân Mộc, xã Dân Lực, huyện Triệu Sơn, tỉnh Thanh Hóa</v>
          </cell>
          <cell r="V82" t="str">
            <v>0393217616</v>
          </cell>
          <cell r="W82">
            <v>3821929173</v>
          </cell>
          <cell r="Z82" t="str">
            <v>DN4383821929173</v>
          </cell>
          <cell r="AC82" t="str">
            <v>0001018266555</v>
          </cell>
          <cell r="AD82" t="str">
            <v>108873754663</v>
          </cell>
          <cell r="AE82">
            <v>44152</v>
          </cell>
          <cell r="AF82" t="str">
            <v>1 năm 3 tháng 17 ngày</v>
          </cell>
          <cell r="AG82">
            <v>44152</v>
          </cell>
          <cell r="AH82">
            <v>44197</v>
          </cell>
          <cell r="AK82" t="str">
            <v>Công nhân vận hành máy may công nghiệp</v>
          </cell>
          <cell r="AN82">
            <v>3876000</v>
          </cell>
          <cell r="AO82">
            <v>3470000</v>
          </cell>
        </row>
        <row r="83">
          <cell r="E83">
            <v>50153</v>
          </cell>
          <cell r="F83" t="str">
            <v>Nguyễn Tăng Ngà</v>
          </cell>
          <cell r="G83">
            <v>32612</v>
          </cell>
          <cell r="H83">
            <v>32</v>
          </cell>
          <cell r="I83" t="str">
            <v>x</v>
          </cell>
          <cell r="K83">
            <v>172941283</v>
          </cell>
          <cell r="L83">
            <v>40112</v>
          </cell>
          <cell r="M83" t="str">
            <v>Công an Thanh Hóa</v>
          </cell>
          <cell r="N83" t="str">
            <v>Kinh</v>
          </cell>
          <cell r="O83" t="str">
            <v>Không</v>
          </cell>
          <cell r="P83" t="str">
            <v>Việt Nam</v>
          </cell>
          <cell r="Q83" t="str">
            <v>Cao đẳng</v>
          </cell>
          <cell r="R83" t="str">
            <v>Công nghệ kỹ thuật cơ khí</v>
          </cell>
          <cell r="S83" t="str">
            <v>Xã Dân Lực, huyện Triệu Sơn, tỉnh Thanh Hóa</v>
          </cell>
          <cell r="T83" t="str">
            <v>Xã Dân Lực, huyện Triệu Sơn, tỉnh Thanh Hóa</v>
          </cell>
          <cell r="U83" t="str">
            <v>Thôn Ân Mộc, xã Dân Lực, huyện Triệu Sơn, tỉnh Thanh Hóa</v>
          </cell>
          <cell r="V83" t="str">
            <v>0866933213</v>
          </cell>
          <cell r="W83">
            <v>3821898542</v>
          </cell>
          <cell r="Z83" t="str">
            <v>DN4383821898542</v>
          </cell>
          <cell r="AC83" t="str">
            <v>0001018265867</v>
          </cell>
          <cell r="AD83" t="str">
            <v>102873754575</v>
          </cell>
          <cell r="AE83">
            <v>44168</v>
          </cell>
          <cell r="AF83" t="str">
            <v>1 năm 3 tháng 3 ngày</v>
          </cell>
          <cell r="AG83">
            <v>44211</v>
          </cell>
          <cell r="AH83">
            <v>44256</v>
          </cell>
          <cell r="AK83" t="str">
            <v>Công nhân đóng gói công nghiệp</v>
          </cell>
          <cell r="AN83">
            <v>3876000</v>
          </cell>
          <cell r="AO83">
            <v>3470000</v>
          </cell>
        </row>
        <row r="84">
          <cell r="E84">
            <v>50154</v>
          </cell>
          <cell r="F84" t="str">
            <v>Vũ Thị Xuân</v>
          </cell>
          <cell r="G84">
            <v>36754</v>
          </cell>
          <cell r="H84">
            <v>21</v>
          </cell>
          <cell r="J84" t="str">
            <v>x</v>
          </cell>
          <cell r="K84" t="str">
            <v>038300011941</v>
          </cell>
          <cell r="L84">
            <v>43060</v>
          </cell>
          <cell r="M84" t="str">
            <v>Cục quản lý dân cư</v>
          </cell>
          <cell r="N84" t="str">
            <v>Kinh</v>
          </cell>
          <cell r="O84" t="str">
            <v>Không</v>
          </cell>
          <cell r="P84" t="str">
            <v>Việt Nam</v>
          </cell>
          <cell r="Q84" t="str">
            <v>12/12</v>
          </cell>
          <cell r="S84" t="str">
            <v>Xã Dân Lực, huyện Triệu Sơn, tỉnh Thanh Hóa</v>
          </cell>
          <cell r="T84" t="str">
            <v>Xã Dân Lực, huyện Triệu Sơn, tỉnh Thanh Hóa</v>
          </cell>
          <cell r="U84" t="str">
            <v>Thôn Phúc Hải, xã Dân Lực, huyện Triệu Sơn, tỉnh Thanh Hóa</v>
          </cell>
          <cell r="V84" t="str">
            <v>0386581869</v>
          </cell>
          <cell r="W84">
            <v>3821952871</v>
          </cell>
          <cell r="Z84" t="str">
            <v>DN4383821952871</v>
          </cell>
          <cell r="AC84" t="str">
            <v>0341007153927</v>
          </cell>
          <cell r="AD84">
            <v>109873664629</v>
          </cell>
          <cell r="AE84">
            <v>44177</v>
          </cell>
          <cell r="AF84" t="str">
            <v>1 năm 2 tháng 22 ngày</v>
          </cell>
          <cell r="AG84">
            <v>44177</v>
          </cell>
          <cell r="AH84">
            <v>44256</v>
          </cell>
          <cell r="AN84">
            <v>3876000</v>
          </cell>
          <cell r="AO84">
            <v>3470000</v>
          </cell>
        </row>
        <row r="85">
          <cell r="E85">
            <v>50158</v>
          </cell>
          <cell r="F85" t="str">
            <v>Nguyễn Thị Lan</v>
          </cell>
          <cell r="G85">
            <v>27409</v>
          </cell>
          <cell r="H85">
            <v>47</v>
          </cell>
          <cell r="J85" t="str">
            <v>x</v>
          </cell>
          <cell r="K85">
            <v>172945451</v>
          </cell>
          <cell r="L85">
            <v>38546</v>
          </cell>
          <cell r="M85" t="str">
            <v>Công an Thanh Hóa</v>
          </cell>
          <cell r="N85" t="str">
            <v>Kinh</v>
          </cell>
          <cell r="O85" t="str">
            <v>Không</v>
          </cell>
          <cell r="P85" t="str">
            <v>Việt Nam</v>
          </cell>
          <cell r="Q85" t="str">
            <v>7/12</v>
          </cell>
          <cell r="S85" t="str">
            <v>Xã Dân Lực, huyện Triệu Sơn, tỉnh Thanh Hóa</v>
          </cell>
          <cell r="T85" t="str">
            <v>Xã Dân Lực, huyện Triệu Sơn, tỉnh Thanh Hóa</v>
          </cell>
          <cell r="U85" t="str">
            <v>Thôn Phúc Hải, xã Dân Lực, huyện Triệu Sơn, tỉnh Thanh Hóa</v>
          </cell>
          <cell r="V85" t="str">
            <v>0353365163</v>
          </cell>
          <cell r="W85">
            <v>3821869213</v>
          </cell>
          <cell r="Z85" t="str">
            <v>DN4383821869213</v>
          </cell>
          <cell r="AC85" t="str">
            <v>0001018264854</v>
          </cell>
          <cell r="AE85">
            <v>44183</v>
          </cell>
          <cell r="AF85" t="str">
            <v>1 năm 2 tháng 16 ngày</v>
          </cell>
          <cell r="AG85">
            <v>44183</v>
          </cell>
          <cell r="AH85">
            <v>44256</v>
          </cell>
          <cell r="AN85">
            <v>3876000</v>
          </cell>
          <cell r="AO85">
            <v>3470000</v>
          </cell>
        </row>
        <row r="86">
          <cell r="E86">
            <v>50162</v>
          </cell>
          <cell r="F86" t="str">
            <v>Nguyễn Thị Phương</v>
          </cell>
          <cell r="G86">
            <v>36771</v>
          </cell>
          <cell r="H86">
            <v>21</v>
          </cell>
          <cell r="J86" t="str">
            <v>x</v>
          </cell>
          <cell r="K86" t="str">
            <v>038300001719</v>
          </cell>
          <cell r="L86">
            <v>42580</v>
          </cell>
          <cell r="M86" t="str">
            <v>Cục quản lý dân cư</v>
          </cell>
          <cell r="N86" t="str">
            <v>Kinh</v>
          </cell>
          <cell r="O86" t="str">
            <v>Không</v>
          </cell>
          <cell r="P86" t="str">
            <v>Việt Nam</v>
          </cell>
          <cell r="Q86" t="str">
            <v>9/12</v>
          </cell>
          <cell r="S86" t="str">
            <v>xã Dân Quyền, huyện Triệu Sơn, tỉnh Thanh Hóa</v>
          </cell>
          <cell r="T86" t="str">
            <v>xã Dân Quyền, huyện Triệu Sơn, tỉnh Thanh Hóa</v>
          </cell>
          <cell r="U86" t="str">
            <v>Thôn 6, Xã Dân Quyền, huyện Triệu Sơn, tỉnh Thanh Hóa</v>
          </cell>
          <cell r="V86" t="str">
            <v>0334403125</v>
          </cell>
          <cell r="W86">
            <v>3821963661</v>
          </cell>
          <cell r="Z86" t="str">
            <v>DN4383821963661</v>
          </cell>
          <cell r="AC86">
            <v>1020057311</v>
          </cell>
          <cell r="AD86" t="str">
            <v>105873754654</v>
          </cell>
          <cell r="AE86">
            <v>44247</v>
          </cell>
          <cell r="AF86" t="str">
            <v>1 năm 0 tháng 14 ngày</v>
          </cell>
          <cell r="AG86">
            <v>44287</v>
          </cell>
          <cell r="AH86">
            <v>44317</v>
          </cell>
          <cell r="AK86" t="str">
            <v>Công nhân đóng gói công nghiệp</v>
          </cell>
          <cell r="AN86">
            <v>3876000</v>
          </cell>
          <cell r="AO86">
            <v>3470000</v>
          </cell>
        </row>
        <row r="87">
          <cell r="E87">
            <v>50168</v>
          </cell>
          <cell r="F87" t="str">
            <v>Nguyễn Thị Hiền</v>
          </cell>
          <cell r="G87">
            <v>30561</v>
          </cell>
          <cell r="H87">
            <v>38</v>
          </cell>
          <cell r="J87" t="str">
            <v>x</v>
          </cell>
          <cell r="K87" t="str">
            <v>038183013550</v>
          </cell>
          <cell r="L87">
            <v>43356</v>
          </cell>
          <cell r="M87" t="str">
            <v>Cục quản lý dân cư</v>
          </cell>
          <cell r="N87" t="str">
            <v>Kinh</v>
          </cell>
          <cell r="O87" t="str">
            <v>Không</v>
          </cell>
          <cell r="P87" t="str">
            <v>Việt Nam</v>
          </cell>
          <cell r="Q87" t="str">
            <v>9/12</v>
          </cell>
          <cell r="S87" t="str">
            <v>Xã Dân Lực, huyện Triệu Sơn, tỉnh Thanh Hóa</v>
          </cell>
          <cell r="T87" t="str">
            <v>Xã Dân Lực, huyện Triệu Sơn, tỉnh Thanh Hóa</v>
          </cell>
          <cell r="U87" t="str">
            <v>Thôn Ân Mộc, xã Dân Lực, huyện Triệu Sơn, tỉnh Thanh Hóa</v>
          </cell>
          <cell r="V87" t="str">
            <v>0832640227</v>
          </cell>
          <cell r="W87" t="str">
            <v>3821900044</v>
          </cell>
          <cell r="Z87" t="str">
            <v>DN4383821900044</v>
          </cell>
          <cell r="AC87">
            <v>1020063873</v>
          </cell>
          <cell r="AD87">
            <v>107873664549</v>
          </cell>
          <cell r="AE87">
            <v>44252</v>
          </cell>
          <cell r="AF87" t="str">
            <v>1 năm 0 tháng 9 ngày</v>
          </cell>
          <cell r="AH87">
            <v>44317</v>
          </cell>
          <cell r="AK87" t="str">
            <v>Công nhân vận hành máy may công nghiệp</v>
          </cell>
          <cell r="AN87">
            <v>3876000</v>
          </cell>
          <cell r="AO87">
            <v>3470000</v>
          </cell>
        </row>
        <row r="88">
          <cell r="E88">
            <v>50169</v>
          </cell>
          <cell r="F88" t="str">
            <v>Trịnh Thị Duyên</v>
          </cell>
          <cell r="G88">
            <v>27550</v>
          </cell>
          <cell r="H88">
            <v>46</v>
          </cell>
          <cell r="J88" t="str">
            <v>x</v>
          </cell>
          <cell r="K88" t="str">
            <v>038175010983</v>
          </cell>
          <cell r="L88">
            <v>43852</v>
          </cell>
          <cell r="M88" t="str">
            <v>Cục quản lý dân cư</v>
          </cell>
          <cell r="N88" t="str">
            <v>Kinh</v>
          </cell>
          <cell r="O88" t="str">
            <v>Không</v>
          </cell>
          <cell r="P88" t="str">
            <v>Việt Nam</v>
          </cell>
          <cell r="Q88" t="str">
            <v>9/12</v>
          </cell>
          <cell r="S88" t="str">
            <v>Xã Dân Lực, huyện Triệu Sơn, tỉnh Thanh Hóa</v>
          </cell>
          <cell r="T88" t="str">
            <v>Xã Dân Lực, huyện Triệu Sơn, tỉnh Thanh Hóa</v>
          </cell>
          <cell r="U88" t="str">
            <v>Thôn Đô Trang, xã Dân Lực, huyện Triệu Sơn, tỉnh Thanh Hóa</v>
          </cell>
          <cell r="V88" t="str">
            <v>0378162221</v>
          </cell>
          <cell r="W88" t="str">
            <v>3821838485</v>
          </cell>
          <cell r="Z88" t="str">
            <v>DN4383821838485</v>
          </cell>
          <cell r="AC88">
            <v>1020066247</v>
          </cell>
          <cell r="AD88">
            <v>104873664502</v>
          </cell>
          <cell r="AE88">
            <v>44252</v>
          </cell>
          <cell r="AF88" t="str">
            <v>1 năm 0 tháng 9 ngày</v>
          </cell>
          <cell r="AH88">
            <v>44317</v>
          </cell>
          <cell r="AK88" t="str">
            <v>Nhân viên công vụ</v>
          </cell>
          <cell r="AN88">
            <v>3671000</v>
          </cell>
          <cell r="AO88">
            <v>3470000</v>
          </cell>
        </row>
        <row r="89">
          <cell r="E89">
            <v>50170</v>
          </cell>
          <cell r="F89" t="str">
            <v>Nguyễn Hữu Minh</v>
          </cell>
          <cell r="G89">
            <v>36443</v>
          </cell>
          <cell r="H89">
            <v>22</v>
          </cell>
          <cell r="I89" t="str">
            <v>x</v>
          </cell>
          <cell r="K89" t="str">
            <v>038099011943</v>
          </cell>
          <cell r="L89">
            <v>43999</v>
          </cell>
          <cell r="M89" t="str">
            <v>Cục quản lý dân cư</v>
          </cell>
          <cell r="N89" t="str">
            <v>Kinh</v>
          </cell>
          <cell r="O89" t="str">
            <v>Không</v>
          </cell>
          <cell r="P89" t="str">
            <v>Việt Nam</v>
          </cell>
          <cell r="Q89" t="str">
            <v>9/12</v>
          </cell>
          <cell r="S89" t="str">
            <v>xã Dân Quyền, huyện Triệu Sơn, tỉnh Thanh Hóa</v>
          </cell>
          <cell r="T89" t="str">
            <v>xã Dân Quyền, huyện Triệu Sơn, tỉnh Thanh Hóa</v>
          </cell>
          <cell r="U89" t="str">
            <v>Thôn 3, xã Dân Quyền, huyện Triệu Sơn, tỉnh Thanh Hóa</v>
          </cell>
          <cell r="V89" t="str">
            <v>0865023631</v>
          </cell>
          <cell r="W89" t="str">
            <v>3821885927</v>
          </cell>
          <cell r="Z89" t="str">
            <v>DN4383821885927</v>
          </cell>
          <cell r="AC89">
            <v>1020062033</v>
          </cell>
          <cell r="AD89">
            <v>100873664630</v>
          </cell>
          <cell r="AE89">
            <v>44253</v>
          </cell>
          <cell r="AF89" t="str">
            <v>1 năm 0 tháng 8 ngày</v>
          </cell>
          <cell r="AH89">
            <v>44317</v>
          </cell>
          <cell r="AK89" t="str">
            <v>Công nhân vận hành máy may công nghiệp</v>
          </cell>
          <cell r="AN89">
            <v>3876000</v>
          </cell>
          <cell r="AO89">
            <v>3470000</v>
          </cell>
        </row>
        <row r="90">
          <cell r="E90">
            <v>50171</v>
          </cell>
          <cell r="F90" t="str">
            <v>Kiều Thị Hải</v>
          </cell>
          <cell r="G90">
            <v>32121</v>
          </cell>
          <cell r="H90">
            <v>34</v>
          </cell>
          <cell r="J90" t="str">
            <v>x</v>
          </cell>
          <cell r="K90" t="str">
            <v>038187012543</v>
          </cell>
          <cell r="L90">
            <v>43474</v>
          </cell>
          <cell r="M90" t="str">
            <v>Cục quản lý dân cư</v>
          </cell>
          <cell r="N90" t="str">
            <v>Kinh</v>
          </cell>
          <cell r="O90" t="str">
            <v>Không</v>
          </cell>
          <cell r="P90" t="str">
            <v>Việt Nam</v>
          </cell>
          <cell r="Q90" t="str">
            <v>9/12</v>
          </cell>
          <cell r="S90" t="str">
            <v>Quảng Lợi, Quảng Xương, Thanh Hóa</v>
          </cell>
          <cell r="T90" t="str">
            <v>Quảng Lợi, Quảng Xương, Thanh Hóa</v>
          </cell>
          <cell r="U90" t="str">
            <v>Thôn 5, xã Thọ Thế, huyện Triệu Sơn, tỉnh Thanh Hóa</v>
          </cell>
          <cell r="V90" t="str">
            <v>0985902201</v>
          </cell>
          <cell r="W90">
            <v>3815031195</v>
          </cell>
          <cell r="AC90">
            <v>1020063162</v>
          </cell>
          <cell r="AE90">
            <v>44254</v>
          </cell>
          <cell r="AF90" t="str">
            <v>1 năm 0 tháng 7 ngày</v>
          </cell>
          <cell r="AH90">
            <v>44378</v>
          </cell>
          <cell r="AK90" t="str">
            <v>Công nhân vận hành máy may công nghiệp</v>
          </cell>
          <cell r="AN90">
            <v>3876000</v>
          </cell>
          <cell r="AO90">
            <v>3470000</v>
          </cell>
        </row>
        <row r="91">
          <cell r="E91">
            <v>50172</v>
          </cell>
          <cell r="F91" t="str">
            <v>Bùi Thị Thu Thủy</v>
          </cell>
          <cell r="G91">
            <v>36628</v>
          </cell>
          <cell r="H91">
            <v>21</v>
          </cell>
          <cell r="J91" t="str">
            <v>x</v>
          </cell>
          <cell r="K91" t="str">
            <v>038198007663</v>
          </cell>
          <cell r="L91">
            <v>43840</v>
          </cell>
          <cell r="M91" t="str">
            <v>Cục quản lý dân cư</v>
          </cell>
          <cell r="N91" t="str">
            <v>Mường</v>
          </cell>
          <cell r="O91" t="str">
            <v>Không</v>
          </cell>
          <cell r="P91" t="str">
            <v>Việt Nam</v>
          </cell>
          <cell r="Q91" t="str">
            <v>Cao đẳng</v>
          </cell>
          <cell r="R91" t="str">
            <v>May thời trang</v>
          </cell>
          <cell r="S91" t="str">
            <v>Xã Nguyệt Ấn, huyện Ngọc Lặc, tỉnh Thanh Hóa</v>
          </cell>
          <cell r="T91" t="str">
            <v>Xã Nguyệt Ấn, huyện Ngọc Lặc, tỉnh Thanh Hóa</v>
          </cell>
          <cell r="U91" t="str">
            <v>Xã Nguyệt Ấn, huyện Ngọc Lặc, tỉnh Thanh Hóa</v>
          </cell>
          <cell r="V91" t="str">
            <v>0962837020</v>
          </cell>
          <cell r="W91">
            <v>3820840183</v>
          </cell>
          <cell r="AC91" t="str">
            <v>1020615243</v>
          </cell>
          <cell r="AD91">
            <v>103873665879</v>
          </cell>
          <cell r="AE91">
            <v>44249</v>
          </cell>
          <cell r="AF91" t="str">
            <v>1 năm 0 tháng 12 ngày</v>
          </cell>
          <cell r="AH91">
            <v>44378</v>
          </cell>
          <cell r="AK91" t="str">
            <v>Nhân viên kỹ thuật</v>
          </cell>
          <cell r="AN91">
            <v>3876000</v>
          </cell>
          <cell r="AO91">
            <v>3470000</v>
          </cell>
        </row>
        <row r="92">
          <cell r="E92">
            <v>50173</v>
          </cell>
          <cell r="F92" t="str">
            <v>Hà Thị Thanh</v>
          </cell>
          <cell r="G92">
            <v>31046</v>
          </cell>
          <cell r="H92">
            <v>37</v>
          </cell>
          <cell r="J92" t="str">
            <v>x</v>
          </cell>
          <cell r="K92" t="str">
            <v>038184015042</v>
          </cell>
          <cell r="L92">
            <v>43349</v>
          </cell>
          <cell r="M92" t="str">
            <v>Cục quản lý dân cư</v>
          </cell>
          <cell r="N92" t="str">
            <v>Mường</v>
          </cell>
          <cell r="O92" t="str">
            <v>Không</v>
          </cell>
          <cell r="P92" t="str">
            <v>Việt Nam</v>
          </cell>
          <cell r="Q92" t="str">
            <v>9/12</v>
          </cell>
          <cell r="S92" t="str">
            <v>Xã Cẩm Quý, huyện Cẩm Thủy, tỉnh Thanh Hóa</v>
          </cell>
          <cell r="T92" t="str">
            <v>Xã Cẩm Quý, huyện Cẩm Thủy, tỉnh Thanh Hóa</v>
          </cell>
          <cell r="U92" t="str">
            <v>Thôn 2, xã Dân Quyền, huyện Triệu Sơn, tỉnh Thanh Hóa</v>
          </cell>
          <cell r="V92" t="str">
            <v>0333247310</v>
          </cell>
          <cell r="W92">
            <v>3820965011</v>
          </cell>
          <cell r="AC92">
            <v>1020065219</v>
          </cell>
          <cell r="AD92">
            <v>108873664550</v>
          </cell>
          <cell r="AE92">
            <v>44256</v>
          </cell>
          <cell r="AF92" t="str">
            <v>1 năm 0 tháng 5 ngày</v>
          </cell>
          <cell r="AH92">
            <v>44440</v>
          </cell>
          <cell r="AK92" t="str">
            <v>Công nhân vận hành máy may công nghiệp</v>
          </cell>
          <cell r="AN92">
            <v>3602000</v>
          </cell>
          <cell r="AO92">
            <v>3470000</v>
          </cell>
        </row>
        <row r="93">
          <cell r="E93">
            <v>50174</v>
          </cell>
          <cell r="F93" t="str">
            <v>Trần Đình Thắng</v>
          </cell>
          <cell r="G93">
            <v>33331</v>
          </cell>
          <cell r="H93">
            <v>30</v>
          </cell>
          <cell r="I93" t="str">
            <v>x</v>
          </cell>
          <cell r="K93" t="str">
            <v>038091014536</v>
          </cell>
          <cell r="L93">
            <v>43514</v>
          </cell>
          <cell r="M93" t="str">
            <v>Cục quản lý dân cư</v>
          </cell>
          <cell r="N93" t="str">
            <v>Kinh</v>
          </cell>
          <cell r="O93" t="str">
            <v>Không</v>
          </cell>
          <cell r="P93" t="str">
            <v>Việt Nam</v>
          </cell>
          <cell r="Q93" t="str">
            <v>9/12</v>
          </cell>
          <cell r="S93" t="str">
            <v>xã Dân Quyền, huyện Triệu Sơn, tỉnh Thanh Hóa</v>
          </cell>
          <cell r="T93" t="str">
            <v>xã Dân Quyền, huyện Triệu Sơn, tỉnh Thanh Hóa</v>
          </cell>
          <cell r="U93" t="str">
            <v>Thôn 1, xã Dân Quyền, huyện Triệu Sơn, tỉnh Thanh Hóa</v>
          </cell>
          <cell r="V93" t="str">
            <v>0336717299</v>
          </cell>
          <cell r="W93" t="str">
            <v>7412029126</v>
          </cell>
          <cell r="Y93" t="str">
            <v>Chưa có bìa sổ</v>
          </cell>
          <cell r="Z93" t="str">
            <v>DN4387412029126</v>
          </cell>
          <cell r="AC93">
            <v>1020066731</v>
          </cell>
          <cell r="AD93">
            <v>105873664565</v>
          </cell>
          <cell r="AE93">
            <v>44259</v>
          </cell>
          <cell r="AF93" t="str">
            <v>1 năm 0 tháng 2 ngày</v>
          </cell>
          <cell r="AH93">
            <v>44317</v>
          </cell>
          <cell r="AK93" t="str">
            <v>Công nhân vận hành máy may công nghiệp</v>
          </cell>
          <cell r="AN93">
            <v>3876000</v>
          </cell>
          <cell r="AO93">
            <v>3470000</v>
          </cell>
        </row>
        <row r="94">
          <cell r="E94">
            <v>50176</v>
          </cell>
          <cell r="F94" t="str">
            <v>Nguyễn Văn Nhật</v>
          </cell>
          <cell r="G94">
            <v>36462</v>
          </cell>
          <cell r="H94">
            <v>22</v>
          </cell>
          <cell r="I94" t="str">
            <v>x</v>
          </cell>
          <cell r="K94" t="str">
            <v>038099005545</v>
          </cell>
          <cell r="L94">
            <v>42704</v>
          </cell>
          <cell r="M94" t="str">
            <v>Cục quản lý dân cư</v>
          </cell>
          <cell r="N94" t="str">
            <v>Kinh</v>
          </cell>
          <cell r="O94" t="str">
            <v>Không</v>
          </cell>
          <cell r="P94" t="str">
            <v>Việt Nam</v>
          </cell>
          <cell r="Q94" t="str">
            <v>12/12</v>
          </cell>
          <cell r="S94" t="str">
            <v>Xã Dân Quyền, huyện Triệu Sơn, tỉnh Thanh Hóa</v>
          </cell>
          <cell r="T94" t="str">
            <v>Xã Dân Quyền, huyện Triệu Sơn, tỉnh Thanh Hóa</v>
          </cell>
          <cell r="U94" t="str">
            <v>Thôn 5, Xã Dân Quyền, huyện Triệu Sơn, tỉnh Thanh Hóa</v>
          </cell>
          <cell r="V94" t="str">
            <v>0363573088</v>
          </cell>
          <cell r="W94">
            <v>2721912881</v>
          </cell>
          <cell r="AC94" t="str">
            <v>1012584711</v>
          </cell>
          <cell r="AD94" t="str">
            <v>108869667176</v>
          </cell>
          <cell r="AE94">
            <v>44263</v>
          </cell>
          <cell r="AF94" t="str">
            <v>0 năm 11 tháng 26 ngày</v>
          </cell>
          <cell r="AH94">
            <v>44440</v>
          </cell>
          <cell r="AN94">
            <v>3602000</v>
          </cell>
          <cell r="AO94">
            <v>3470000</v>
          </cell>
        </row>
        <row r="95">
          <cell r="E95">
            <v>50178</v>
          </cell>
          <cell r="F95" t="str">
            <v>Nguyễn Tăng Quân</v>
          </cell>
          <cell r="G95">
            <v>34982</v>
          </cell>
          <cell r="H95">
            <v>26</v>
          </cell>
          <cell r="I95" t="str">
            <v>x</v>
          </cell>
          <cell r="K95" t="str">
            <v>038095006301</v>
          </cell>
          <cell r="L95" t="str">
            <v>14/03/021</v>
          </cell>
          <cell r="M95" t="str">
            <v>Cục quản lý dân cư</v>
          </cell>
          <cell r="N95" t="str">
            <v>Kinh</v>
          </cell>
          <cell r="O95" t="str">
            <v>Không</v>
          </cell>
          <cell r="P95" t="str">
            <v>Việt Nam</v>
          </cell>
          <cell r="S95" t="str">
            <v>Xã Dân Lực, huyện Triệu Sơn, tỉnh Thanh Hoá</v>
          </cell>
          <cell r="T95" t="str">
            <v>Xã Dân Lực, huyện Triệu Sơn, tỉnh Thanh Hoá</v>
          </cell>
          <cell r="U95" t="str">
            <v>Thôn Ân Mộc, Xã Dân Lực, huyện Triệu Sơn, tỉnh Thanh Hoá</v>
          </cell>
          <cell r="V95" t="str">
            <v>0866882907</v>
          </cell>
          <cell r="W95">
            <v>3816052971</v>
          </cell>
          <cell r="AC95">
            <v>1020061677</v>
          </cell>
          <cell r="AD95">
            <v>107873664551</v>
          </cell>
          <cell r="AE95">
            <v>44263</v>
          </cell>
          <cell r="AF95" t="str">
            <v>0 năm 11 tháng 26 ngày</v>
          </cell>
          <cell r="AH95">
            <v>44440</v>
          </cell>
          <cell r="AN95">
            <v>3602000</v>
          </cell>
          <cell r="AO95">
            <v>3470000</v>
          </cell>
        </row>
        <row r="96">
          <cell r="E96">
            <v>50180</v>
          </cell>
          <cell r="F96" t="str">
            <v>Nguyễn Văn Giáp</v>
          </cell>
          <cell r="G96">
            <v>34262</v>
          </cell>
          <cell r="H96">
            <v>28</v>
          </cell>
          <cell r="I96" t="str">
            <v>x</v>
          </cell>
          <cell r="K96" t="str">
            <v>038093012644</v>
          </cell>
          <cell r="L96">
            <v>43431</v>
          </cell>
          <cell r="M96" t="str">
            <v>Cục quản lý dân cư</v>
          </cell>
          <cell r="N96" t="str">
            <v>Kinh</v>
          </cell>
          <cell r="O96" t="str">
            <v>Không</v>
          </cell>
          <cell r="P96" t="str">
            <v>Việt Nam</v>
          </cell>
          <cell r="Q96" t="str">
            <v>9/12</v>
          </cell>
          <cell r="S96" t="str">
            <v>Xã Dân Quyền, huyện Triệu Sơn, tỉnh Thanh Hóa</v>
          </cell>
          <cell r="T96" t="str">
            <v>Xã Dân Quyền, huyện Triệu Sơn, tỉnh Thanh Hóa</v>
          </cell>
          <cell r="U96" t="str">
            <v>Thôn 3, Xã Dân Quyền, huyện Triệu Sơn, tỉnh Thanh Hóa</v>
          </cell>
          <cell r="V96" t="str">
            <v>0363080747</v>
          </cell>
          <cell r="W96" t="str">
            <v>3822219926</v>
          </cell>
          <cell r="Z96" t="str">
            <v>DN4383822219926</v>
          </cell>
          <cell r="AC96">
            <v>1020061740</v>
          </cell>
          <cell r="AD96">
            <v>109871212677</v>
          </cell>
          <cell r="AE96">
            <v>44263</v>
          </cell>
          <cell r="AF96" t="str">
            <v>0 năm 11 tháng 26 ngày</v>
          </cell>
          <cell r="AH96">
            <v>44317</v>
          </cell>
          <cell r="AK96" t="str">
            <v>Công nhân vận hành máy may công nghiệp</v>
          </cell>
          <cell r="AN96">
            <v>3876000</v>
          </cell>
          <cell r="AO96">
            <v>3470000</v>
          </cell>
        </row>
        <row r="97">
          <cell r="E97">
            <v>50183</v>
          </cell>
          <cell r="F97" t="str">
            <v>Nguyễn Thị Lan Anh</v>
          </cell>
          <cell r="G97">
            <v>36420</v>
          </cell>
          <cell r="H97">
            <v>22</v>
          </cell>
          <cell r="J97" t="str">
            <v>x</v>
          </cell>
          <cell r="K97" t="str">
            <v>038199009608</v>
          </cell>
          <cell r="L97">
            <v>42746</v>
          </cell>
          <cell r="M97" t="str">
            <v>Cục quản lý dân cư</v>
          </cell>
          <cell r="N97" t="str">
            <v>Kinh</v>
          </cell>
          <cell r="O97" t="str">
            <v>Không</v>
          </cell>
          <cell r="P97" t="str">
            <v>Việt Nam</v>
          </cell>
          <cell r="Q97" t="str">
            <v>12/12</v>
          </cell>
          <cell r="S97" t="str">
            <v>Xã Vân Sơn, huyện Triệu Sơn, tỉnh Thanh Hóa</v>
          </cell>
          <cell r="T97" t="str">
            <v>Xã Vân Sơn, huyện Triệu Sơn, tỉnh Thanh Hóa</v>
          </cell>
          <cell r="U97" t="str">
            <v>Thôn Phúc Hải, xã Dân Lực, huyện Triệu Sơn, tỉnh Thanh Hóa</v>
          </cell>
          <cell r="V97" t="str">
            <v>0372369047</v>
          </cell>
          <cell r="W97">
            <v>3823635855</v>
          </cell>
          <cell r="Y97" t="str">
            <v>Chưa có bìa sổ</v>
          </cell>
          <cell r="Z97" t="str">
            <v>DN4383823635855</v>
          </cell>
          <cell r="AC97" t="str">
            <v>0871004239443</v>
          </cell>
          <cell r="AD97">
            <v>109873664631</v>
          </cell>
          <cell r="AE97">
            <v>44266</v>
          </cell>
          <cell r="AF97" t="str">
            <v>0 năm 11 tháng 23 ngày</v>
          </cell>
          <cell r="AH97">
            <v>44317</v>
          </cell>
          <cell r="AK97" t="str">
            <v>Công nhân vận hành máy may công nghiệp</v>
          </cell>
          <cell r="AN97">
            <v>3876000</v>
          </cell>
          <cell r="AO97">
            <v>3470000</v>
          </cell>
        </row>
        <row r="98">
          <cell r="E98">
            <v>50184</v>
          </cell>
          <cell r="F98" t="str">
            <v>Nguyễn Văn Tuấn</v>
          </cell>
          <cell r="G98">
            <v>34844</v>
          </cell>
          <cell r="H98">
            <v>26</v>
          </cell>
          <cell r="I98" t="str">
            <v>x</v>
          </cell>
          <cell r="K98">
            <v>174785215</v>
          </cell>
          <cell r="L98">
            <v>41606</v>
          </cell>
          <cell r="M98" t="str">
            <v>Công an Thanh Hóa</v>
          </cell>
          <cell r="N98" t="str">
            <v>Kinh</v>
          </cell>
          <cell r="O98" t="str">
            <v>Không</v>
          </cell>
          <cell r="P98" t="str">
            <v>Việt Nam</v>
          </cell>
          <cell r="Q98" t="str">
            <v>Trung cấp</v>
          </cell>
          <cell r="R98" t="str">
            <v>Kỹ thuật chế biến món ăn</v>
          </cell>
          <cell r="S98" t="str">
            <v>Xã Xuân Lộc, huyện Triệu Sơn, tỉnh Thanh Hóa</v>
          </cell>
          <cell r="T98" t="str">
            <v>Xã Xuân Lộc, huyện Triệu Sơn, tỉnh Thanh Hóa</v>
          </cell>
          <cell r="U98" t="str">
            <v>Thôn yên Trinh, Xã Xuân Lộc, huyện Triệu Sơn, tỉnh Thanh Hóa</v>
          </cell>
          <cell r="V98" t="str">
            <v>0963734965</v>
          </cell>
          <cell r="W98" t="str">
            <v>3821927929</v>
          </cell>
          <cell r="Z98" t="str">
            <v>DN4383821927929</v>
          </cell>
          <cell r="AC98">
            <v>1020061540</v>
          </cell>
          <cell r="AD98">
            <v>102873664614</v>
          </cell>
          <cell r="AE98">
            <v>44266</v>
          </cell>
          <cell r="AF98" t="str">
            <v>0 năm 11 tháng 23 ngày</v>
          </cell>
          <cell r="AH98">
            <v>44287</v>
          </cell>
          <cell r="AK98" t="str">
            <v>Công nhân vận hành máy may công nghiệp</v>
          </cell>
          <cell r="AN98">
            <v>3876000</v>
          </cell>
          <cell r="AO98">
            <v>3470000</v>
          </cell>
        </row>
        <row r="99">
          <cell r="E99">
            <v>50185</v>
          </cell>
          <cell r="F99" t="str">
            <v>Hoàng Thị Thiện</v>
          </cell>
          <cell r="G99">
            <v>32060</v>
          </cell>
          <cell r="H99">
            <v>34</v>
          </cell>
          <cell r="J99" t="str">
            <v>x</v>
          </cell>
          <cell r="K99" t="str">
            <v>038187001111</v>
          </cell>
          <cell r="L99">
            <v>42506</v>
          </cell>
          <cell r="M99" t="str">
            <v>Cục quản lý dân cư</v>
          </cell>
          <cell r="N99" t="str">
            <v>Kinh</v>
          </cell>
          <cell r="O99" t="str">
            <v>Không</v>
          </cell>
          <cell r="P99" t="str">
            <v>Việt Nam</v>
          </cell>
          <cell r="Q99" t="str">
            <v>9/12</v>
          </cell>
          <cell r="S99" t="str">
            <v>Xã Thiệu Tiến, huyện Thiệu Hoá, tỉnh Thanh Hoá</v>
          </cell>
          <cell r="T99" t="str">
            <v>Xã Thiệu Tiến, huyện Thiệu Hoá, tỉnh Thanh Hoá</v>
          </cell>
          <cell r="U99" t="str">
            <v>Thôn Ân Mộc, Xã Dân Lực, huyện Triệu Sơn, tỉnh Thanh Hóa</v>
          </cell>
          <cell r="V99" t="str">
            <v>0978066859</v>
          </cell>
          <cell r="W99" t="str">
            <v>3821980365</v>
          </cell>
          <cell r="Z99" t="str">
            <v>DN4383821980365</v>
          </cell>
          <cell r="AC99">
            <v>1020056710</v>
          </cell>
          <cell r="AD99">
            <v>108873664508</v>
          </cell>
          <cell r="AE99">
            <v>44266</v>
          </cell>
          <cell r="AF99" t="str">
            <v>0 năm 11 tháng 23 ngày</v>
          </cell>
          <cell r="AH99">
            <v>44317</v>
          </cell>
          <cell r="AK99" t="str">
            <v>Công nhận vận hành máy ép mex công nghiệp</v>
          </cell>
          <cell r="AN99">
            <v>3876000</v>
          </cell>
          <cell r="AO99">
            <v>3470000</v>
          </cell>
        </row>
        <row r="100">
          <cell r="E100">
            <v>50191</v>
          </cell>
          <cell r="F100" t="str">
            <v>Vũ Hữu Công</v>
          </cell>
          <cell r="G100">
            <v>33550</v>
          </cell>
          <cell r="H100">
            <v>30</v>
          </cell>
          <cell r="I100" t="str">
            <v>x</v>
          </cell>
          <cell r="K100" t="str">
            <v>038091002752</v>
          </cell>
          <cell r="L100">
            <v>42649</v>
          </cell>
          <cell r="M100" t="str">
            <v>Cục quản lý dân cư</v>
          </cell>
          <cell r="N100" t="str">
            <v>Kinh</v>
          </cell>
          <cell r="O100" t="str">
            <v>Không</v>
          </cell>
          <cell r="P100" t="str">
            <v>Việt Nam</v>
          </cell>
          <cell r="Q100" t="str">
            <v>9/12</v>
          </cell>
          <cell r="S100" t="str">
            <v>Xã Thọ Phú, huyện Triệu Sơn, tỉnh Thanh Hóa</v>
          </cell>
          <cell r="T100" t="str">
            <v>Xã Thọ Phú, huyện Triệu Sơn, tỉnh Thanh Hóa</v>
          </cell>
          <cell r="U100" t="str">
            <v>Thôn 4, Xã Thọ Phú, huyện Triệu Sơn, tỉnh Thanh Hóa</v>
          </cell>
          <cell r="V100" t="str">
            <v>0327062658</v>
          </cell>
          <cell r="W100" t="str">
            <v>3822015665</v>
          </cell>
          <cell r="Z100" t="str">
            <v>DN4383822015665</v>
          </cell>
          <cell r="AC100" t="str">
            <v>0931004215127</v>
          </cell>
          <cell r="AD100">
            <v>107873664509</v>
          </cell>
          <cell r="AE100">
            <v>44268</v>
          </cell>
          <cell r="AF100" t="str">
            <v>0 năm 11 tháng 21 ngày</v>
          </cell>
          <cell r="AH100">
            <v>44317</v>
          </cell>
          <cell r="AK100" t="str">
            <v>Công nhân vận hành máy may công nghiệp</v>
          </cell>
          <cell r="AN100">
            <v>3876000</v>
          </cell>
          <cell r="AO100">
            <v>3470000</v>
          </cell>
        </row>
        <row r="101">
          <cell r="E101">
            <v>50193</v>
          </cell>
          <cell r="F101" t="str">
            <v>Bùi Thị Linh</v>
          </cell>
          <cell r="G101">
            <v>37597</v>
          </cell>
          <cell r="H101">
            <v>19</v>
          </cell>
          <cell r="J101" t="str">
            <v>x</v>
          </cell>
          <cell r="K101" t="str">
            <v>03802018369</v>
          </cell>
          <cell r="L101">
            <v>43823</v>
          </cell>
          <cell r="M101" t="str">
            <v>Cục quản lý dân cư</v>
          </cell>
          <cell r="N101" t="str">
            <v>Kinh</v>
          </cell>
          <cell r="O101" t="str">
            <v>Không</v>
          </cell>
          <cell r="P101" t="str">
            <v>Việt Nam</v>
          </cell>
          <cell r="Q101" t="str">
            <v>12/12</v>
          </cell>
          <cell r="S101" t="str">
            <v>Xã Dân Lực, huyện Triệu Sơn, tỉnh Thanh Hóa</v>
          </cell>
          <cell r="T101" t="str">
            <v>Xã Dân Lực, huyện Triệu Sơn, tỉnh Thanh Hóa</v>
          </cell>
          <cell r="U101" t="str">
            <v>Thôn Tiên Mộc, Xã Dân Lực, huyện Triệu Sơn, tỉnh Thanh Hóa</v>
          </cell>
          <cell r="V101" t="str">
            <v>0384604467</v>
          </cell>
          <cell r="W101" t="str">
            <v>3822012549</v>
          </cell>
          <cell r="Z101" t="str">
            <v>DN4383822012549</v>
          </cell>
          <cell r="AC101">
            <v>1020061390</v>
          </cell>
          <cell r="AD101">
            <v>107873664590</v>
          </cell>
          <cell r="AE101">
            <v>44270</v>
          </cell>
          <cell r="AF101" t="str">
            <v>0 năm 11 tháng 19 ngày</v>
          </cell>
          <cell r="AH101">
            <v>44287</v>
          </cell>
          <cell r="AK101" t="str">
            <v>Công nhận vận hành máy ép mex công nghiệp</v>
          </cell>
          <cell r="AN101">
            <v>3876000</v>
          </cell>
          <cell r="AO101">
            <v>3470000</v>
          </cell>
        </row>
        <row r="102">
          <cell r="E102">
            <v>50198</v>
          </cell>
          <cell r="F102" t="str">
            <v>Hà Thị Tâm</v>
          </cell>
          <cell r="G102">
            <v>34996</v>
          </cell>
          <cell r="H102">
            <v>26</v>
          </cell>
          <cell r="J102" t="str">
            <v>x</v>
          </cell>
          <cell r="K102">
            <v>174790290</v>
          </cell>
          <cell r="L102">
            <v>42157</v>
          </cell>
          <cell r="M102" t="str">
            <v>Công an Thanh Hóa</v>
          </cell>
          <cell r="N102" t="str">
            <v>Kinh</v>
          </cell>
          <cell r="O102" t="str">
            <v>Không</v>
          </cell>
          <cell r="P102" t="str">
            <v>Việt Nam</v>
          </cell>
          <cell r="Q102" t="str">
            <v>12/12</v>
          </cell>
          <cell r="S102" t="str">
            <v>Xã Minh Châu, huyện Triệu Sơn, tỉnh Thanh Hóa</v>
          </cell>
          <cell r="T102" t="str">
            <v>Xã Minh Châu, huyện Triệu Sơn, tỉnh Thanh Hóa</v>
          </cell>
          <cell r="U102" t="str">
            <v>Thôn 3, xã Thọ Phú, huyện Triệu Sơn, tỉnh Thanh Hóa</v>
          </cell>
          <cell r="V102" t="str">
            <v>0366256486</v>
          </cell>
          <cell r="W102">
            <v>3821881137</v>
          </cell>
          <cell r="Z102" t="str">
            <v>DN4383821881137</v>
          </cell>
          <cell r="AC102">
            <v>1020061231</v>
          </cell>
          <cell r="AE102">
            <v>44273</v>
          </cell>
          <cell r="AF102" t="str">
            <v>0 năm 11 tháng 16 ngày</v>
          </cell>
          <cell r="AH102">
            <v>44317</v>
          </cell>
          <cell r="AK102" t="str">
            <v>Công nhân vận hành máy may công nghiệp</v>
          </cell>
          <cell r="AN102">
            <v>3876000</v>
          </cell>
          <cell r="AO102">
            <v>3470000</v>
          </cell>
        </row>
        <row r="103">
          <cell r="E103">
            <v>50200</v>
          </cell>
          <cell r="F103" t="str">
            <v>Đào Thị Xuân</v>
          </cell>
          <cell r="G103">
            <v>33370</v>
          </cell>
          <cell r="H103">
            <v>30</v>
          </cell>
          <cell r="J103" t="str">
            <v>x</v>
          </cell>
          <cell r="K103" t="str">
            <v>038191009657</v>
          </cell>
          <cell r="L103">
            <v>43385</v>
          </cell>
          <cell r="M103" t="str">
            <v>Cục quản lý dân cư</v>
          </cell>
          <cell r="N103" t="str">
            <v>Kinh</v>
          </cell>
          <cell r="O103" t="str">
            <v>Không</v>
          </cell>
          <cell r="P103" t="str">
            <v>Việt Nam</v>
          </cell>
          <cell r="Q103" t="str">
            <v>12/12</v>
          </cell>
          <cell r="S103" t="str">
            <v>Xã Dân Lý, Huyện Triệu Sơn, tỉnh Thanh Hóa</v>
          </cell>
          <cell r="T103" t="str">
            <v>Xã Dân Lý, Huyện Triệu Sơn, tỉnh Thanh Hóa</v>
          </cell>
          <cell r="U103" t="str">
            <v>Thôn Đô Trang, xã Dân Lực, huyện Triệu Sơn, tỉnh Thanh Hóa</v>
          </cell>
          <cell r="V103" t="str">
            <v>0799017424</v>
          </cell>
          <cell r="W103">
            <v>3821940269</v>
          </cell>
          <cell r="Z103" t="str">
            <v>DN4383821940269</v>
          </cell>
          <cell r="AC103">
            <v>1020061392</v>
          </cell>
          <cell r="AD103">
            <v>104873664566</v>
          </cell>
          <cell r="AE103">
            <v>44274</v>
          </cell>
          <cell r="AF103" t="str">
            <v>0 năm 11 tháng 15 ngày</v>
          </cell>
          <cell r="AH103">
            <v>44317</v>
          </cell>
          <cell r="AK103" t="str">
            <v>Công nhân vận hành máy may công nghiệp</v>
          </cell>
          <cell r="AN103">
            <v>3876000</v>
          </cell>
          <cell r="AO103">
            <v>3470000</v>
          </cell>
        </row>
        <row r="104">
          <cell r="E104">
            <v>50203</v>
          </cell>
          <cell r="F104" t="str">
            <v>Nguyễn Hữu Việt</v>
          </cell>
          <cell r="G104">
            <v>22145</v>
          </cell>
          <cell r="H104">
            <v>61</v>
          </cell>
          <cell r="I104" t="str">
            <v>x</v>
          </cell>
          <cell r="K104">
            <v>171747784</v>
          </cell>
          <cell r="L104">
            <v>39650</v>
          </cell>
          <cell r="M104" t="str">
            <v>Công an Thanh Hóa</v>
          </cell>
          <cell r="N104" t="str">
            <v>Kinh</v>
          </cell>
          <cell r="O104" t="str">
            <v>Không</v>
          </cell>
          <cell r="P104" t="str">
            <v>Việt Nam</v>
          </cell>
          <cell r="Q104" t="str">
            <v>10/10</v>
          </cell>
          <cell r="S104" t="str">
            <v>Xã Dân Lực,  Huyện Triệu Sơn, tỉnh Thanh Hóa</v>
          </cell>
          <cell r="T104" t="str">
            <v>Xã Dân Lực,  Huyện Triệu Sơn, tỉnh Thanh Hóa</v>
          </cell>
          <cell r="U104" t="str">
            <v>Thôn Thị Tứ, Xã Dân Lực,  Huyện Triệu Sơn, tỉnh Thanh Hóa</v>
          </cell>
          <cell r="V104" t="str">
            <v>0976440109</v>
          </cell>
          <cell r="AC104" t="str">
            <v>1020723405</v>
          </cell>
          <cell r="AD104">
            <v>102873664498</v>
          </cell>
          <cell r="AE104">
            <v>44272</v>
          </cell>
          <cell r="AF104" t="str">
            <v>0 năm 11 tháng 17 ngày</v>
          </cell>
          <cell r="AN104">
            <v>3602000</v>
          </cell>
          <cell r="AO104">
            <v>3285000</v>
          </cell>
        </row>
        <row r="105">
          <cell r="E105">
            <v>50204</v>
          </cell>
          <cell r="F105" t="str">
            <v>Lê Văn Phương</v>
          </cell>
          <cell r="G105">
            <v>25052</v>
          </cell>
          <cell r="H105">
            <v>53</v>
          </cell>
          <cell r="I105" t="str">
            <v>x</v>
          </cell>
          <cell r="K105">
            <v>171504581</v>
          </cell>
          <cell r="L105">
            <v>39867</v>
          </cell>
          <cell r="M105" t="str">
            <v>Công an Thanh Hóa</v>
          </cell>
          <cell r="N105" t="str">
            <v>Kinh</v>
          </cell>
          <cell r="O105" t="str">
            <v>Không</v>
          </cell>
          <cell r="P105" t="str">
            <v>Việt Nam</v>
          </cell>
          <cell r="Q105" t="str">
            <v>12/12</v>
          </cell>
          <cell r="S105" t="str">
            <v>Xã Dân Lực,  Huyện Triệu Sơn, tỉnh Thanh Hóa</v>
          </cell>
          <cell r="T105" t="str">
            <v>Xã Dân Lực,  Huyện Triệu Sơn, tỉnh Thanh Hóa</v>
          </cell>
          <cell r="U105" t="str">
            <v>Thôn Đô Xá, Xã Dân Lực,  Huyện Triệu Sơn, tỉnh Thanh Hóa</v>
          </cell>
          <cell r="V105" t="str">
            <v>0983032495</v>
          </cell>
          <cell r="W105">
            <v>3821954860</v>
          </cell>
          <cell r="AC105" t="str">
            <v>1020723841</v>
          </cell>
          <cell r="AD105">
            <v>101873664499</v>
          </cell>
          <cell r="AE105">
            <v>44272</v>
          </cell>
          <cell r="AF105" t="str">
            <v>0 năm 11 tháng 17 ngày</v>
          </cell>
          <cell r="AH105">
            <v>44470</v>
          </cell>
          <cell r="AK105" t="str">
            <v>Nhân viên bảo vệ</v>
          </cell>
          <cell r="AN105">
            <v>3602000</v>
          </cell>
          <cell r="AO105">
            <v>3285000</v>
          </cell>
        </row>
        <row r="106">
          <cell r="E106">
            <v>50205</v>
          </cell>
          <cell r="F106" t="str">
            <v>Cầm Bá Minh</v>
          </cell>
          <cell r="G106">
            <v>23824</v>
          </cell>
          <cell r="H106">
            <v>56</v>
          </cell>
          <cell r="I106" t="str">
            <v>x</v>
          </cell>
          <cell r="K106">
            <v>171120910</v>
          </cell>
          <cell r="L106">
            <v>38610</v>
          </cell>
          <cell r="M106" t="str">
            <v>Công an Thanh Hóa</v>
          </cell>
          <cell r="N106" t="str">
            <v>Thái</v>
          </cell>
          <cell r="O106" t="str">
            <v>Không</v>
          </cell>
          <cell r="P106" t="str">
            <v>Việt Nam</v>
          </cell>
          <cell r="Q106" t="str">
            <v>10/10</v>
          </cell>
          <cell r="S106" t="str">
            <v>Xã Tân Thành, huyện Thường Xuân, tỉnh Thanh Hóa</v>
          </cell>
          <cell r="T106" t="str">
            <v>Xã Tân Thành, huyện Thường Xuân, tỉnh Thanh Hóa</v>
          </cell>
          <cell r="U106" t="str">
            <v>Thôn Thị Tứ, Xã Dân Lực,  Huyện Triệu Sơn, tỉnh Thanh Hóa</v>
          </cell>
          <cell r="V106" t="str">
            <v>0385582610</v>
          </cell>
          <cell r="W106">
            <v>3821829797</v>
          </cell>
          <cell r="AC106" t="str">
            <v>1020727691</v>
          </cell>
          <cell r="AD106">
            <v>106873664500</v>
          </cell>
          <cell r="AE106">
            <v>44272</v>
          </cell>
          <cell r="AF106" t="str">
            <v>0 năm 11 tháng 17 ngày</v>
          </cell>
          <cell r="AH106">
            <v>44470</v>
          </cell>
          <cell r="AK106" t="str">
            <v>Nhân viên bảo vệ</v>
          </cell>
          <cell r="AN106">
            <v>3602000</v>
          </cell>
          <cell r="AO106">
            <v>3285000</v>
          </cell>
        </row>
        <row r="107">
          <cell r="E107">
            <v>50212</v>
          </cell>
          <cell r="F107" t="str">
            <v>Phùng Thị Vân Anh</v>
          </cell>
          <cell r="G107">
            <v>35273</v>
          </cell>
          <cell r="H107">
            <v>25</v>
          </cell>
          <cell r="J107" t="str">
            <v>x</v>
          </cell>
          <cell r="K107">
            <v>174795970</v>
          </cell>
          <cell r="L107">
            <v>41706</v>
          </cell>
          <cell r="M107" t="str">
            <v>Công an Thanh Hóa</v>
          </cell>
          <cell r="N107" t="str">
            <v>Kinh</v>
          </cell>
          <cell r="O107" t="str">
            <v>Không</v>
          </cell>
          <cell r="P107" t="str">
            <v>Việt Nam</v>
          </cell>
          <cell r="Q107" t="str">
            <v>Đại học</v>
          </cell>
          <cell r="R107" t="str">
            <v>Marketing</v>
          </cell>
          <cell r="S107" t="str">
            <v>Xã Thọ Vực, huyện Triệu Sơn, tỉnh Thanh Hóa</v>
          </cell>
          <cell r="T107" t="str">
            <v>Xã Thọ Vực, huyện Triệu Sơn, tỉnh Thanh Hóa</v>
          </cell>
          <cell r="U107" t="str">
            <v>Thôn 3, xã Thọ Vực, huyện Triệu Sơn, tỉnh Thanh Hóa</v>
          </cell>
          <cell r="V107" t="str">
            <v>0966633353</v>
          </cell>
          <cell r="W107">
            <v>3821973419</v>
          </cell>
          <cell r="Z107" t="str">
            <v>DN4383821973419</v>
          </cell>
          <cell r="AC107" t="str">
            <v>1020763710</v>
          </cell>
          <cell r="AD107">
            <v>102873664568</v>
          </cell>
          <cell r="AE107">
            <v>44280</v>
          </cell>
          <cell r="AF107" t="str">
            <v>0 năm 11 tháng 9 ngày</v>
          </cell>
          <cell r="AH107">
            <v>44317</v>
          </cell>
          <cell r="AK107" t="str">
            <v>Công nhân vận hành máy may công nghiệp</v>
          </cell>
          <cell r="AN107">
            <v>3876000</v>
          </cell>
          <cell r="AO107">
            <v>3470000</v>
          </cell>
        </row>
        <row r="108">
          <cell r="E108">
            <v>50213</v>
          </cell>
          <cell r="F108" t="str">
            <v>Nguyễn Tài Tuấn</v>
          </cell>
          <cell r="G108">
            <v>32806</v>
          </cell>
          <cell r="H108">
            <v>32</v>
          </cell>
          <cell r="I108" t="str">
            <v>x</v>
          </cell>
          <cell r="K108">
            <v>173530563</v>
          </cell>
          <cell r="L108">
            <v>42061</v>
          </cell>
          <cell r="M108" t="str">
            <v>Công an Thanh Hóa</v>
          </cell>
          <cell r="N108" t="str">
            <v>Kinh</v>
          </cell>
          <cell r="O108" t="str">
            <v>Không</v>
          </cell>
          <cell r="P108" t="str">
            <v>Việt Nam</v>
          </cell>
          <cell r="Q108" t="str">
            <v>12/12</v>
          </cell>
          <cell r="S108" t="str">
            <v>Xã Dân Lực,  Huyện Triệu Sơn, tỉnh Thanh Hóa</v>
          </cell>
          <cell r="T108" t="str">
            <v>Xã Dân Lực,  Huyện Triệu Sơn, tỉnh Thanh Hóa</v>
          </cell>
          <cell r="U108" t="str">
            <v>Thôn Ân Mộc, Xã Dân Lực,  Huyện Triệu Sơn, tỉnh Thanh Hóa</v>
          </cell>
          <cell r="V108" t="str">
            <v>0974495962</v>
          </cell>
          <cell r="W108">
            <v>7412098165</v>
          </cell>
          <cell r="Y108" t="str">
            <v>Chưa có bìa sổ</v>
          </cell>
          <cell r="Z108" t="str">
            <v>DN4387412098165</v>
          </cell>
          <cell r="AC108" t="str">
            <v>1020759384</v>
          </cell>
          <cell r="AD108">
            <v>106873664591</v>
          </cell>
          <cell r="AE108">
            <v>44280</v>
          </cell>
          <cell r="AF108" t="str">
            <v>0 năm 11 tháng 9 ngày</v>
          </cell>
          <cell r="AH108">
            <v>44317</v>
          </cell>
          <cell r="AK108" t="str">
            <v>Công nhân vận hành máy may công nghiệp</v>
          </cell>
          <cell r="AN108">
            <v>3876000</v>
          </cell>
          <cell r="AO108">
            <v>3470000</v>
          </cell>
        </row>
        <row r="109">
          <cell r="E109">
            <v>50216</v>
          </cell>
          <cell r="F109" t="str">
            <v>Hà Thị Gái</v>
          </cell>
          <cell r="G109">
            <v>32143</v>
          </cell>
          <cell r="H109">
            <v>34</v>
          </cell>
          <cell r="J109" t="str">
            <v>x</v>
          </cell>
          <cell r="K109" t="str">
            <v>038188006962</v>
          </cell>
          <cell r="L109">
            <v>43137</v>
          </cell>
          <cell r="M109" t="str">
            <v>Cục quản lý dân cư</v>
          </cell>
          <cell r="N109" t="str">
            <v>Kinh</v>
          </cell>
          <cell r="O109" t="str">
            <v>Không</v>
          </cell>
          <cell r="P109" t="str">
            <v>Việt Nam</v>
          </cell>
          <cell r="Q109" t="str">
            <v>12/12</v>
          </cell>
          <cell r="S109" t="str">
            <v>Xã Minh Châu, huyện Triệu Sơn, tỉnh Thanh Hóa</v>
          </cell>
          <cell r="T109" t="str">
            <v>Xã Minh Châu, huyện Triệu Sơn, tỉnh Thanh Hóa</v>
          </cell>
          <cell r="U109" t="str">
            <v>Thị Trấn Triệu Sơn, huyện Triệu Sơn, Thanh Hoá</v>
          </cell>
          <cell r="V109" t="str">
            <v>0913713111</v>
          </cell>
          <cell r="W109" t="str">
            <v>3824222238</v>
          </cell>
          <cell r="Z109" t="str">
            <v>DN4383824222238</v>
          </cell>
          <cell r="AC109" t="str">
            <v>1020787023</v>
          </cell>
          <cell r="AD109">
            <v>105873664553</v>
          </cell>
          <cell r="AE109">
            <v>44284</v>
          </cell>
          <cell r="AF109" t="str">
            <v>0 năm 11 tháng 5 ngày</v>
          </cell>
          <cell r="AH109">
            <v>44317</v>
          </cell>
          <cell r="AK109" t="str">
            <v>Công nhân vận hành máy may công nghiệp</v>
          </cell>
          <cell r="AN109">
            <v>3876000</v>
          </cell>
          <cell r="AO109">
            <v>3470000</v>
          </cell>
        </row>
        <row r="110">
          <cell r="E110">
            <v>50218</v>
          </cell>
          <cell r="F110" t="str">
            <v>Nhữ Thị Hà</v>
          </cell>
          <cell r="G110">
            <v>35380</v>
          </cell>
          <cell r="H110">
            <v>25</v>
          </cell>
          <cell r="J110" t="str">
            <v>x</v>
          </cell>
          <cell r="K110" t="str">
            <v>038196008954</v>
          </cell>
          <cell r="L110">
            <v>44218</v>
          </cell>
          <cell r="M110" t="str">
            <v>Cục quản lý dân cư</v>
          </cell>
          <cell r="N110" t="str">
            <v>Kinh</v>
          </cell>
          <cell r="O110" t="str">
            <v>Không</v>
          </cell>
          <cell r="P110" t="str">
            <v>Việt Nam</v>
          </cell>
          <cell r="Q110" t="str">
            <v>9/12</v>
          </cell>
          <cell r="S110" t="str">
            <v>Xã Minh Dân, huyện Triệu Sơn, tỉnh Thanh Hoá</v>
          </cell>
          <cell r="T110" t="str">
            <v>Xã Minh Dân, huyện Triệu Sơn, tỉnh Thanh Hoá</v>
          </cell>
          <cell r="U110" t="str">
            <v>Thôn 2, xã Minh Sơn, huyện Triệu Sơn, Thanh Hoá</v>
          </cell>
          <cell r="V110" t="str">
            <v>0375650520</v>
          </cell>
          <cell r="W110" t="str">
            <v>3824892008</v>
          </cell>
          <cell r="Z110" t="str">
            <v>DN4383824892008</v>
          </cell>
          <cell r="AC110" t="str">
            <v>1020759996</v>
          </cell>
          <cell r="AE110">
            <v>44284</v>
          </cell>
          <cell r="AF110" t="str">
            <v>0 năm 11 tháng 5 ngày</v>
          </cell>
          <cell r="AH110">
            <v>44317</v>
          </cell>
          <cell r="AK110" t="str">
            <v>Công nhân vận hành máy may công nghiệp</v>
          </cell>
          <cell r="AN110">
            <v>3876000</v>
          </cell>
          <cell r="AO110">
            <v>3470000</v>
          </cell>
        </row>
        <row r="111">
          <cell r="E111">
            <v>50220</v>
          </cell>
          <cell r="F111" t="str">
            <v>Lê Thị Nhường</v>
          </cell>
          <cell r="G111">
            <v>31977</v>
          </cell>
          <cell r="H111">
            <v>34</v>
          </cell>
          <cell r="J111" t="str">
            <v>x</v>
          </cell>
          <cell r="K111" t="str">
            <v>038187013568</v>
          </cell>
          <cell r="L111">
            <v>43545</v>
          </cell>
          <cell r="M111" t="str">
            <v>Cục quản lý dân cư</v>
          </cell>
          <cell r="N111" t="str">
            <v>Kinh</v>
          </cell>
          <cell r="O111" t="str">
            <v>Không</v>
          </cell>
          <cell r="P111" t="str">
            <v>Việt Nam</v>
          </cell>
          <cell r="Q111" t="str">
            <v>9/12</v>
          </cell>
          <cell r="S111" t="str">
            <v>Xã Minh Dân, huyện Triệu Sơn, tỉnh Thanh Hoá</v>
          </cell>
          <cell r="T111" t="str">
            <v>Xã Minh Dân, huyện Triệu Sơn, tỉnh Thanh Hoá</v>
          </cell>
          <cell r="U111" t="str">
            <v>Thôn Ân Mộc, xã Dân Lực, huyện Triệu Sơn, tỉnh Thanh Hóa</v>
          </cell>
          <cell r="V111" t="str">
            <v>0817332897</v>
          </cell>
          <cell r="W111" t="str">
            <v>3816046985</v>
          </cell>
          <cell r="Y111" t="str">
            <v>Chưa có bìa sổ</v>
          </cell>
          <cell r="Z111" t="str">
            <v>DN4383816046985</v>
          </cell>
          <cell r="AC111" t="str">
            <v>1020788759</v>
          </cell>
          <cell r="AD111">
            <v>108866830309</v>
          </cell>
          <cell r="AE111">
            <v>44286</v>
          </cell>
          <cell r="AF111" t="str">
            <v>0 năm 11 tháng 3 ngày</v>
          </cell>
          <cell r="AH111">
            <v>44317</v>
          </cell>
          <cell r="AK111" t="str">
            <v>Công nhân vận hành máy may công nghiệp</v>
          </cell>
          <cell r="AN111">
            <v>3876000</v>
          </cell>
          <cell r="AO111">
            <v>3470000</v>
          </cell>
        </row>
        <row r="112">
          <cell r="E112">
            <v>50221</v>
          </cell>
          <cell r="F112" t="str">
            <v>Hà Thị Hiền</v>
          </cell>
          <cell r="G112">
            <v>34001</v>
          </cell>
          <cell r="H112">
            <v>29</v>
          </cell>
          <cell r="J112" t="str">
            <v>x</v>
          </cell>
          <cell r="K112">
            <v>174248765</v>
          </cell>
          <cell r="L112">
            <v>40558</v>
          </cell>
          <cell r="M112" t="str">
            <v>Công an Thanh Hóa</v>
          </cell>
          <cell r="N112" t="str">
            <v>Kinh</v>
          </cell>
          <cell r="O112" t="str">
            <v>Không</v>
          </cell>
          <cell r="P112" t="str">
            <v>Việt Nam</v>
          </cell>
          <cell r="Q112" t="str">
            <v>Cao đẳng</v>
          </cell>
          <cell r="R112" t="str">
            <v>Công nghệ may</v>
          </cell>
          <cell r="S112" t="str">
            <v>Xã Thọ Phú, huyện Triệu Sơn, tỉnh Thanh Hóa</v>
          </cell>
          <cell r="T112" t="str">
            <v>Xã Thọ Phú, huyện Triệu Sơn, tỉnh Thanh Hóa</v>
          </cell>
          <cell r="U112" t="str">
            <v>Thôn 3, Xã Thọ Phú, huyện Triệu Sơn, tỉnh Thanh Hóa</v>
          </cell>
          <cell r="V112" t="str">
            <v>0962869395</v>
          </cell>
          <cell r="W112">
            <v>1915833524</v>
          </cell>
          <cell r="Y112" t="str">
            <v>Chưa có bìa sổ</v>
          </cell>
          <cell r="Z112" t="str">
            <v>DN4381915833524</v>
          </cell>
          <cell r="AC112" t="str">
            <v>1021317619</v>
          </cell>
          <cell r="AD112">
            <v>102873664556</v>
          </cell>
          <cell r="AE112">
            <v>44286</v>
          </cell>
          <cell r="AF112" t="str">
            <v>0 năm 11 tháng 3 ngày</v>
          </cell>
          <cell r="AH112">
            <v>44317</v>
          </cell>
          <cell r="AK112" t="str">
            <v>Công nhân vận hành máy may công nghiệp</v>
          </cell>
          <cell r="AN112">
            <v>3876000</v>
          </cell>
          <cell r="AO112">
            <v>3470000</v>
          </cell>
        </row>
        <row r="113">
          <cell r="E113">
            <v>50222</v>
          </cell>
          <cell r="F113" t="str">
            <v>Ngô Thị Trang</v>
          </cell>
          <cell r="G113">
            <v>33585</v>
          </cell>
          <cell r="H113">
            <v>30</v>
          </cell>
          <cell r="J113" t="str">
            <v>x</v>
          </cell>
          <cell r="K113">
            <v>173461511</v>
          </cell>
          <cell r="L113">
            <v>42170</v>
          </cell>
          <cell r="M113" t="str">
            <v>Công an Thanh Hóa</v>
          </cell>
          <cell r="N113" t="str">
            <v>Kinh</v>
          </cell>
          <cell r="O113" t="str">
            <v>Không</v>
          </cell>
          <cell r="P113" t="str">
            <v>Việt Nam</v>
          </cell>
          <cell r="Q113" t="str">
            <v>Trung cấp</v>
          </cell>
          <cell r="R113" t="str">
            <v>Y sỹ</v>
          </cell>
          <cell r="S113" t="str">
            <v>Xã Quảng Trạch, huyện Quảng Xương, tỉnh Thanh Hóa</v>
          </cell>
          <cell r="T113" t="str">
            <v>Xã Quảng Trạch, huyện Quảng Xương, tỉnh Thanh Hóa</v>
          </cell>
          <cell r="U113" t="str">
            <v>Thôn 5, Xã Thọ Thế, huyện Triệu Sơn, tỉnh Thanh Hóa</v>
          </cell>
          <cell r="V113" t="str">
            <v>0328774287</v>
          </cell>
          <cell r="W113">
            <v>3814016613</v>
          </cell>
          <cell r="Z113" t="str">
            <v>DN4383814016613</v>
          </cell>
          <cell r="AC113" t="str">
            <v>1020788257</v>
          </cell>
          <cell r="AE113">
            <v>44286</v>
          </cell>
          <cell r="AF113" t="str">
            <v>0 năm 11 tháng 3 ngày</v>
          </cell>
          <cell r="AH113">
            <v>44317</v>
          </cell>
          <cell r="AK113" t="str">
            <v>Công nhân vận hành máy may công nghiệp</v>
          </cell>
          <cell r="AN113">
            <v>3876000</v>
          </cell>
          <cell r="AO113">
            <v>3470000</v>
          </cell>
        </row>
        <row r="114">
          <cell r="E114">
            <v>50223</v>
          </cell>
          <cell r="F114" t="str">
            <v>Ngô Thị Nhị</v>
          </cell>
          <cell r="G114">
            <v>35749</v>
          </cell>
          <cell r="H114">
            <v>24</v>
          </cell>
          <cell r="J114" t="str">
            <v>x</v>
          </cell>
          <cell r="K114">
            <v>174798075</v>
          </cell>
          <cell r="L114">
            <v>41725</v>
          </cell>
          <cell r="M114" t="str">
            <v>Công an Thanh Hóa</v>
          </cell>
          <cell r="N114" t="str">
            <v>Kinh</v>
          </cell>
          <cell r="O114" t="str">
            <v>Không</v>
          </cell>
          <cell r="P114" t="str">
            <v>Việt Nam</v>
          </cell>
          <cell r="Q114" t="str">
            <v>12/12</v>
          </cell>
          <cell r="S114" t="str">
            <v>Xã Minh Sơn, huyện Triệu Sơn, tỉnh Thanh Hóa</v>
          </cell>
          <cell r="T114" t="str">
            <v>Xã Minh Sơn, huyện Triệu Sơn, tỉnh Thanh Hóa</v>
          </cell>
          <cell r="U114" t="str">
            <v>Thôn 4, xã Minh Sơn, Triệu Sơn, Thanh Hoá</v>
          </cell>
          <cell r="V114" t="str">
            <v>0334224665</v>
          </cell>
          <cell r="W114">
            <v>3816074232</v>
          </cell>
          <cell r="AC114" t="str">
            <v>0541000310074</v>
          </cell>
          <cell r="AD114">
            <v>101873664584</v>
          </cell>
          <cell r="AE114">
            <v>44288</v>
          </cell>
          <cell r="AF114" t="str">
            <v>0 năm 11 tháng 4 ngày</v>
          </cell>
          <cell r="AH114">
            <v>44440</v>
          </cell>
          <cell r="AN114">
            <v>3602000</v>
          </cell>
          <cell r="AO114">
            <v>3470000</v>
          </cell>
        </row>
        <row r="115">
          <cell r="E115">
            <v>50224</v>
          </cell>
          <cell r="F115" t="str">
            <v>Nguyễn Thị Hoa</v>
          </cell>
          <cell r="G115">
            <v>31814</v>
          </cell>
          <cell r="H115">
            <v>35</v>
          </cell>
          <cell r="J115" t="str">
            <v>x</v>
          </cell>
          <cell r="K115">
            <v>172284864</v>
          </cell>
          <cell r="L115">
            <v>40263</v>
          </cell>
          <cell r="M115" t="str">
            <v>Công an Thanh Hóa</v>
          </cell>
          <cell r="N115" t="str">
            <v>Kinh</v>
          </cell>
          <cell r="O115" t="str">
            <v>Không</v>
          </cell>
          <cell r="P115" t="str">
            <v>Việt Nam</v>
          </cell>
          <cell r="Q115" t="str">
            <v>9/12</v>
          </cell>
          <cell r="S115" t="str">
            <v>Xã Thiệu Viên, huyện Thiệu Hoá, tỉnh Thanh Hoá</v>
          </cell>
          <cell r="T115" t="str">
            <v>Xã Thiệu Viên, huyện Thiệu Hoá, tỉnh Thanh Hoá</v>
          </cell>
          <cell r="U115" t="str">
            <v>Thôn 3, xã Thiệu Lý, huyện Thiệu Hoá, tỉnh Thanh Hoá</v>
          </cell>
          <cell r="V115" t="str">
            <v>0369149036</v>
          </cell>
          <cell r="W115">
            <v>3822091259</v>
          </cell>
          <cell r="AC115" t="str">
            <v>1020747189</v>
          </cell>
          <cell r="AD115" t="str">
            <v>104870127876</v>
          </cell>
          <cell r="AE115">
            <v>44288</v>
          </cell>
          <cell r="AF115" t="str">
            <v>0 năm 11 tháng 4 ngày</v>
          </cell>
          <cell r="AH115">
            <v>44378</v>
          </cell>
          <cell r="AK115" t="str">
            <v>Công nhân vận hành máy may công nghiệp</v>
          </cell>
          <cell r="AN115">
            <v>3876000</v>
          </cell>
          <cell r="AO115">
            <v>3470000</v>
          </cell>
        </row>
        <row r="116">
          <cell r="E116">
            <v>50225</v>
          </cell>
          <cell r="F116" t="str">
            <v>Hoàng Thị Ninh</v>
          </cell>
          <cell r="G116">
            <v>31084</v>
          </cell>
          <cell r="H116">
            <v>37</v>
          </cell>
          <cell r="J116" t="str">
            <v>x</v>
          </cell>
          <cell r="K116">
            <v>172343588</v>
          </cell>
          <cell r="L116">
            <v>40812</v>
          </cell>
          <cell r="M116" t="str">
            <v>Công an Thanh Hóa</v>
          </cell>
          <cell r="N116" t="str">
            <v>Kinh</v>
          </cell>
          <cell r="O116" t="str">
            <v>Không</v>
          </cell>
          <cell r="P116" t="str">
            <v>Việt Nam</v>
          </cell>
          <cell r="Q116" t="str">
            <v>12/12</v>
          </cell>
          <cell r="S116" t="str">
            <v>Xã Thọ Thế, huyện Triệu Sơn, tỉnh Thanh Hóa</v>
          </cell>
          <cell r="T116" t="str">
            <v>Xã Thọ Thế, huyện Triệu Sơn, tỉnh Thanh Hóa</v>
          </cell>
          <cell r="U116" t="str">
            <v>Thôn 3, Xã Thọ Thế, huyện Triệu Sơn, tỉnh Thanh Hóa</v>
          </cell>
          <cell r="V116" t="str">
            <v>0978767862</v>
          </cell>
          <cell r="W116">
            <v>3812004001</v>
          </cell>
          <cell r="AC116" t="str">
            <v>1020790054</v>
          </cell>
          <cell r="AD116">
            <v>101873664569</v>
          </cell>
          <cell r="AE116">
            <v>44291</v>
          </cell>
          <cell r="AF116" t="str">
            <v>0 năm 11 tháng 1 ngày</v>
          </cell>
          <cell r="AH116">
            <v>44378</v>
          </cell>
          <cell r="AK116" t="str">
            <v>Công nhân vận hành máy may công nghiệp</v>
          </cell>
          <cell r="AN116">
            <v>3876000</v>
          </cell>
          <cell r="AO116">
            <v>3470000</v>
          </cell>
        </row>
        <row r="117">
          <cell r="E117">
            <v>50226</v>
          </cell>
          <cell r="F117" t="str">
            <v>Hà Thị Liên</v>
          </cell>
          <cell r="G117">
            <v>30814</v>
          </cell>
          <cell r="H117">
            <v>37</v>
          </cell>
          <cell r="J117" t="str">
            <v>x</v>
          </cell>
          <cell r="K117">
            <v>172343988</v>
          </cell>
          <cell r="L117">
            <v>41996</v>
          </cell>
          <cell r="M117" t="str">
            <v>Công an Thanh Hóa</v>
          </cell>
          <cell r="N117" t="str">
            <v>Kinh</v>
          </cell>
          <cell r="O117" t="str">
            <v>Không</v>
          </cell>
          <cell r="P117" t="str">
            <v>Việt Nam</v>
          </cell>
          <cell r="Q117" t="str">
            <v>12/12</v>
          </cell>
          <cell r="S117" t="str">
            <v>Xã Thọ Phú, huyện Triệu Sơn, tỉnh Thanh Hóa</v>
          </cell>
          <cell r="T117" t="str">
            <v>Xã Thọ Phú, huyện Triệu Sơn, tỉnh Thanh Hóa</v>
          </cell>
          <cell r="U117" t="str">
            <v>Thôn 5, Xã Thọ Phú, huyện Triệu Sơn, tỉnh Thanh Hóa</v>
          </cell>
          <cell r="V117" t="str">
            <v>0962648567</v>
          </cell>
          <cell r="W117">
            <v>3821890030</v>
          </cell>
          <cell r="AC117" t="str">
            <v>1020789066</v>
          </cell>
          <cell r="AD117">
            <v>108873664632</v>
          </cell>
          <cell r="AE117">
            <v>44291</v>
          </cell>
          <cell r="AF117" t="str">
            <v>0 năm 11 tháng 1 ngày</v>
          </cell>
          <cell r="AH117">
            <v>44378</v>
          </cell>
          <cell r="AK117" t="str">
            <v>Công nhân vận hành máy may công nghiệp</v>
          </cell>
          <cell r="AN117">
            <v>3876000</v>
          </cell>
          <cell r="AO117">
            <v>3470000</v>
          </cell>
        </row>
        <row r="118">
          <cell r="E118">
            <v>50228</v>
          </cell>
          <cell r="F118" t="str">
            <v>Trịnh Quốc Hiệp</v>
          </cell>
          <cell r="G118">
            <v>31036</v>
          </cell>
          <cell r="H118">
            <v>37</v>
          </cell>
          <cell r="I118" t="str">
            <v>x</v>
          </cell>
          <cell r="K118">
            <v>172879532</v>
          </cell>
          <cell r="L118">
            <v>41774</v>
          </cell>
          <cell r="M118" t="str">
            <v>Công an Thanh Hóa</v>
          </cell>
          <cell r="N118" t="str">
            <v>Kinh</v>
          </cell>
          <cell r="O118" t="str">
            <v>Không</v>
          </cell>
          <cell r="P118" t="str">
            <v>Việt Nam</v>
          </cell>
          <cell r="Q118" t="str">
            <v>12/12</v>
          </cell>
          <cell r="S118" t="str">
            <v>Xã Thiệu Lý, huyện Thiệu Hoá, tỉnh Thanh Hoá</v>
          </cell>
          <cell r="T118" t="str">
            <v>Xã Thiệu Lý, huyện Thiệu Hoá, tỉnh Thanh Hoá</v>
          </cell>
          <cell r="U118" t="str">
            <v>Thôn 3, xã Thiệu Lý, huyện Thiệu Hoá, tỉnh Thanh Hoá</v>
          </cell>
          <cell r="V118" t="str">
            <v>0976244786</v>
          </cell>
          <cell r="W118">
            <v>3822139846</v>
          </cell>
          <cell r="Z118" t="str">
            <v>DN4383822139846</v>
          </cell>
          <cell r="AC118" t="str">
            <v>1020786673</v>
          </cell>
          <cell r="AD118">
            <v>109873664617</v>
          </cell>
          <cell r="AE118">
            <v>44282</v>
          </cell>
          <cell r="AF118" t="str">
            <v>0 năm 11 tháng 7 ngày</v>
          </cell>
          <cell r="AH118">
            <v>44317</v>
          </cell>
          <cell r="AK118" t="str">
            <v>Nhân viên lái xe</v>
          </cell>
          <cell r="AN118">
            <v>3671000</v>
          </cell>
          <cell r="AO118">
            <v>3470000</v>
          </cell>
        </row>
        <row r="119">
          <cell r="E119">
            <v>50229</v>
          </cell>
          <cell r="F119" t="str">
            <v>Nguyễn Thị Huệ</v>
          </cell>
          <cell r="G119">
            <v>33736</v>
          </cell>
          <cell r="H119">
            <v>29</v>
          </cell>
          <cell r="J119" t="str">
            <v>x</v>
          </cell>
          <cell r="K119" t="str">
            <v>036192008254</v>
          </cell>
          <cell r="L119">
            <v>44264</v>
          </cell>
          <cell r="M119" t="str">
            <v>Cục quản lý dân cư</v>
          </cell>
          <cell r="N119" t="str">
            <v>Kinh</v>
          </cell>
          <cell r="O119" t="str">
            <v>Thiên chúa</v>
          </cell>
          <cell r="P119" t="str">
            <v>Việt Nam</v>
          </cell>
          <cell r="Q119" t="str">
            <v>9/12</v>
          </cell>
          <cell r="S119" t="str">
            <v>Xã Nghĩa Hải, huyện Nghĩa Hưng, tỉnh Nam Định</v>
          </cell>
          <cell r="T119" t="str">
            <v>Xã Nghĩa Hải, huyện Nghĩa Hưng, tỉnh Nam Định</v>
          </cell>
          <cell r="U119" t="str">
            <v>Thôn 1, xã Dâm Lý, huyện Triệu Sơn, tỉnh Thanh Hoá</v>
          </cell>
          <cell r="V119" t="str">
            <v>0352227277</v>
          </cell>
          <cell r="W119">
            <v>3824252266</v>
          </cell>
          <cell r="AC119" t="str">
            <v>1020789678</v>
          </cell>
          <cell r="AD119">
            <v>100873664585</v>
          </cell>
          <cell r="AE119">
            <v>44294</v>
          </cell>
          <cell r="AF119" t="str">
            <v>0 năm 10 tháng 26 ngày</v>
          </cell>
          <cell r="AH119">
            <v>44378</v>
          </cell>
          <cell r="AK119" t="str">
            <v>Công nhân vận hành máy may công nghiệp</v>
          </cell>
          <cell r="AN119">
            <v>3876000</v>
          </cell>
          <cell r="AO119">
            <v>3470000</v>
          </cell>
        </row>
        <row r="120">
          <cell r="E120">
            <v>50230</v>
          </cell>
          <cell r="F120" t="str">
            <v>Phạm Thị Quỳnh</v>
          </cell>
          <cell r="G120">
            <v>34920</v>
          </cell>
          <cell r="H120">
            <v>26</v>
          </cell>
          <cell r="J120" t="str">
            <v>x</v>
          </cell>
          <cell r="K120">
            <v>174789540</v>
          </cell>
          <cell r="L120">
            <v>41258</v>
          </cell>
          <cell r="M120" t="str">
            <v>Công an Thanh Hóa</v>
          </cell>
          <cell r="N120" t="str">
            <v>Kinh</v>
          </cell>
          <cell r="O120" t="str">
            <v>Không</v>
          </cell>
          <cell r="P120" t="str">
            <v>Việt Nam</v>
          </cell>
          <cell r="Q120" t="str">
            <v>12/12</v>
          </cell>
          <cell r="S120" t="str">
            <v>Xã Dân Quyền, huyện Triệu Sơn, tỉnh Thanh Hóa</v>
          </cell>
          <cell r="T120" t="str">
            <v>Xã Dân Quyền, huyện Triệu Sơn, tỉnh Thanh Hóa</v>
          </cell>
          <cell r="U120" t="str">
            <v>Tổ 4, thị trấn Triệu Sơn, huyện Triệu Sơn, tỉnh Thanh Hoá</v>
          </cell>
          <cell r="V120" t="str">
            <v>0963676058</v>
          </cell>
          <cell r="W120">
            <v>3814026435</v>
          </cell>
          <cell r="AC120" t="str">
            <v>1020791105</v>
          </cell>
          <cell r="AD120">
            <v>105873738079</v>
          </cell>
          <cell r="AE120">
            <v>44294</v>
          </cell>
          <cell r="AF120" t="str">
            <v>0 năm 10 tháng 26 ngày</v>
          </cell>
          <cell r="AH120">
            <v>44378</v>
          </cell>
          <cell r="AK120" t="str">
            <v>Công nhân vận hành máy may công nghiệp</v>
          </cell>
          <cell r="AN120">
            <v>3876000</v>
          </cell>
          <cell r="AO120">
            <v>3470000</v>
          </cell>
        </row>
        <row r="121">
          <cell r="E121">
            <v>50231</v>
          </cell>
          <cell r="F121" t="str">
            <v>Nguyễn Thị Vân</v>
          </cell>
          <cell r="G121">
            <v>32862</v>
          </cell>
          <cell r="H121">
            <v>32</v>
          </cell>
          <cell r="J121" t="str">
            <v>x</v>
          </cell>
          <cell r="K121">
            <v>173530382</v>
          </cell>
          <cell r="L121">
            <v>42103</v>
          </cell>
          <cell r="M121" t="str">
            <v>Công an Thanh Hóa</v>
          </cell>
          <cell r="N121" t="str">
            <v>Kinh</v>
          </cell>
          <cell r="O121" t="str">
            <v>Không</v>
          </cell>
          <cell r="P121" t="str">
            <v>Việt Nam</v>
          </cell>
          <cell r="Q121" t="str">
            <v>12/12</v>
          </cell>
          <cell r="S121" t="str">
            <v>Xã Dân Quyền, huyện Triệu Sơn, tỉnh Thanh Hóa</v>
          </cell>
          <cell r="T121" t="str">
            <v>Xã Dân Quyền, huyện Triệu Sơn, tỉnh Thanh Hóa</v>
          </cell>
          <cell r="U121" t="str">
            <v>Thôn 6, xã Thọ Phú, huyện Triệu Sơn, Thanh Hoá</v>
          </cell>
          <cell r="V121" t="str">
            <v>0382593630</v>
          </cell>
          <cell r="W121">
            <v>7911086234</v>
          </cell>
          <cell r="AC121" t="str">
            <v>1020791924</v>
          </cell>
          <cell r="AD121" t="str">
            <v>102006140788</v>
          </cell>
          <cell r="AE121">
            <v>44298</v>
          </cell>
          <cell r="AF121" t="str">
            <v>0 năm 10 tháng 22 ngày</v>
          </cell>
          <cell r="AH121">
            <v>44470</v>
          </cell>
          <cell r="AK121" t="str">
            <v>Công nhân vận hành máy may công nghiệp</v>
          </cell>
          <cell r="AN121">
            <v>3602000</v>
          </cell>
          <cell r="AO121">
            <v>3470000</v>
          </cell>
        </row>
        <row r="122">
          <cell r="E122">
            <v>50233</v>
          </cell>
          <cell r="F122" t="str">
            <v>Lê Văn Công</v>
          </cell>
          <cell r="G122">
            <v>32909</v>
          </cell>
          <cell r="H122">
            <v>32</v>
          </cell>
          <cell r="I122" t="str">
            <v>x</v>
          </cell>
          <cell r="K122" t="str">
            <v>038090009034</v>
          </cell>
          <cell r="L122">
            <v>43518</v>
          </cell>
          <cell r="M122" t="str">
            <v>Cục quản lý dân cư</v>
          </cell>
          <cell r="N122" t="str">
            <v>Kinh</v>
          </cell>
          <cell r="O122" t="str">
            <v>Không</v>
          </cell>
          <cell r="P122" t="str">
            <v>Việt Nam</v>
          </cell>
          <cell r="Q122" t="str">
            <v>12/12</v>
          </cell>
          <cell r="S122" t="str">
            <v>Xã Dân Lực,  Huyện Triệu Sơn, tỉnh Thanh Hóa</v>
          </cell>
          <cell r="T122" t="str">
            <v>Xã Dân Lực,  Huyện Triệu Sơn, tỉnh Thanh Hóa</v>
          </cell>
          <cell r="U122" t="str">
            <v>Thôn Đô Xá, Xã Dân Lực,  Huyện Triệu Sơn, tỉnh Thanh Hóa</v>
          </cell>
          <cell r="V122" t="str">
            <v>0867774358</v>
          </cell>
          <cell r="W122">
            <v>3821964547</v>
          </cell>
          <cell r="AC122" t="str">
            <v>1020792254</v>
          </cell>
          <cell r="AD122">
            <v>109873664586</v>
          </cell>
          <cell r="AE122">
            <v>44298</v>
          </cell>
          <cell r="AF122" t="str">
            <v>0 năm 10 tháng 22 ngày</v>
          </cell>
          <cell r="AH122">
            <v>44378</v>
          </cell>
          <cell r="AK122" t="str">
            <v>Công nhân vận hành máy may công nghiệp</v>
          </cell>
          <cell r="AN122">
            <v>3876000</v>
          </cell>
          <cell r="AO122">
            <v>3470000</v>
          </cell>
        </row>
        <row r="123">
          <cell r="E123">
            <v>50238</v>
          </cell>
          <cell r="F123" t="str">
            <v>Phạm Thị Nga</v>
          </cell>
          <cell r="G123">
            <v>31934</v>
          </cell>
          <cell r="H123">
            <v>34</v>
          </cell>
          <cell r="J123" t="str">
            <v>x</v>
          </cell>
          <cell r="K123">
            <v>301770988</v>
          </cell>
          <cell r="L123">
            <v>42849</v>
          </cell>
          <cell r="M123" t="str">
            <v>Công an tỉnh Long An</v>
          </cell>
          <cell r="N123" t="str">
            <v>Kinh</v>
          </cell>
          <cell r="O123" t="str">
            <v>Không</v>
          </cell>
          <cell r="P123" t="str">
            <v>Việt Nam</v>
          </cell>
          <cell r="Q123" t="str">
            <v>9/12</v>
          </cell>
          <cell r="S123" t="str">
            <v>Xã Liên Trạch, huyện Bố Trạch, tỉnh Quảng Bình</v>
          </cell>
          <cell r="T123" t="str">
            <v>Xã Liên Trạch, huyện Bố Trạch, tỉnh Quảng Bình</v>
          </cell>
          <cell r="U123" t="str">
            <v>Tổ 1, thị trấn Triệu Sơn, huyện Triệu Sơn, tỉnh Thanh Hoá</v>
          </cell>
          <cell r="V123" t="str">
            <v>0337568158</v>
          </cell>
          <cell r="W123" t="str">
            <v>8023594090</v>
          </cell>
          <cell r="AC123" t="str">
            <v>1020786528</v>
          </cell>
          <cell r="AD123">
            <v>108873664587</v>
          </cell>
          <cell r="AE123">
            <v>44300</v>
          </cell>
          <cell r="AF123" t="str">
            <v>0 năm 10 tháng 20 ngày</v>
          </cell>
          <cell r="AH123">
            <v>44378</v>
          </cell>
          <cell r="AK123" t="str">
            <v>Công nhân vận hành máy may công nghiệp</v>
          </cell>
          <cell r="AN123">
            <v>3876000</v>
          </cell>
          <cell r="AO123">
            <v>3470000</v>
          </cell>
        </row>
        <row r="124">
          <cell r="E124">
            <v>50240</v>
          </cell>
          <cell r="F124" t="str">
            <v>Lê Khắc Quân</v>
          </cell>
          <cell r="G124">
            <v>35271</v>
          </cell>
          <cell r="H124">
            <v>25</v>
          </cell>
          <cell r="I124" t="str">
            <v>X</v>
          </cell>
          <cell r="K124">
            <v>174783297</v>
          </cell>
          <cell r="L124">
            <v>40984</v>
          </cell>
          <cell r="M124" t="str">
            <v>Công an Thanh Hóa</v>
          </cell>
          <cell r="N124" t="str">
            <v>Kinh</v>
          </cell>
          <cell r="O124" t="str">
            <v>Không</v>
          </cell>
          <cell r="P124" t="str">
            <v>Việt Nam</v>
          </cell>
          <cell r="Q124" t="str">
            <v>12/12</v>
          </cell>
          <cell r="S124" t="str">
            <v>Xã Thọ Vực, huyện Triệu Sơn, tỉnh Thanh Hóa</v>
          </cell>
          <cell r="T124" t="str">
            <v>Xã Thọ Vực, huyện Triệu Sơn, tỉnh Thanh Hóa</v>
          </cell>
          <cell r="U124" t="str">
            <v>Thôn 4, Xã Thọ Vực, huyện Triệu Sơn, tỉnh Thanh Hóa</v>
          </cell>
          <cell r="V124" t="str">
            <v>0962410551</v>
          </cell>
          <cell r="W124">
            <v>115120465</v>
          </cell>
          <cell r="AC124" t="str">
            <v>1020786568</v>
          </cell>
          <cell r="AD124">
            <v>107873664588</v>
          </cell>
          <cell r="AE124">
            <v>44300</v>
          </cell>
          <cell r="AF124" t="str">
            <v>0 năm 10 tháng 20 ngày</v>
          </cell>
          <cell r="AH124">
            <v>44440</v>
          </cell>
          <cell r="AN124">
            <v>3602000</v>
          </cell>
          <cell r="AO124">
            <v>3470000</v>
          </cell>
        </row>
        <row r="125">
          <cell r="E125">
            <v>50244</v>
          </cell>
          <cell r="F125" t="str">
            <v>Lê Thị Thu Phương</v>
          </cell>
          <cell r="G125">
            <v>34974</v>
          </cell>
          <cell r="H125">
            <v>26</v>
          </cell>
          <cell r="J125" t="str">
            <v>x</v>
          </cell>
          <cell r="K125">
            <v>174779513</v>
          </cell>
          <cell r="L125">
            <v>40822</v>
          </cell>
          <cell r="M125" t="str">
            <v>Công an Thanh Hoá</v>
          </cell>
          <cell r="N125" t="str">
            <v>Kinh</v>
          </cell>
          <cell r="O125" t="str">
            <v>Không</v>
          </cell>
          <cell r="P125" t="str">
            <v>Việt Nam</v>
          </cell>
          <cell r="Q125" t="str">
            <v>Đại học</v>
          </cell>
          <cell r="R125" t="str">
            <v>Công nghệ dệt, may</v>
          </cell>
          <cell r="S125" t="str">
            <v>Xã An Nông, huyện Triệu Sơn, tỉnh Thanh Hóa</v>
          </cell>
          <cell r="T125" t="str">
            <v>Xã An Nông, huyện Triệu Sơn, tỉnh Thanh Hóa</v>
          </cell>
          <cell r="U125" t="str">
            <v>Thôn Đô Thịnh, Xã An Nông, huyện Triệu Sơn, tỉnh Thanh Hóa</v>
          </cell>
          <cell r="V125" t="str">
            <v>0898605345</v>
          </cell>
          <cell r="W125">
            <v>3821919857</v>
          </cell>
          <cell r="AC125" t="str">
            <v>1020786630</v>
          </cell>
          <cell r="AD125" t="str">
            <v>108872070423</v>
          </cell>
          <cell r="AE125">
            <v>44301</v>
          </cell>
          <cell r="AF125" t="str">
            <v>0 năm 10 tháng 19 ngày</v>
          </cell>
          <cell r="AH125">
            <v>44378</v>
          </cell>
          <cell r="AK125" t="str">
            <v>Công nhân vận hành máy may công nghiệp</v>
          </cell>
          <cell r="AN125">
            <v>3876000</v>
          </cell>
          <cell r="AO125">
            <v>3470000</v>
          </cell>
        </row>
        <row r="126">
          <cell r="E126">
            <v>50247</v>
          </cell>
          <cell r="F126" t="str">
            <v>Lê Thị Lệ</v>
          </cell>
          <cell r="G126">
            <v>32942</v>
          </cell>
          <cell r="H126">
            <v>31</v>
          </cell>
          <cell r="J126" t="str">
            <v>x</v>
          </cell>
          <cell r="K126" t="str">
            <v>038190000655</v>
          </cell>
          <cell r="L126">
            <v>42450</v>
          </cell>
          <cell r="M126" t="str">
            <v>Cục quản lý dân cư</v>
          </cell>
          <cell r="N126" t="str">
            <v>Kinh</v>
          </cell>
          <cell r="O126" t="str">
            <v>Không</v>
          </cell>
          <cell r="P126" t="str">
            <v>Việt Nam</v>
          </cell>
          <cell r="Q126" t="str">
            <v>9/12</v>
          </cell>
          <cell r="S126" t="str">
            <v>Xã Thọ Tân, huyện Triệu Sơn, tỉnh Thanh Hóa</v>
          </cell>
          <cell r="T126" t="str">
            <v>Xã Thọ Tân, huyện Triệu Sơn, tỉnh Thanh Hóa</v>
          </cell>
          <cell r="U126" t="str">
            <v>Thôn 2, xã Thọ Tân, huyện Triệu Sơn, tỉnh Thanh Hóa</v>
          </cell>
          <cell r="V126" t="str">
            <v>0366378929</v>
          </cell>
          <cell r="W126">
            <v>7915100352</v>
          </cell>
          <cell r="X126" t="str">
            <v>BHXH TP Hồ Chí Minh</v>
          </cell>
          <cell r="AC126" t="str">
            <v>1020792519</v>
          </cell>
          <cell r="AD126">
            <v>108873664575</v>
          </cell>
          <cell r="AE126">
            <v>44308</v>
          </cell>
          <cell r="AF126" t="str">
            <v>0 năm 10 tháng 12 ngày</v>
          </cell>
          <cell r="AH126">
            <v>44378</v>
          </cell>
          <cell r="AK126" t="str">
            <v>Công nhân vận hành máy may công nghiệp</v>
          </cell>
          <cell r="AN126">
            <v>3876000</v>
          </cell>
          <cell r="AO126">
            <v>3470000</v>
          </cell>
        </row>
        <row r="127">
          <cell r="E127">
            <v>50249</v>
          </cell>
          <cell r="F127" t="str">
            <v>Trịnh Thị Hà</v>
          </cell>
          <cell r="G127">
            <v>37263</v>
          </cell>
          <cell r="H127">
            <v>20</v>
          </cell>
          <cell r="J127" t="str">
            <v>x</v>
          </cell>
          <cell r="K127" t="str">
            <v>038302019286</v>
          </cell>
          <cell r="L127">
            <v>43833</v>
          </cell>
          <cell r="M127" t="str">
            <v>Cục quản lý dân cư</v>
          </cell>
          <cell r="N127" t="str">
            <v>Kinh</v>
          </cell>
          <cell r="O127" t="str">
            <v>Không</v>
          </cell>
          <cell r="P127" t="str">
            <v>Việt Nam</v>
          </cell>
          <cell r="Q127" t="str">
            <v>12/12</v>
          </cell>
          <cell r="S127" t="str">
            <v>Xã Dân Lực, huyện Triệu Sơn, tỉnh Thanh Hóa</v>
          </cell>
          <cell r="T127" t="str">
            <v>Xã Dân Lực, huyện Triệu Sơn, tỉnh Thanh Hóa</v>
          </cell>
          <cell r="U127" t="str">
            <v>Thôn Ân Mộc, xã Dân Lực, huyện Triệu Sơn, tỉnh Thanh Hóa</v>
          </cell>
          <cell r="V127" t="str">
            <v>0857102298</v>
          </cell>
          <cell r="W127">
            <v>3821974363</v>
          </cell>
          <cell r="AC127" t="str">
            <v>1020793622</v>
          </cell>
          <cell r="AE127">
            <v>44312</v>
          </cell>
          <cell r="AF127" t="str">
            <v>0 năm 10 tháng 8 ngày</v>
          </cell>
          <cell r="AH127">
            <v>44378</v>
          </cell>
          <cell r="AK127" t="str">
            <v>Công nhân vận hành máy may công nghiệp</v>
          </cell>
          <cell r="AN127">
            <v>3876000</v>
          </cell>
          <cell r="AO127">
            <v>3470000</v>
          </cell>
        </row>
        <row r="128">
          <cell r="E128">
            <v>50250</v>
          </cell>
          <cell r="F128" t="str">
            <v>Lê Thị Mai</v>
          </cell>
          <cell r="G128">
            <v>33381</v>
          </cell>
          <cell r="H128">
            <v>30</v>
          </cell>
          <cell r="J128" t="str">
            <v>x</v>
          </cell>
          <cell r="K128">
            <v>173087873</v>
          </cell>
          <cell r="L128">
            <v>39571</v>
          </cell>
          <cell r="M128" t="str">
            <v>Công an Thanh Hoá</v>
          </cell>
          <cell r="N128" t="str">
            <v>Kinh</v>
          </cell>
          <cell r="O128" t="str">
            <v>Không</v>
          </cell>
          <cell r="P128" t="str">
            <v>Việt Nam</v>
          </cell>
          <cell r="Q128" t="str">
            <v>9/12</v>
          </cell>
          <cell r="S128" t="str">
            <v>Xã Thiệu Hoà, huyện Thiệu Hoá, tỉnh Thanh Hoá</v>
          </cell>
          <cell r="T128" t="str">
            <v>Xã Thiệu Hoà, huyện Thiệu Hoá, tỉnh Thanh Hoá</v>
          </cell>
          <cell r="U128" t="str">
            <v>Thôn Thái Khang, xã Thiệu Hoà, huyện Thiệu Hoá, tỉnh Thanh Hoá</v>
          </cell>
          <cell r="V128" t="str">
            <v>0853104826</v>
          </cell>
          <cell r="W128">
            <v>3816034563</v>
          </cell>
          <cell r="AC128" t="str">
            <v>1021317167</v>
          </cell>
          <cell r="AD128">
            <v>103873664625</v>
          </cell>
          <cell r="AE128">
            <v>44319</v>
          </cell>
          <cell r="AF128" t="str">
            <v>0 năm 10 tháng 3 ngày</v>
          </cell>
          <cell r="AH128">
            <v>44378</v>
          </cell>
          <cell r="AK128" t="str">
            <v>Công nhân vận hành máy may công nghiệp</v>
          </cell>
          <cell r="AN128">
            <v>3876000</v>
          </cell>
          <cell r="AO128">
            <v>3470000</v>
          </cell>
        </row>
        <row r="129">
          <cell r="E129">
            <v>50251</v>
          </cell>
          <cell r="F129" t="str">
            <v>Dương Thị Trang</v>
          </cell>
          <cell r="G129">
            <v>36667</v>
          </cell>
          <cell r="H129">
            <v>21</v>
          </cell>
          <cell r="J129" t="str">
            <v>x</v>
          </cell>
          <cell r="K129" t="str">
            <v>038300008565</v>
          </cell>
          <cell r="L129">
            <v>42957</v>
          </cell>
          <cell r="M129" t="str">
            <v>Cục quản lý dân cư</v>
          </cell>
          <cell r="N129" t="str">
            <v>Kinh</v>
          </cell>
          <cell r="O129" t="str">
            <v>Không</v>
          </cell>
          <cell r="P129" t="str">
            <v>Việt Nam</v>
          </cell>
          <cell r="Q129" t="str">
            <v>12/12</v>
          </cell>
          <cell r="S129" t="str">
            <v>Xã Thiệu Hoà, huyện Thiệu Hoá, tỉnh Thanh Hoá</v>
          </cell>
          <cell r="T129" t="str">
            <v>Xã Thiệu Hoà, huyện Thiệu Hoá, tỉnh Thanh Hoá</v>
          </cell>
          <cell r="U129" t="str">
            <v>Thôn Thái Hoà, xã Thiệu Hoà, huyện Thiệu Hoá, tỉnh Thanh Hoá</v>
          </cell>
          <cell r="V129" t="str">
            <v>0387362193</v>
          </cell>
          <cell r="W129">
            <v>3822084922</v>
          </cell>
          <cell r="AC129" t="str">
            <v>1021317840</v>
          </cell>
          <cell r="AD129">
            <v>107873664576</v>
          </cell>
          <cell r="AE129">
            <v>44319</v>
          </cell>
          <cell r="AF129" t="str">
            <v>0 năm 10 tháng 3 ngày</v>
          </cell>
          <cell r="AH129">
            <v>44378</v>
          </cell>
          <cell r="AK129" t="str">
            <v>Công nhân vận hành máy may công nghiệp</v>
          </cell>
          <cell r="AN129">
            <v>3876000</v>
          </cell>
          <cell r="AO129">
            <v>3470000</v>
          </cell>
        </row>
        <row r="130">
          <cell r="E130">
            <v>50252</v>
          </cell>
          <cell r="F130" t="str">
            <v>Nguyễn Thị Phương</v>
          </cell>
          <cell r="G130">
            <v>35189</v>
          </cell>
          <cell r="H130">
            <v>25</v>
          </cell>
          <cell r="J130" t="str">
            <v>x</v>
          </cell>
          <cell r="K130" t="str">
            <v>038196006885</v>
          </cell>
          <cell r="L130">
            <v>43754</v>
          </cell>
          <cell r="M130" t="str">
            <v>Cục quản lý dân cư</v>
          </cell>
          <cell r="N130" t="str">
            <v>Kinh</v>
          </cell>
          <cell r="O130" t="str">
            <v>Không</v>
          </cell>
          <cell r="P130" t="str">
            <v>Việt Nam</v>
          </cell>
          <cell r="Q130" t="str">
            <v>12/12</v>
          </cell>
          <cell r="S130" t="str">
            <v>Xã Dân Lực, huyện Triệu Sơn, tỉnh Thanh Hóa</v>
          </cell>
          <cell r="T130" t="str">
            <v>Xã Dân Lực, huyện Triệu Sơn, tỉnh Thanh Hóa</v>
          </cell>
          <cell r="U130" t="str">
            <v>Bản Đông, xã Xuân Thọ, huyện Như Thanh, tỉnh Thanh Hoá</v>
          </cell>
          <cell r="V130" t="str">
            <v>0365269082</v>
          </cell>
          <cell r="W130">
            <v>1916829087</v>
          </cell>
          <cell r="AC130" t="str">
            <v>0821000136440</v>
          </cell>
          <cell r="AD130" t="str">
            <v>108870835412</v>
          </cell>
          <cell r="AE130">
            <v>44321</v>
          </cell>
          <cell r="AF130" t="str">
            <v>0 năm 10 tháng 1 ngày</v>
          </cell>
          <cell r="AH130">
            <v>44378</v>
          </cell>
          <cell r="AK130" t="str">
            <v>Công nhân vận hành máy may công nghiệp</v>
          </cell>
          <cell r="AN130">
            <v>3876000</v>
          </cell>
          <cell r="AO130">
            <v>3470000</v>
          </cell>
        </row>
        <row r="131">
          <cell r="E131">
            <v>50253</v>
          </cell>
          <cell r="F131" t="str">
            <v>Lê  Đình Tiến</v>
          </cell>
          <cell r="G131">
            <v>35091</v>
          </cell>
          <cell r="H131">
            <v>26</v>
          </cell>
          <cell r="I131" t="str">
            <v>x</v>
          </cell>
          <cell r="K131">
            <v>174737229</v>
          </cell>
          <cell r="L131">
            <v>41098</v>
          </cell>
          <cell r="M131" t="str">
            <v>Công an Thanh Hoá</v>
          </cell>
          <cell r="N131" t="str">
            <v>Kinh</v>
          </cell>
          <cell r="O131" t="str">
            <v>Không</v>
          </cell>
          <cell r="P131" t="str">
            <v>Việt Nam</v>
          </cell>
          <cell r="Q131" t="str">
            <v>9/12</v>
          </cell>
          <cell r="S131" t="str">
            <v>Xã Thiệu Hoà, huyện Thiệu Hoá, tỉnh Thanh Hoá</v>
          </cell>
          <cell r="T131" t="str">
            <v>Xã Thiệu Hoà, huyện Thiệu Hoá, tỉnh Thanh Hoá</v>
          </cell>
          <cell r="U131" t="str">
            <v>Thôn Thái Khang, xã Thiệu Hoà, huyện Thiệu Hoá, tỉnh Thanh Hoá</v>
          </cell>
          <cell r="V131" t="str">
            <v>0812404643</v>
          </cell>
          <cell r="W131" t="str">
            <v>7515145565</v>
          </cell>
          <cell r="AC131" t="str">
            <v>1021317962</v>
          </cell>
          <cell r="AD131">
            <v>101873664615</v>
          </cell>
          <cell r="AE131">
            <v>44321</v>
          </cell>
          <cell r="AF131" t="str">
            <v>0 năm 10 tháng 1 ngày</v>
          </cell>
          <cell r="AH131">
            <v>44378</v>
          </cell>
          <cell r="AK131" t="str">
            <v>Công nhân vận hành máy may công nghiệp</v>
          </cell>
          <cell r="AN131">
            <v>3876000</v>
          </cell>
          <cell r="AO131">
            <v>3470000</v>
          </cell>
        </row>
        <row r="132">
          <cell r="E132">
            <v>50254</v>
          </cell>
          <cell r="F132" t="str">
            <v>Lê Sĩ Sơn</v>
          </cell>
          <cell r="G132">
            <v>33470</v>
          </cell>
          <cell r="H132">
            <v>30</v>
          </cell>
          <cell r="I132" t="str">
            <v>x</v>
          </cell>
          <cell r="K132">
            <v>173818472</v>
          </cell>
          <cell r="L132" t="str">
            <v>21/01/2013</v>
          </cell>
          <cell r="M132" t="str">
            <v>Công an Thanh Hoá</v>
          </cell>
          <cell r="N132" t="str">
            <v>Kinh</v>
          </cell>
          <cell r="O132" t="str">
            <v>không</v>
          </cell>
          <cell r="P132" t="str">
            <v>Việt Nam</v>
          </cell>
          <cell r="Q132" t="str">
            <v>12/12</v>
          </cell>
          <cell r="S132" t="str">
            <v>Xã Quảng Hoà, huyện Quảng Xương, tỉnh Thanh Hoá</v>
          </cell>
          <cell r="T132" t="str">
            <v>Xã Quảng Hoà, huyện Quảng Xương, tỉnh Thanh Hoá</v>
          </cell>
          <cell r="U132" t="str">
            <v>Xã Quảng Hoà, huyện Quảng Xương, tỉnh Thanh Hoá</v>
          </cell>
          <cell r="V132" t="str">
            <v>0966323053</v>
          </cell>
          <cell r="W132" t="str">
            <v>7909385837</v>
          </cell>
          <cell r="AE132">
            <v>44322</v>
          </cell>
          <cell r="AF132" t="str">
            <v>0 năm 10 tháng 0 ngày</v>
          </cell>
          <cell r="AH132">
            <v>44470</v>
          </cell>
          <cell r="AK132" t="str">
            <v>Công nhân đóng gói công nghiệp</v>
          </cell>
          <cell r="AN132">
            <v>3602000</v>
          </cell>
          <cell r="AO132">
            <v>3470000</v>
          </cell>
        </row>
        <row r="133">
          <cell r="E133">
            <v>50255</v>
          </cell>
          <cell r="F133" t="str">
            <v>Nguyễn Thị Hoa</v>
          </cell>
          <cell r="G133">
            <v>32474</v>
          </cell>
          <cell r="H133">
            <v>33</v>
          </cell>
          <cell r="J133" t="str">
            <v>x</v>
          </cell>
          <cell r="K133" t="str">
            <v>038188008913</v>
          </cell>
          <cell r="L133">
            <v>43292</v>
          </cell>
          <cell r="M133" t="str">
            <v>Cục quản lý dân cư</v>
          </cell>
          <cell r="N133" t="str">
            <v>Kinh</v>
          </cell>
          <cell r="O133" t="str">
            <v>Không</v>
          </cell>
          <cell r="P133" t="str">
            <v>Việt Nam</v>
          </cell>
          <cell r="Q133" t="str">
            <v>12/12</v>
          </cell>
          <cell r="S133" t="str">
            <v>Xã Thọ Phú, huyện Triệu Sơn, tỉnh Thanh Hóa</v>
          </cell>
          <cell r="T133" t="str">
            <v>Xã Thọ Phú, huyện Triệu Sơn, tỉnh Thanh Hóa</v>
          </cell>
          <cell r="U133" t="str">
            <v>Thôn Xuân Tiên, xã Dân Lực, huyện Triệu Sơn, tỉnh Thanh Hoá</v>
          </cell>
          <cell r="V133" t="str">
            <v>0393501615</v>
          </cell>
          <cell r="W133">
            <v>3814036038</v>
          </cell>
          <cell r="AC133" t="str">
            <v>1021318257</v>
          </cell>
          <cell r="AD133" t="str">
            <v>101870195513</v>
          </cell>
          <cell r="AE133">
            <v>44324</v>
          </cell>
          <cell r="AF133" t="str">
            <v>0 năm 9 tháng 26 ngày</v>
          </cell>
          <cell r="AH133">
            <v>44378</v>
          </cell>
          <cell r="AK133" t="str">
            <v>Công nhân vận hành máy may công nghiệp</v>
          </cell>
          <cell r="AN133">
            <v>3876000</v>
          </cell>
          <cell r="AO133">
            <v>3470000</v>
          </cell>
        </row>
        <row r="134">
          <cell r="E134">
            <v>50257</v>
          </cell>
          <cell r="F134" t="str">
            <v>Hoàng Minh Công</v>
          </cell>
          <cell r="G134">
            <v>35228</v>
          </cell>
          <cell r="H134">
            <v>25</v>
          </cell>
          <cell r="I134" t="str">
            <v>x</v>
          </cell>
          <cell r="K134" t="str">
            <v>038096009282</v>
          </cell>
          <cell r="L134">
            <v>43592</v>
          </cell>
          <cell r="M134" t="str">
            <v>Cục quản lý dân cư</v>
          </cell>
          <cell r="N134" t="str">
            <v>Kinh</v>
          </cell>
          <cell r="O134" t="str">
            <v>Không</v>
          </cell>
          <cell r="P134" t="str">
            <v>Việt Nam</v>
          </cell>
          <cell r="Q134" t="str">
            <v>12/12</v>
          </cell>
          <cell r="S134" t="str">
            <v>Xã Thọ Phú, huyện Triệu Sơn, tỉnh Thanh Hóa</v>
          </cell>
          <cell r="T134" t="str">
            <v>Xã Thọ Phú, huyện Triệu Sơn, tỉnh Thanh Hóa</v>
          </cell>
          <cell r="U134" t="str">
            <v>Xã Thọ Phú, huyện Triệu Sơn, tỉnh Thanh Hóa</v>
          </cell>
          <cell r="V134" t="str">
            <v>0978334526</v>
          </cell>
          <cell r="W134">
            <v>3821923234</v>
          </cell>
          <cell r="AC134" t="str">
            <v>0541000314150</v>
          </cell>
          <cell r="AD134">
            <v>102873664544</v>
          </cell>
          <cell r="AE134">
            <v>44327</v>
          </cell>
          <cell r="AF134" t="str">
            <v>0 năm 9 tháng 23 ngày</v>
          </cell>
          <cell r="AH134">
            <v>44378</v>
          </cell>
          <cell r="AK134" t="str">
            <v>Công nhân vận hành máy may công nghiệp</v>
          </cell>
          <cell r="AN134">
            <v>3876000</v>
          </cell>
          <cell r="AO134">
            <v>3470000</v>
          </cell>
        </row>
        <row r="135">
          <cell r="E135">
            <v>50258</v>
          </cell>
          <cell r="F135" t="str">
            <v>Nguyễn Thị Hiền Trang</v>
          </cell>
          <cell r="G135">
            <v>35395</v>
          </cell>
          <cell r="H135">
            <v>25</v>
          </cell>
          <cell r="J135" t="str">
            <v>x</v>
          </cell>
          <cell r="K135">
            <v>174744932</v>
          </cell>
          <cell r="L135">
            <v>41538</v>
          </cell>
          <cell r="M135" t="str">
            <v>Công an Thanh Hoá</v>
          </cell>
          <cell r="N135" t="str">
            <v>Kinh</v>
          </cell>
          <cell r="O135" t="str">
            <v>Không</v>
          </cell>
          <cell r="P135" t="str">
            <v>Việt Nam</v>
          </cell>
          <cell r="Q135" t="str">
            <v>12/12</v>
          </cell>
          <cell r="S135" t="str">
            <v>Xã Thiệu Viên, huyện Thiệu Hoá, tỉnh Thanh Hoá</v>
          </cell>
          <cell r="T135" t="str">
            <v>Xã Thiệu Viên, huyện Thiệu Hoá, tỉnh Thanh Hoá</v>
          </cell>
          <cell r="U135" t="str">
            <v>Thôn Thái Khang, xã Thiệu Hoà, huyện Thiệu Hoá, tỉnh Thanh Hoá</v>
          </cell>
          <cell r="V135" t="str">
            <v>0862344643</v>
          </cell>
          <cell r="W135">
            <v>3823623993</v>
          </cell>
          <cell r="AC135" t="str">
            <v>1021319011</v>
          </cell>
          <cell r="AD135">
            <v>102873664544</v>
          </cell>
          <cell r="AE135">
            <v>44334</v>
          </cell>
          <cell r="AF135" t="str">
            <v>0 năm 9 tháng 16 ngày</v>
          </cell>
          <cell r="AH135">
            <v>44378</v>
          </cell>
          <cell r="AK135" t="str">
            <v>Công nhân vận hành máy may công nghiệp</v>
          </cell>
          <cell r="AN135">
            <v>3876000</v>
          </cell>
          <cell r="AO135">
            <v>3470000</v>
          </cell>
        </row>
        <row r="136">
          <cell r="E136">
            <v>50262</v>
          </cell>
          <cell r="F136" t="str">
            <v>Lê Thị Giang</v>
          </cell>
          <cell r="G136">
            <v>37482</v>
          </cell>
          <cell r="H136">
            <v>19</v>
          </cell>
          <cell r="J136" t="str">
            <v>x</v>
          </cell>
          <cell r="K136" t="str">
            <v>038302019971</v>
          </cell>
          <cell r="L136">
            <v>43845</v>
          </cell>
          <cell r="M136" t="str">
            <v>Cục quản lý dân cư</v>
          </cell>
          <cell r="N136" t="str">
            <v>Kinh</v>
          </cell>
          <cell r="O136" t="str">
            <v>Không</v>
          </cell>
          <cell r="P136" t="str">
            <v>Việt Nam</v>
          </cell>
          <cell r="Q136" t="str">
            <v>12/12</v>
          </cell>
          <cell r="S136" t="str">
            <v>Xã Minh Châu, huyện Triệu Sơn, tỉnh Thanh Hoá</v>
          </cell>
          <cell r="T136" t="str">
            <v>Xã Minh Châu, huyện Triệu Sơn, tỉnh Thanh Hoá</v>
          </cell>
          <cell r="U136" t="str">
            <v>Thị trấn Triệu Sơn, huyện Triệu Sơn, tỉnh Thanh Hoá</v>
          </cell>
          <cell r="V136" t="str">
            <v>0367304246</v>
          </cell>
          <cell r="W136">
            <v>3822012463</v>
          </cell>
          <cell r="AC136" t="str">
            <v>1021941924</v>
          </cell>
          <cell r="AD136">
            <v>105873664635</v>
          </cell>
          <cell r="AE136">
            <v>44354</v>
          </cell>
          <cell r="AF136" t="str">
            <v>0 năm 8 tháng 27 ngày</v>
          </cell>
          <cell r="AH136">
            <v>44440</v>
          </cell>
          <cell r="AN136">
            <v>3602000</v>
          </cell>
          <cell r="AO136">
            <v>3470000</v>
          </cell>
        </row>
        <row r="137">
          <cell r="E137">
            <v>50263</v>
          </cell>
          <cell r="F137" t="str">
            <v>Lê Thị Hiền</v>
          </cell>
          <cell r="G137">
            <v>32130</v>
          </cell>
          <cell r="H137">
            <v>34</v>
          </cell>
          <cell r="J137" t="str">
            <v>x</v>
          </cell>
          <cell r="K137" t="str">
            <v>172482085</v>
          </cell>
          <cell r="L137">
            <v>41372</v>
          </cell>
          <cell r="M137" t="str">
            <v>Công an Thanh Hoá</v>
          </cell>
          <cell r="N137" t="str">
            <v>Kinh</v>
          </cell>
          <cell r="O137" t="str">
            <v>Không</v>
          </cell>
          <cell r="P137" t="str">
            <v>Việt Nam</v>
          </cell>
          <cell r="Q137" t="str">
            <v>9/12</v>
          </cell>
          <cell r="S137" t="str">
            <v>Xã Xuân Quỳ, huyện Như Xuân, tỉnh Thanh Hoá</v>
          </cell>
          <cell r="T137" t="str">
            <v>Xã Xuân Quỳ, huyện Như Xuân, tỉnh Thanh Hoá</v>
          </cell>
          <cell r="U137" t="str">
            <v>Thôn Tiên Mộc, xã Dân Lực, huyện Triệu Sơn, tỉnh Thanh Hóa</v>
          </cell>
          <cell r="V137" t="str">
            <v>0975532187</v>
          </cell>
          <cell r="W137">
            <v>3822005059</v>
          </cell>
          <cell r="AC137" t="str">
            <v>1021942073</v>
          </cell>
          <cell r="AD137">
            <v>101873664557</v>
          </cell>
          <cell r="AE137">
            <v>44355</v>
          </cell>
          <cell r="AF137" t="str">
            <v>0 năm 8 tháng 26 ngày</v>
          </cell>
          <cell r="AH137">
            <v>44440</v>
          </cell>
          <cell r="AN137">
            <v>3602000</v>
          </cell>
          <cell r="AO137">
            <v>3470000</v>
          </cell>
        </row>
        <row r="138">
          <cell r="E138">
            <v>50265</v>
          </cell>
          <cell r="F138" t="str">
            <v>Trịnh Thị Liên</v>
          </cell>
          <cell r="G138">
            <v>31522</v>
          </cell>
          <cell r="H138">
            <v>35</v>
          </cell>
          <cell r="J138" t="str">
            <v>x</v>
          </cell>
          <cell r="K138">
            <v>172270614</v>
          </cell>
          <cell r="L138">
            <v>42324</v>
          </cell>
          <cell r="M138" t="str">
            <v>Công an Thanh Hoá</v>
          </cell>
          <cell r="N138" t="str">
            <v>Kinh</v>
          </cell>
          <cell r="O138" t="str">
            <v>Không</v>
          </cell>
          <cell r="P138" t="str">
            <v>Việt Nam</v>
          </cell>
          <cell r="Q138" t="str">
            <v>9/12</v>
          </cell>
          <cell r="S138" t="str">
            <v>Xã Thiệu Hoà, huyện Thiệu Hoá, tỉnh Thanh Hoá</v>
          </cell>
          <cell r="T138" t="str">
            <v>Xã Thiệu Hoà, huyện Thiệu Hoá, tỉnh Thanh Hoá</v>
          </cell>
          <cell r="U138" t="str">
            <v>Thôn 4, xã Minh Sơn, Triệu Sơn, Thanh Hoá</v>
          </cell>
          <cell r="V138" t="str">
            <v>0389685255</v>
          </cell>
          <cell r="W138">
            <v>3816060683</v>
          </cell>
          <cell r="AC138" t="str">
            <v>1021943541</v>
          </cell>
          <cell r="AD138">
            <v>100873664558</v>
          </cell>
          <cell r="AE138">
            <v>44358</v>
          </cell>
          <cell r="AF138" t="str">
            <v>0 năm 8 tháng 23 ngày</v>
          </cell>
          <cell r="AH138">
            <v>44440</v>
          </cell>
          <cell r="AN138">
            <v>3602000</v>
          </cell>
          <cell r="AO138">
            <v>3470000</v>
          </cell>
        </row>
        <row r="139">
          <cell r="E139">
            <v>50266</v>
          </cell>
          <cell r="F139" t="str">
            <v>Hoàng Thị Linh Phương</v>
          </cell>
          <cell r="G139">
            <v>34308</v>
          </cell>
          <cell r="H139">
            <v>28</v>
          </cell>
          <cell r="J139" t="str">
            <v>x</v>
          </cell>
          <cell r="K139" t="str">
            <v>038193014604</v>
          </cell>
          <cell r="L139">
            <v>44098</v>
          </cell>
          <cell r="M139" t="str">
            <v>Cục quản lý dân cư</v>
          </cell>
          <cell r="N139" t="str">
            <v>Kinh</v>
          </cell>
          <cell r="O139" t="str">
            <v>Không</v>
          </cell>
          <cell r="P139" t="str">
            <v>Việt Nam</v>
          </cell>
          <cell r="Q139" t="str">
            <v>9/12</v>
          </cell>
          <cell r="S139" t="str">
            <v>Xã Dân Lực, huyện Triệu Sơn, tỉnh Thanh Hóa</v>
          </cell>
          <cell r="T139" t="str">
            <v>Xã Dân Lực, huyện Triệu Sơn, tỉnh Thanh Hóa</v>
          </cell>
          <cell r="U139" t="str">
            <v>Thôn Đô Xá, xã Dân Lực, huyện Triệu Sơn, tỉnh Thanh Hóa</v>
          </cell>
          <cell r="V139" t="str">
            <v>0977520165</v>
          </cell>
          <cell r="W139">
            <v>125098529</v>
          </cell>
          <cell r="AC139" t="str">
            <v>1021943725</v>
          </cell>
          <cell r="AD139" t="str">
            <v>105873754572</v>
          </cell>
          <cell r="AE139">
            <v>44358</v>
          </cell>
          <cell r="AF139" t="str">
            <v>0 năm 8 tháng 23 ngày</v>
          </cell>
          <cell r="AH139">
            <v>44440</v>
          </cell>
          <cell r="AN139">
            <v>3602000</v>
          </cell>
          <cell r="AO139">
            <v>3470000</v>
          </cell>
        </row>
        <row r="140">
          <cell r="E140">
            <v>50267</v>
          </cell>
          <cell r="F140" t="str">
            <v>Lê Phạm Quỳnh</v>
          </cell>
          <cell r="G140">
            <v>36987</v>
          </cell>
          <cell r="H140">
            <v>20</v>
          </cell>
          <cell r="J140" t="str">
            <v>x</v>
          </cell>
          <cell r="K140" t="str">
            <v>038301022116</v>
          </cell>
          <cell r="L140">
            <v>43615</v>
          </cell>
          <cell r="M140" t="str">
            <v>Cục quản lý dân cư</v>
          </cell>
          <cell r="N140" t="str">
            <v>Thái</v>
          </cell>
          <cell r="O140" t="str">
            <v>Không</v>
          </cell>
          <cell r="P140" t="str">
            <v>Việt Nam</v>
          </cell>
          <cell r="Q140" t="str">
            <v>9/12</v>
          </cell>
          <cell r="S140" t="str">
            <v>Xã Hoàng Trường, huyện Hoàng Hóa, tỉnh Thanh Hóa</v>
          </cell>
          <cell r="T140" t="str">
            <v>Xã Quang Hiến, huyện Lang Chánh, tỉnh Thanh Hóa</v>
          </cell>
          <cell r="U140" t="str">
            <v>Khu phố 4, Thị trấn Triệu Sơn, Triệu Sơn, tỉnh Thanh Hoá</v>
          </cell>
          <cell r="V140" t="str">
            <v>0824365536</v>
          </cell>
          <cell r="W140">
            <v>3820705301</v>
          </cell>
          <cell r="AC140" t="str">
            <v>1021944361</v>
          </cell>
          <cell r="AD140">
            <v>106873664589</v>
          </cell>
          <cell r="AE140">
            <v>44362</v>
          </cell>
          <cell r="AF140" t="str">
            <v>0 năm 8 tháng 19 ngày</v>
          </cell>
          <cell r="AH140">
            <v>44440</v>
          </cell>
          <cell r="AN140">
            <v>3602000</v>
          </cell>
          <cell r="AO140">
            <v>3470000</v>
          </cell>
        </row>
        <row r="141">
          <cell r="E141">
            <v>50268</v>
          </cell>
          <cell r="F141" t="str">
            <v>Nguyễn Thị Hiền</v>
          </cell>
          <cell r="G141">
            <v>34054</v>
          </cell>
          <cell r="H141">
            <v>28</v>
          </cell>
          <cell r="J141" t="str">
            <v>x</v>
          </cell>
          <cell r="K141">
            <v>173545767</v>
          </cell>
          <cell r="L141">
            <v>39666</v>
          </cell>
          <cell r="M141" t="str">
            <v>Công an Thanh Hoá</v>
          </cell>
          <cell r="N141" t="str">
            <v>Kinh</v>
          </cell>
          <cell r="O141" t="str">
            <v>Không</v>
          </cell>
          <cell r="P141" t="str">
            <v>Việt Nam</v>
          </cell>
          <cell r="Q141" t="str">
            <v>9/12</v>
          </cell>
          <cell r="S141" t="str">
            <v>Xã An Nông, huyện Triệu Sơn, tỉnh Thanh Hóa</v>
          </cell>
          <cell r="T141" t="str">
            <v>Xã An Nông, huyện Triệu Sơn, tỉnh Thanh Hóa</v>
          </cell>
          <cell r="U141" t="str">
            <v>Thôn 4, xã Minh Sơn, huyện Triệu Sơn, tỉnh Thanh Hoá</v>
          </cell>
          <cell r="V141" t="str">
            <v>0356421899</v>
          </cell>
          <cell r="W141">
            <v>3814020407</v>
          </cell>
          <cell r="AC141" t="str">
            <v>1021944519</v>
          </cell>
          <cell r="AD141">
            <v>109873664559</v>
          </cell>
          <cell r="AE141">
            <v>44368</v>
          </cell>
          <cell r="AF141" t="str">
            <v>0 năm 8 tháng 13 ngày</v>
          </cell>
          <cell r="AH141">
            <v>44440</v>
          </cell>
          <cell r="AK141" t="str">
            <v>Công nhân vận hành máy may công nghiệp</v>
          </cell>
          <cell r="AN141">
            <v>3602000</v>
          </cell>
          <cell r="AO141">
            <v>3470000</v>
          </cell>
        </row>
        <row r="142">
          <cell r="E142">
            <v>50269</v>
          </cell>
          <cell r="F142" t="str">
            <v>Tống Trần Dũng</v>
          </cell>
          <cell r="G142">
            <v>33298</v>
          </cell>
          <cell r="H142">
            <v>31</v>
          </cell>
          <cell r="I142" t="str">
            <v>x</v>
          </cell>
          <cell r="K142" t="str">
            <v>038091013785</v>
          </cell>
          <cell r="L142">
            <v>43430</v>
          </cell>
          <cell r="M142" t="str">
            <v>Cục quản lý dân cư</v>
          </cell>
          <cell r="N142" t="str">
            <v>Kinh</v>
          </cell>
          <cell r="O142" t="str">
            <v>Không</v>
          </cell>
          <cell r="P142" t="str">
            <v>Việt Nam</v>
          </cell>
          <cell r="Q142" t="str">
            <v>12/12</v>
          </cell>
          <cell r="S142" t="str">
            <v>Xã Dân Lực, huyện Triệu Sơn, tỉnh Thanh Hoá</v>
          </cell>
          <cell r="T142" t="str">
            <v>Xã Dân Lực, huyện Triệu Sơn, tỉnh Thanh Hoá</v>
          </cell>
          <cell r="U142" t="str">
            <v>Thôn Xuân Tiên, xã Dân Lực, huyện Triệu Sơn, tỉnh Thanh Hoá</v>
          </cell>
          <cell r="V142" t="str">
            <v>0326880815</v>
          </cell>
          <cell r="W142">
            <v>3821904666</v>
          </cell>
          <cell r="AC142" t="str">
            <v>1021945064</v>
          </cell>
          <cell r="AD142">
            <v>100873664560</v>
          </cell>
          <cell r="AE142">
            <v>44368</v>
          </cell>
          <cell r="AF142" t="str">
            <v>0 năm 8 tháng 13 ngày</v>
          </cell>
          <cell r="AH142">
            <v>44440</v>
          </cell>
          <cell r="AN142">
            <v>3602000</v>
          </cell>
          <cell r="AO142">
            <v>3470000</v>
          </cell>
        </row>
        <row r="143">
          <cell r="E143">
            <v>50272</v>
          </cell>
          <cell r="F143" t="str">
            <v>Trịnh Thị Vân</v>
          </cell>
          <cell r="G143">
            <v>31444</v>
          </cell>
          <cell r="H143">
            <v>36</v>
          </cell>
          <cell r="J143" t="str">
            <v>x</v>
          </cell>
          <cell r="K143">
            <v>172936187</v>
          </cell>
          <cell r="L143">
            <v>41372</v>
          </cell>
          <cell r="M143" t="str">
            <v>Công an Thanh Hoá</v>
          </cell>
          <cell r="N143" t="str">
            <v>Kinh</v>
          </cell>
          <cell r="O143" t="str">
            <v>Không</v>
          </cell>
          <cell r="P143" t="str">
            <v>Việt Nam</v>
          </cell>
          <cell r="Q143" t="str">
            <v>9/12</v>
          </cell>
          <cell r="S143" t="str">
            <v>Xã Dân Lực, huyện Triệu Sơn, tỉnh Thanh Hoá</v>
          </cell>
          <cell r="T143" t="str">
            <v>Xã Dân Lực, huyện Triệu Sơn, tỉnh Thanh Hoá</v>
          </cell>
          <cell r="U143" t="str">
            <v>Thôn 2, xã Thọ Tân, huyện Triệu Sơn, tỉnh Thanh Hoá</v>
          </cell>
          <cell r="V143" t="str">
            <v>0346514772</v>
          </cell>
          <cell r="W143">
            <v>3821943394</v>
          </cell>
          <cell r="AC143" t="str">
            <v>1021945368</v>
          </cell>
          <cell r="AD143">
            <v>109873664510</v>
          </cell>
          <cell r="AE143">
            <v>44372</v>
          </cell>
          <cell r="AF143" t="str">
            <v>0 năm 8 tháng 9 ngày</v>
          </cell>
          <cell r="AH143">
            <v>44440</v>
          </cell>
          <cell r="AN143">
            <v>3602000</v>
          </cell>
          <cell r="AO143">
            <v>3470000</v>
          </cell>
        </row>
        <row r="144">
          <cell r="E144">
            <v>50274</v>
          </cell>
          <cell r="F144" t="str">
            <v>Nguyễn Thị Duyên</v>
          </cell>
          <cell r="G144">
            <v>34910</v>
          </cell>
          <cell r="H144">
            <v>26</v>
          </cell>
          <cell r="J144" t="str">
            <v>x</v>
          </cell>
          <cell r="K144">
            <v>174250547</v>
          </cell>
          <cell r="L144">
            <v>40679</v>
          </cell>
          <cell r="M144" t="str">
            <v>Công an Thanh Hóa</v>
          </cell>
          <cell r="N144" t="str">
            <v>Kinh</v>
          </cell>
          <cell r="O144" t="str">
            <v>Không</v>
          </cell>
          <cell r="P144" t="str">
            <v>Việt Nam</v>
          </cell>
          <cell r="Q144" t="str">
            <v>9/12</v>
          </cell>
          <cell r="S144" t="str">
            <v>Xã Hợp Thắng, huyện Triệu Sơn, tỉnh Thanh Hóa</v>
          </cell>
          <cell r="T144" t="str">
            <v>Xã Hợp Thắng, huyện Triệu Sơn, tỉnh Thanh Hóa</v>
          </cell>
          <cell r="U144" t="str">
            <v>Xã Hợp Thắng, huyện Triệu Sơn, tỉnh Thanh Hóa</v>
          </cell>
          <cell r="V144" t="str">
            <v>0338947941</v>
          </cell>
          <cell r="W144">
            <v>2717045756</v>
          </cell>
          <cell r="AD144" t="str">
            <v>100001321826</v>
          </cell>
          <cell r="AE144">
            <v>44377</v>
          </cell>
          <cell r="AF144" t="str">
            <v>0 năm 8 tháng 4 ngày</v>
          </cell>
          <cell r="AH144">
            <v>44470</v>
          </cell>
          <cell r="AK144" t="str">
            <v>Công nhân vận hành máy may công nghiệp</v>
          </cell>
          <cell r="AN144">
            <v>3602000</v>
          </cell>
          <cell r="AO144">
            <v>3470000</v>
          </cell>
        </row>
        <row r="145">
          <cell r="E145">
            <v>50276</v>
          </cell>
          <cell r="F145" t="str">
            <v>Nguyễn Thị Nương</v>
          </cell>
          <cell r="G145">
            <v>33738</v>
          </cell>
          <cell r="H145">
            <v>29</v>
          </cell>
          <cell r="J145" t="str">
            <v>x</v>
          </cell>
          <cell r="K145">
            <v>173555431</v>
          </cell>
          <cell r="L145">
            <v>42356</v>
          </cell>
          <cell r="M145" t="str">
            <v>Công an Thanh Hóa</v>
          </cell>
          <cell r="N145" t="str">
            <v>Kinh</v>
          </cell>
          <cell r="O145" t="str">
            <v>không</v>
          </cell>
          <cell r="P145" t="str">
            <v>Việt Nam</v>
          </cell>
          <cell r="Q145" t="str">
            <v>Cao đẳng</v>
          </cell>
          <cell r="R145" t="str">
            <v>Điều dưỡng</v>
          </cell>
          <cell r="S145" t="str">
            <v>Xã Dân Lực, huyện Triệu Sơn, tỉnh Thanh Hoá</v>
          </cell>
          <cell r="T145" t="str">
            <v>Xã Dân Lực, huyện Triệu Sơn, tỉnh Thanh Hoá</v>
          </cell>
          <cell r="U145" t="str">
            <v>Bãi Trành, Như Xuân , Thanh Hóa</v>
          </cell>
          <cell r="V145" t="str">
            <v>0968717687</v>
          </cell>
          <cell r="W145">
            <v>3821840227</v>
          </cell>
          <cell r="AD145">
            <v>102873664626</v>
          </cell>
          <cell r="AE145">
            <v>44378</v>
          </cell>
          <cell r="AF145" t="str">
            <v>0 năm 8 tháng 5 ngày</v>
          </cell>
          <cell r="AH145">
            <v>44440</v>
          </cell>
          <cell r="AK145" t="str">
            <v>Công nhân vận hành máy may công nghiệp</v>
          </cell>
          <cell r="AN145">
            <v>3602000</v>
          </cell>
          <cell r="AO145">
            <v>3470000</v>
          </cell>
        </row>
        <row r="146">
          <cell r="E146">
            <v>50282</v>
          </cell>
          <cell r="F146" t="str">
            <v>Ngô Thị Hương</v>
          </cell>
          <cell r="G146">
            <v>34382</v>
          </cell>
          <cell r="H146">
            <v>28</v>
          </cell>
          <cell r="I146" t="str">
            <v>x</v>
          </cell>
          <cell r="K146" t="str">
            <v>038194004302</v>
          </cell>
          <cell r="L146">
            <v>43032</v>
          </cell>
          <cell r="M146" t="str">
            <v>Công an Thanh Hóa</v>
          </cell>
          <cell r="N146" t="str">
            <v>Kinh</v>
          </cell>
          <cell r="O146" t="str">
            <v>Không</v>
          </cell>
          <cell r="P146" t="str">
            <v>Việt Nam</v>
          </cell>
          <cell r="Q146" t="str">
            <v>9/12</v>
          </cell>
          <cell r="S146" t="str">
            <v>Xã Thọ Thế, huyện Triệu Sơn, tỉnh Thanh Hoá</v>
          </cell>
          <cell r="T146" t="str">
            <v>Xã Thọ Thế, huyện Triệu Sơn, tỉnh Thanh Hoá</v>
          </cell>
          <cell r="U146" t="str">
            <v>Thôn 10, Xã Thọ Thế, huyện Triệu Sơn, tỉnh Thanh Hoá</v>
          </cell>
          <cell r="V146" t="str">
            <v>0358213952</v>
          </cell>
          <cell r="W146">
            <v>7412244474</v>
          </cell>
          <cell r="AD146">
            <v>103873664640</v>
          </cell>
          <cell r="AE146">
            <v>44383</v>
          </cell>
          <cell r="AF146" t="str">
            <v>0 năm 8 tháng 0 ngày</v>
          </cell>
          <cell r="AH146">
            <v>44440</v>
          </cell>
          <cell r="AN146">
            <v>3602000</v>
          </cell>
          <cell r="AO146">
            <v>3470000</v>
          </cell>
        </row>
        <row r="147">
          <cell r="E147">
            <v>50284</v>
          </cell>
          <cell r="F147" t="str">
            <v>Lê Thị Vinh</v>
          </cell>
          <cell r="G147">
            <v>32070</v>
          </cell>
          <cell r="H147">
            <v>34</v>
          </cell>
          <cell r="J147" t="str">
            <v>x</v>
          </cell>
          <cell r="K147" t="str">
            <v>038187022215</v>
          </cell>
          <cell r="L147">
            <v>44217</v>
          </cell>
          <cell r="M147" t="str">
            <v>Công an Thanh Hoá</v>
          </cell>
          <cell r="N147" t="str">
            <v>Kinh</v>
          </cell>
          <cell r="O147" t="str">
            <v>Không</v>
          </cell>
          <cell r="P147" t="str">
            <v>Việt Nam</v>
          </cell>
          <cell r="Q147" t="str">
            <v>12/12</v>
          </cell>
          <cell r="S147" t="str">
            <v>Xã Thái Hòa, huyện triệu Sơn, tỉnh Thanh Hóa</v>
          </cell>
          <cell r="T147" t="str">
            <v>Xã Thái Hòa, huyện triệu Sơn, tỉnh Thanh Hóa</v>
          </cell>
          <cell r="U147" t="str">
            <v>Thôn Thái yên, Xã Thái Hòa, huyện triệu Sơn, tỉnh Thanh Hóa</v>
          </cell>
          <cell r="V147" t="str">
            <v>0987668736</v>
          </cell>
          <cell r="W147">
            <v>7414073548</v>
          </cell>
          <cell r="AD147">
            <v>106873664577</v>
          </cell>
          <cell r="AE147">
            <v>44384</v>
          </cell>
          <cell r="AF147" t="str">
            <v>0 năm 7 tháng 27 ngày</v>
          </cell>
          <cell r="AH147">
            <v>44470</v>
          </cell>
          <cell r="AK147" t="str">
            <v>Công nhân vận hành máy may công nghiệp</v>
          </cell>
          <cell r="AN147">
            <v>3602000</v>
          </cell>
          <cell r="AO147">
            <v>3470000</v>
          </cell>
        </row>
        <row r="148">
          <cell r="E148">
            <v>50286</v>
          </cell>
          <cell r="F148" t="str">
            <v>Lê Đức Sáu</v>
          </cell>
          <cell r="G148">
            <v>29315</v>
          </cell>
          <cell r="H148">
            <v>41</v>
          </cell>
          <cell r="I148" t="str">
            <v>x</v>
          </cell>
          <cell r="K148">
            <v>171839693</v>
          </cell>
          <cell r="L148">
            <v>42314</v>
          </cell>
          <cell r="M148" t="str">
            <v>Công an Thanh Hóa</v>
          </cell>
          <cell r="N148" t="str">
            <v>kinh</v>
          </cell>
          <cell r="O148" t="str">
            <v>Không</v>
          </cell>
          <cell r="P148" t="str">
            <v>Việt Nam</v>
          </cell>
          <cell r="Q148" t="str">
            <v>12/12</v>
          </cell>
          <cell r="S148" t="str">
            <v>Xã Quảng Ngọc, huyện Quảng Xương, tỉnh Thanh Hóa</v>
          </cell>
          <cell r="T148" t="str">
            <v>Xã Quảng Ngọc, huyện Quảng Xương, tỉnh Thanh Hóa</v>
          </cell>
          <cell r="U148" t="str">
            <v>Thôn Kỳ Vỹ, xã Quảng Ngọc, huyện Quảng Xương, tỉnh Thanh Hóa</v>
          </cell>
          <cell r="W148">
            <v>3309020479</v>
          </cell>
          <cell r="AD148" t="str">
            <v>109870144988</v>
          </cell>
          <cell r="AE148">
            <v>44385</v>
          </cell>
          <cell r="AF148" t="str">
            <v>0 năm 7 tháng 26 ngày</v>
          </cell>
          <cell r="AH148">
            <v>44440</v>
          </cell>
          <cell r="AN148">
            <v>3602000</v>
          </cell>
          <cell r="AO148">
            <v>3470000</v>
          </cell>
        </row>
        <row r="149">
          <cell r="E149">
            <v>50287</v>
          </cell>
          <cell r="F149" t="str">
            <v>Lê Xuân Lân</v>
          </cell>
          <cell r="G149">
            <v>33161</v>
          </cell>
          <cell r="H149">
            <v>31</v>
          </cell>
          <cell r="I149" t="str">
            <v>x</v>
          </cell>
          <cell r="K149">
            <v>173550694</v>
          </cell>
          <cell r="L149">
            <v>39808</v>
          </cell>
          <cell r="M149" t="str">
            <v>Công an Thanh Hoá</v>
          </cell>
          <cell r="N149" t="str">
            <v>Kinh</v>
          </cell>
          <cell r="O149" t="str">
            <v>Không</v>
          </cell>
          <cell r="P149" t="str">
            <v>Việt Nam</v>
          </cell>
          <cell r="Q149" t="str">
            <v>12/12</v>
          </cell>
          <cell r="S149" t="str">
            <v>Xã Thọ Vực, huyện Triệu Sơn, tỉnh Thanh Hoá</v>
          </cell>
          <cell r="T149" t="str">
            <v>Xã Thọ Vực, huyện Triệu Sơn, tỉnh Thanh Hoá</v>
          </cell>
          <cell r="U149" t="str">
            <v>Thôn 4, Xã Thọ Vực, huyện Triệu Sơn, tỉnh Thanh Hoá</v>
          </cell>
          <cell r="V149" t="str">
            <v>0949593123</v>
          </cell>
          <cell r="W149">
            <v>3821878333</v>
          </cell>
          <cell r="AD149">
            <v>101873664596</v>
          </cell>
          <cell r="AE149">
            <v>44385</v>
          </cell>
          <cell r="AF149" t="str">
            <v>0 năm 7 tháng 26 ngày</v>
          </cell>
          <cell r="AH149">
            <v>44470</v>
          </cell>
          <cell r="AK149" t="str">
            <v>Công nhân vận hành máy may công nghiệp</v>
          </cell>
          <cell r="AN149">
            <v>3602000</v>
          </cell>
          <cell r="AO149">
            <v>3470000</v>
          </cell>
        </row>
        <row r="150">
          <cell r="E150">
            <v>50288</v>
          </cell>
          <cell r="F150" t="str">
            <v>Tống Thị Hà</v>
          </cell>
          <cell r="G150">
            <v>31293</v>
          </cell>
          <cell r="H150">
            <v>36</v>
          </cell>
          <cell r="J150" t="str">
            <v>x</v>
          </cell>
          <cell r="K150">
            <v>173344628</v>
          </cell>
          <cell r="L150">
            <v>41968</v>
          </cell>
          <cell r="M150" t="str">
            <v>Công an Thanh Hoá</v>
          </cell>
          <cell r="N150" t="str">
            <v>Kinh</v>
          </cell>
          <cell r="O150" t="str">
            <v>Không</v>
          </cell>
          <cell r="P150" t="str">
            <v>Việt Nam</v>
          </cell>
          <cell r="Q150" t="str">
            <v>12/12</v>
          </cell>
          <cell r="S150" t="str">
            <v>Xã Dân Lực, huyện Triệu Sơn, tỉnh Thanh Hoá</v>
          </cell>
          <cell r="T150" t="str">
            <v>Xã Dân Lực, huyện Triệu Sơn, tỉnh Thanh Hoá</v>
          </cell>
          <cell r="U150" t="str">
            <v>Thôn Xuân Tiên, Xã Dân Lực, huyện Triệu Sơn, tỉnh Thanh Hoá</v>
          </cell>
          <cell r="V150" t="str">
            <v>0989166003</v>
          </cell>
          <cell r="W150">
            <v>3821960545</v>
          </cell>
          <cell r="AD150">
            <v>104873664542</v>
          </cell>
          <cell r="AE150">
            <v>44385</v>
          </cell>
          <cell r="AF150" t="str">
            <v>0 năm 7 tháng 26 ngày</v>
          </cell>
          <cell r="AH150">
            <v>44440</v>
          </cell>
          <cell r="AN150">
            <v>3602000</v>
          </cell>
          <cell r="AO150">
            <v>3470000</v>
          </cell>
        </row>
        <row r="151">
          <cell r="E151">
            <v>50289</v>
          </cell>
          <cell r="F151" t="str">
            <v>Lê Hoài Thu</v>
          </cell>
          <cell r="G151">
            <v>33440</v>
          </cell>
          <cell r="H151">
            <v>30</v>
          </cell>
          <cell r="J151" t="str">
            <v>x</v>
          </cell>
          <cell r="K151">
            <v>173550587</v>
          </cell>
          <cell r="L151">
            <v>40240</v>
          </cell>
          <cell r="M151" t="str">
            <v>Công an Thanh Hoá</v>
          </cell>
          <cell r="N151" t="str">
            <v>Kinh</v>
          </cell>
          <cell r="O151" t="str">
            <v>Không</v>
          </cell>
          <cell r="P151" t="str">
            <v>Việt Nam</v>
          </cell>
          <cell r="Q151" t="str">
            <v>12/12</v>
          </cell>
          <cell r="S151" t="str">
            <v>Xã Minh Sơn, huyện Triệu Sơn, tỉnh Thanh Hoá</v>
          </cell>
          <cell r="T151" t="str">
            <v>Xã Minh Sơn, huyện Triệu Sơn, tỉnh Thanh Hoá</v>
          </cell>
          <cell r="U151" t="str">
            <v>Thôn Ân Mộc, xã Dân Lực, huyện Triệu Sơn, tỉnh Thanh Hoá</v>
          </cell>
          <cell r="V151" t="str">
            <v>0982342290</v>
          </cell>
          <cell r="W151">
            <v>3824280052</v>
          </cell>
          <cell r="AD151">
            <v>100873664597</v>
          </cell>
          <cell r="AE151">
            <v>44387</v>
          </cell>
          <cell r="AF151" t="str">
            <v>0 năm 7 tháng 24 ngày</v>
          </cell>
          <cell r="AH151">
            <v>44470</v>
          </cell>
          <cell r="AK151" t="str">
            <v>Công nhân vận hành máy may công nghiệp</v>
          </cell>
          <cell r="AN151">
            <v>3602000</v>
          </cell>
          <cell r="AO151">
            <v>3470000</v>
          </cell>
        </row>
        <row r="152">
          <cell r="E152">
            <v>50290</v>
          </cell>
          <cell r="F152" t="str">
            <v>Đao Thị Thuận</v>
          </cell>
          <cell r="G152">
            <v>33887</v>
          </cell>
          <cell r="H152">
            <v>29</v>
          </cell>
          <cell r="J152" t="str">
            <v>x</v>
          </cell>
          <cell r="K152">
            <v>175003726</v>
          </cell>
          <cell r="L152">
            <v>40240</v>
          </cell>
          <cell r="M152" t="str">
            <v>Công an Thanh Hoá</v>
          </cell>
          <cell r="N152" t="str">
            <v>Thái</v>
          </cell>
          <cell r="O152" t="str">
            <v>Không</v>
          </cell>
          <cell r="P152" t="str">
            <v>Việt Nam</v>
          </cell>
          <cell r="Q152" t="str">
            <v>9/12</v>
          </cell>
          <cell r="S152" t="str">
            <v>Xã Bum Nưa, huyện Mường Tè, tỉnh Lai Châu</v>
          </cell>
          <cell r="T152" t="str">
            <v>Xã Bum Nưa, huyện Mường Tè, tỉnh Lai Châu</v>
          </cell>
          <cell r="U152" t="str">
            <v>Thôn 4, xã Dân Lý, huyện Triệu Sơn, tỉnh Thanh Hoá</v>
          </cell>
          <cell r="V152" t="str">
            <v>0352225624</v>
          </cell>
          <cell r="W152">
            <v>3816074364</v>
          </cell>
          <cell r="AD152">
            <v>109873664598</v>
          </cell>
          <cell r="AE152">
            <v>44387</v>
          </cell>
          <cell r="AF152" t="str">
            <v>0 năm 7 tháng 24 ngày</v>
          </cell>
          <cell r="AH152">
            <v>44470</v>
          </cell>
          <cell r="AK152" t="str">
            <v>Công nhân vận hành máy may công nghiệp</v>
          </cell>
          <cell r="AN152">
            <v>3602000</v>
          </cell>
          <cell r="AO152">
            <v>3470000</v>
          </cell>
        </row>
        <row r="153">
          <cell r="E153">
            <v>50292</v>
          </cell>
          <cell r="F153" t="str">
            <v>Trịnh Thị Hằng</v>
          </cell>
          <cell r="G153">
            <v>35836</v>
          </cell>
          <cell r="H153">
            <v>24</v>
          </cell>
          <cell r="J153" t="str">
            <v>x</v>
          </cell>
          <cell r="K153" t="str">
            <v>038198001935</v>
          </cell>
          <cell r="L153">
            <v>42612</v>
          </cell>
          <cell r="M153" t="str">
            <v>Công an Thanh Hoá</v>
          </cell>
          <cell r="N153" t="str">
            <v>Kinh</v>
          </cell>
          <cell r="O153" t="str">
            <v>Không</v>
          </cell>
          <cell r="P153" t="str">
            <v>Việt Nam</v>
          </cell>
          <cell r="Q153" t="str">
            <v>9/12</v>
          </cell>
          <cell r="S153" t="str">
            <v>Xã Thiệu Hòa, huyện Thiệu Hóa, tỉnh Thanh Hóa</v>
          </cell>
          <cell r="T153" t="str">
            <v>Xã Thiệu Hòa, huyện Thiệu Hóa, tỉnh Thanh Hóa</v>
          </cell>
          <cell r="U153" t="str">
            <v>Dân Hòa ,Xã Thiệu Hòa, huyện Thiệu Hóa, tỉnh Thanh Hóa</v>
          </cell>
          <cell r="V153" t="str">
            <v>0389087221</v>
          </cell>
          <cell r="W153">
            <v>3816046571</v>
          </cell>
          <cell r="AD153">
            <v>103873664600</v>
          </cell>
          <cell r="AE153">
            <v>44397</v>
          </cell>
          <cell r="AF153" t="str">
            <v>0 năm 7 tháng 14 ngày</v>
          </cell>
          <cell r="AH153">
            <v>44470</v>
          </cell>
          <cell r="AK153" t="str">
            <v>Công nhân vận hành máy may công nghiệp</v>
          </cell>
          <cell r="AN153">
            <v>3602000</v>
          </cell>
          <cell r="AO153">
            <v>3470000</v>
          </cell>
        </row>
        <row r="154">
          <cell r="E154">
            <v>50293</v>
          </cell>
          <cell r="F154" t="str">
            <v>Đỗ Thị Thảo</v>
          </cell>
          <cell r="G154">
            <v>34676</v>
          </cell>
          <cell r="H154">
            <v>27</v>
          </cell>
          <cell r="J154" t="str">
            <v>x</v>
          </cell>
          <cell r="K154">
            <v>174779467</v>
          </cell>
          <cell r="L154">
            <v>40823</v>
          </cell>
          <cell r="M154" t="str">
            <v>Công an Thanh Hoá</v>
          </cell>
          <cell r="N154" t="str">
            <v>Kinh</v>
          </cell>
          <cell r="O154" t="str">
            <v>Không</v>
          </cell>
          <cell r="P154" t="str">
            <v>Việt Nam</v>
          </cell>
          <cell r="Q154" t="str">
            <v>12/12</v>
          </cell>
          <cell r="S154" t="str">
            <v>Xã Đồng Tiến, huyện Thiệu Hóa, tỉnh Thanh Hóa</v>
          </cell>
          <cell r="T154" t="str">
            <v>Xã Đồng Tiến, huyện Thiệu Hóa, tỉnh Thanh Hóa</v>
          </cell>
          <cell r="U154" t="str">
            <v>Tổ dân phố số 7, Thị trấn Nưa, huyện Triệu Sơn, tỉnh thanh hóa</v>
          </cell>
          <cell r="V154" t="str">
            <v>0988068081</v>
          </cell>
          <cell r="W154" t="str">
            <v>0113010166</v>
          </cell>
          <cell r="AD154">
            <v>102873664601</v>
          </cell>
          <cell r="AE154">
            <v>44397</v>
          </cell>
          <cell r="AF154" t="str">
            <v>0 năm 7 tháng 14 ngày</v>
          </cell>
          <cell r="AH154">
            <v>44470</v>
          </cell>
          <cell r="AK154" t="str">
            <v>Công nhân vận hành máy may công nghiệp</v>
          </cell>
          <cell r="AN154">
            <v>3602000</v>
          </cell>
          <cell r="AO154">
            <v>3470000</v>
          </cell>
        </row>
        <row r="155">
          <cell r="E155">
            <v>50294</v>
          </cell>
          <cell r="F155" t="str">
            <v>Lò Thị Bích Thuỷ</v>
          </cell>
          <cell r="G155">
            <v>33961</v>
          </cell>
          <cell r="H155">
            <v>29</v>
          </cell>
          <cell r="J155" t="str">
            <v>x</v>
          </cell>
          <cell r="K155">
            <v>173108163</v>
          </cell>
          <cell r="L155">
            <v>41485</v>
          </cell>
          <cell r="M155" t="str">
            <v>Công an Thanh Hoá</v>
          </cell>
          <cell r="N155" t="str">
            <v>Thái</v>
          </cell>
          <cell r="O155" t="str">
            <v>Không</v>
          </cell>
          <cell r="P155" t="str">
            <v>Việt Nam</v>
          </cell>
          <cell r="Q155" t="str">
            <v>12/12</v>
          </cell>
          <cell r="S155" t="str">
            <v>Xã Yên Thắng, huyện Lang Chánh, tỉnh Thanh hóa</v>
          </cell>
          <cell r="T155" t="str">
            <v>Xã Yên Thắng, huyện Lang Chánh, tỉnh Thanh hóa</v>
          </cell>
          <cell r="U155" t="str">
            <v>Thôn Tiên Mộc, Xã Dân Lực, huyện Triệu Sơn, tỉnh Thanh Hoá</v>
          </cell>
          <cell r="V155" t="str">
            <v>0333560885</v>
          </cell>
          <cell r="W155">
            <v>3821973562</v>
          </cell>
          <cell r="AD155">
            <v>101873664602</v>
          </cell>
          <cell r="AE155">
            <v>44397</v>
          </cell>
          <cell r="AF155" t="str">
            <v>0 năm 7 tháng 14 ngày</v>
          </cell>
          <cell r="AH155">
            <v>44470</v>
          </cell>
          <cell r="AK155" t="str">
            <v>Công nhân vận hành máy may công nghiệp</v>
          </cell>
          <cell r="AN155">
            <v>3602000</v>
          </cell>
          <cell r="AO155">
            <v>3470000</v>
          </cell>
        </row>
        <row r="156">
          <cell r="E156">
            <v>50301</v>
          </cell>
          <cell r="F156" t="str">
            <v>Hoàng Văn Bình</v>
          </cell>
          <cell r="G156">
            <v>33767</v>
          </cell>
          <cell r="H156">
            <v>29</v>
          </cell>
          <cell r="I156" t="str">
            <v>x</v>
          </cell>
          <cell r="K156" t="str">
            <v>038092010162</v>
          </cell>
          <cell r="L156">
            <v>44294</v>
          </cell>
          <cell r="M156" t="str">
            <v>Cục quản lý dân cư</v>
          </cell>
          <cell r="N156" t="str">
            <v>Kinh</v>
          </cell>
          <cell r="O156" t="str">
            <v>Không</v>
          </cell>
          <cell r="P156" t="str">
            <v>Việt Nam</v>
          </cell>
          <cell r="Q156" t="str">
            <v>12/12</v>
          </cell>
          <cell r="S156" t="str">
            <v>Xã An Nông, huện Triệu Sơn, tỉnh Thanh Hóa</v>
          </cell>
          <cell r="T156" t="str">
            <v>Xã An Nông, huện Triệu Sơn, tỉnh Thanh Hóa</v>
          </cell>
          <cell r="U156" t="str">
            <v>thôn Gia Phú, Xã An Nông, huện Triệu Sơn, tỉnh Thanh Hóa</v>
          </cell>
          <cell r="V156" t="str">
            <v>0358192020</v>
          </cell>
          <cell r="W156" t="str">
            <v>3116081090</v>
          </cell>
          <cell r="AD156">
            <v>108873664618</v>
          </cell>
          <cell r="AE156">
            <v>44397</v>
          </cell>
          <cell r="AF156" t="str">
            <v>0 năm 7 tháng 14 ngày</v>
          </cell>
          <cell r="AH156">
            <v>44501</v>
          </cell>
          <cell r="AK156" t="str">
            <v>Công nhân vận hành máy may công nghiệp</v>
          </cell>
          <cell r="AN156">
            <v>3602000</v>
          </cell>
          <cell r="AO156">
            <v>3470000</v>
          </cell>
        </row>
        <row r="157">
          <cell r="E157">
            <v>50302</v>
          </cell>
          <cell r="F157" t="str">
            <v>Lê Hồng Anh</v>
          </cell>
          <cell r="G157">
            <v>37743</v>
          </cell>
          <cell r="H157">
            <v>18</v>
          </cell>
          <cell r="J157" t="str">
            <v>x</v>
          </cell>
          <cell r="K157" t="str">
            <v>038303012756</v>
          </cell>
          <cell r="L157">
            <v>44302</v>
          </cell>
          <cell r="M157" t="str">
            <v>Cục quản lý dân cư</v>
          </cell>
          <cell r="N157" t="str">
            <v>Kinh</v>
          </cell>
          <cell r="O157" t="str">
            <v>Không</v>
          </cell>
          <cell r="P157" t="str">
            <v>Việt Nam</v>
          </cell>
          <cell r="Q157" t="str">
            <v>12/12</v>
          </cell>
          <cell r="S157" t="str">
            <v>Xã Dân Quyền, huyện Triệu Sơn, tỉnh Thanh Hóa</v>
          </cell>
          <cell r="T157" t="str">
            <v>Xã Dân Quyền, huyện Triệu Sơn, tỉnh Thanh Hóa</v>
          </cell>
          <cell r="U157" t="str">
            <v>Xóm 1, Xã Dân Quyền, huyện Triệu Sơn, tỉnh Thanh Hóa</v>
          </cell>
          <cell r="V157" t="str">
            <v>0979256463</v>
          </cell>
          <cell r="W157" t="str">
            <v>7424921704</v>
          </cell>
          <cell r="AD157">
            <v>107873664512</v>
          </cell>
          <cell r="AE157">
            <v>44397</v>
          </cell>
          <cell r="AF157" t="str">
            <v>0 năm 7 tháng 14 ngày</v>
          </cell>
          <cell r="AH157">
            <v>44501</v>
          </cell>
          <cell r="AK157" t="str">
            <v>Công nhân vận hành máy may công nghiệp</v>
          </cell>
          <cell r="AN157">
            <v>3602000</v>
          </cell>
          <cell r="AO157">
            <v>3470000</v>
          </cell>
        </row>
        <row r="158">
          <cell r="E158">
            <v>50309</v>
          </cell>
          <cell r="F158" t="str">
            <v>Bùi Đình Ngọc</v>
          </cell>
          <cell r="G158">
            <v>30507</v>
          </cell>
          <cell r="H158">
            <v>38</v>
          </cell>
          <cell r="I158" t="str">
            <v>x</v>
          </cell>
          <cell r="K158">
            <v>172335749</v>
          </cell>
          <cell r="L158">
            <v>42348</v>
          </cell>
          <cell r="M158" t="str">
            <v>Công an Thanh Hoá</v>
          </cell>
          <cell r="N158" t="str">
            <v>Kinh</v>
          </cell>
          <cell r="O158" t="str">
            <v>Không</v>
          </cell>
          <cell r="P158" t="str">
            <v>Việt Nam</v>
          </cell>
          <cell r="Q158" t="str">
            <v>12/12</v>
          </cell>
          <cell r="S158" t="str">
            <v>Xã Dân Lực,  Huyện Triệu Sơn, tỉnh Thanh Hóa</v>
          </cell>
          <cell r="T158" t="str">
            <v>Xã Dân Lực,  Huyện Triệu Sơn, tỉnh Thanh Hóa</v>
          </cell>
          <cell r="U158" t="str">
            <v>Thôn Xuân Tiên, xã Dân Lực, huyện Triệu Sơn, tỉnh Thanh Hoá</v>
          </cell>
          <cell r="V158" t="str">
            <v>0364486353</v>
          </cell>
          <cell r="W158">
            <v>3821983016</v>
          </cell>
          <cell r="AD158">
            <v>105873664501</v>
          </cell>
          <cell r="AE158">
            <v>44393</v>
          </cell>
          <cell r="AF158" t="str">
            <v>0 năm 7 tháng 18 ngày</v>
          </cell>
          <cell r="AH158">
            <v>44470</v>
          </cell>
          <cell r="AK158" t="str">
            <v>Nhân viên bảo vệ</v>
          </cell>
          <cell r="AN158">
            <v>3602000</v>
          </cell>
          <cell r="AO158">
            <v>3285000</v>
          </cell>
        </row>
        <row r="159">
          <cell r="E159">
            <v>50311</v>
          </cell>
          <cell r="F159" t="str">
            <v>Nguyễn Thị Oanh</v>
          </cell>
          <cell r="G159">
            <v>30803</v>
          </cell>
          <cell r="H159">
            <v>37</v>
          </cell>
          <cell r="J159" t="str">
            <v>x</v>
          </cell>
          <cell r="K159" t="str">
            <v>038184002195</v>
          </cell>
          <cell r="L159">
            <v>44063</v>
          </cell>
          <cell r="M159" t="str">
            <v>Cục quản lý dân cư</v>
          </cell>
          <cell r="N159" t="str">
            <v>Kinh</v>
          </cell>
          <cell r="O159" t="str">
            <v>Không</v>
          </cell>
          <cell r="P159" t="str">
            <v>Việt Nam</v>
          </cell>
          <cell r="Q159" t="str">
            <v>12/12</v>
          </cell>
          <cell r="S159" t="str">
            <v>Xã Dân Lực,  Huyện Triệu Sơn, tỉnh Thanh Hóa</v>
          </cell>
          <cell r="T159" t="str">
            <v>Xã Dân Lực,  Huyện Triệu Sơn, tỉnh Thanh Hóa</v>
          </cell>
          <cell r="U159" t="str">
            <v>Thôn Ân Mộc, xã Dân Lực, huyện Triệu Sơn, tỉnh Thanh Hoá</v>
          </cell>
          <cell r="W159">
            <v>3821885425</v>
          </cell>
          <cell r="AD159">
            <v>102873664504</v>
          </cell>
          <cell r="AE159">
            <v>44410</v>
          </cell>
          <cell r="AF159" t="str">
            <v>0 năm 7 tháng 4 ngày</v>
          </cell>
          <cell r="AH159">
            <v>44470</v>
          </cell>
          <cell r="AK159" t="str">
            <v>Nhân viên nấu ăn</v>
          </cell>
          <cell r="AN159">
            <v>3602000</v>
          </cell>
          <cell r="AO159">
            <v>3285000</v>
          </cell>
        </row>
        <row r="160">
          <cell r="E160">
            <v>50312</v>
          </cell>
          <cell r="F160" t="str">
            <v>Nguyễn Thị Niệm</v>
          </cell>
          <cell r="G160">
            <v>30142</v>
          </cell>
          <cell r="H160">
            <v>39</v>
          </cell>
          <cell r="J160" t="str">
            <v>x</v>
          </cell>
          <cell r="K160" t="str">
            <v>038182007382</v>
          </cell>
          <cell r="L160">
            <v>42912</v>
          </cell>
          <cell r="M160" t="str">
            <v>Cục quản lý dân cư</v>
          </cell>
          <cell r="N160" t="str">
            <v>Kinh</v>
          </cell>
          <cell r="O160" t="str">
            <v>Không</v>
          </cell>
          <cell r="P160" t="str">
            <v>Việt Nam</v>
          </cell>
          <cell r="Q160" t="str">
            <v>12/12</v>
          </cell>
          <cell r="S160" t="str">
            <v>Xã Dân Lực,  Huyện Triệu Sơn, tỉnh Thanh Hóa</v>
          </cell>
          <cell r="T160" t="str">
            <v>Xã Dân Lực,  Huyện Triệu Sơn, tỉnh Thanh Hóa</v>
          </cell>
          <cell r="U160" t="str">
            <v>Thôn Ân Mộc, xã Dân Lực, huyện Triệu Sơn, tỉnh Thanh Hoá</v>
          </cell>
          <cell r="V160" t="str">
            <v>0862557656</v>
          </cell>
          <cell r="W160">
            <v>3821891128</v>
          </cell>
          <cell r="AD160">
            <v>101873664505</v>
          </cell>
          <cell r="AE160">
            <v>44398</v>
          </cell>
          <cell r="AF160" t="str">
            <v>0 năm 7 tháng 13 ngày</v>
          </cell>
          <cell r="AH160">
            <v>44470</v>
          </cell>
          <cell r="AK160" t="str">
            <v>Nhân viên nấu ăn</v>
          </cell>
          <cell r="AN160">
            <v>3602000</v>
          </cell>
          <cell r="AO160">
            <v>3285000</v>
          </cell>
        </row>
        <row r="161">
          <cell r="E161">
            <v>50313</v>
          </cell>
          <cell r="F161" t="str">
            <v>Lê Thu Hảo</v>
          </cell>
          <cell r="G161">
            <v>30742</v>
          </cell>
          <cell r="H161">
            <v>38</v>
          </cell>
          <cell r="J161" t="str">
            <v>x</v>
          </cell>
          <cell r="K161">
            <v>172383841</v>
          </cell>
          <cell r="L161">
            <v>42131</v>
          </cell>
          <cell r="M161" t="str">
            <v>Công an Thanh Hoá</v>
          </cell>
          <cell r="N161" t="str">
            <v>Kinh</v>
          </cell>
          <cell r="O161" t="str">
            <v>Không</v>
          </cell>
          <cell r="P161" t="str">
            <v>Việt Nam</v>
          </cell>
          <cell r="Q161" t="str">
            <v>Trung cấp</v>
          </cell>
          <cell r="R161" t="str">
            <v>Kế toán</v>
          </cell>
          <cell r="S161" t="str">
            <v>Xã Bắc Lương, huyện Thọ Xuân, tỉnh Thanh Hoá</v>
          </cell>
          <cell r="T161" t="str">
            <v>Xã Bắc Lương, huyện Thọ Xuân, tỉnh Thanh Hoá</v>
          </cell>
          <cell r="U161" t="str">
            <v>Số nhà 157, Phố Hải Thượng Lãn Ông, Phường Đông Vệ, TP Thanh Hoá</v>
          </cell>
          <cell r="V161" t="str">
            <v>0949169027</v>
          </cell>
          <cell r="W161">
            <v>3820063854</v>
          </cell>
          <cell r="AD161">
            <v>100873664603</v>
          </cell>
          <cell r="AE161">
            <v>44398</v>
          </cell>
          <cell r="AF161" t="str">
            <v>0 năm 7 tháng 13 ngày</v>
          </cell>
          <cell r="AH161">
            <v>44470</v>
          </cell>
          <cell r="AK161" t="str">
            <v>Công nhân vận hành máy may công nghiệp</v>
          </cell>
          <cell r="AN161">
            <v>3602000</v>
          </cell>
          <cell r="AO161">
            <v>3470000</v>
          </cell>
        </row>
        <row r="162">
          <cell r="E162">
            <v>50317</v>
          </cell>
          <cell r="F162" t="str">
            <v>Nguyễn Văn Bình</v>
          </cell>
          <cell r="G162">
            <v>37745</v>
          </cell>
          <cell r="H162">
            <v>18</v>
          </cell>
          <cell r="I162" t="str">
            <v>x</v>
          </cell>
          <cell r="K162" t="str">
            <v>038203017478</v>
          </cell>
          <cell r="L162">
            <v>44331</v>
          </cell>
          <cell r="M162" t="str">
            <v>Công an Thanh Hoá</v>
          </cell>
          <cell r="N162" t="str">
            <v>Kinh</v>
          </cell>
          <cell r="O162" t="str">
            <v>Không</v>
          </cell>
          <cell r="P162" t="str">
            <v>Việt Nam</v>
          </cell>
          <cell r="Q162" t="str">
            <v>12/12</v>
          </cell>
          <cell r="S162" t="str">
            <v>Xã Dân Lực,  Huyện Triệu Sơn, tỉnh Thanh Hóa</v>
          </cell>
          <cell r="T162" t="str">
            <v>Xã Dân Lực,  Huyện Triệu Sơn, tỉnh Thanh Hóa</v>
          </cell>
          <cell r="U162" t="str">
            <v>Thôn Ân Mộc, Xã Dân Lực,  Huyện Triệu Sơn, tỉnh Thanh Hóa</v>
          </cell>
          <cell r="V162" t="str">
            <v>0349351546</v>
          </cell>
          <cell r="W162">
            <v>3821894944</v>
          </cell>
          <cell r="AD162">
            <v>105873664514</v>
          </cell>
          <cell r="AE162">
            <v>44398</v>
          </cell>
          <cell r="AF162" t="str">
            <v>0 năm 7 tháng 13 ngày</v>
          </cell>
          <cell r="AH162">
            <v>44501</v>
          </cell>
          <cell r="AK162" t="str">
            <v>Công nhân vận hành máy may công nghiệp</v>
          </cell>
          <cell r="AN162">
            <v>3602000</v>
          </cell>
          <cell r="AO162">
            <v>3470000</v>
          </cell>
        </row>
        <row r="163">
          <cell r="E163">
            <v>50319</v>
          </cell>
          <cell r="F163" t="str">
            <v>Nguyễn Thị Hợp</v>
          </cell>
          <cell r="G163">
            <v>29722</v>
          </cell>
          <cell r="H163">
            <v>40</v>
          </cell>
          <cell r="J163" t="str">
            <v>x</v>
          </cell>
          <cell r="K163" t="str">
            <v>038181006775</v>
          </cell>
          <cell r="L163">
            <v>43165</v>
          </cell>
          <cell r="M163" t="str">
            <v>Cục quản lý dân cư</v>
          </cell>
          <cell r="N163" t="str">
            <v>Kinh</v>
          </cell>
          <cell r="O163" t="str">
            <v>Không</v>
          </cell>
          <cell r="P163" t="str">
            <v>Việt Nam</v>
          </cell>
          <cell r="Q163" t="str">
            <v>5/12</v>
          </cell>
          <cell r="S163" t="str">
            <v>Xã Dân Lực,  Huyện Triệu Sơn, tỉnh Thanh Hóa</v>
          </cell>
          <cell r="T163" t="str">
            <v>Xã Dân Lực,  Huyện Triệu Sơn, tỉnh Thanh Hóa</v>
          </cell>
          <cell r="U163" t="str">
            <v>Thôn Ân Mộc, Xã Dân Lực,  Huyện Triệu Sơn, tỉnh Thanh Hóa</v>
          </cell>
          <cell r="V163" t="str">
            <v>0383178409</v>
          </cell>
          <cell r="W163">
            <v>9107045161</v>
          </cell>
          <cell r="AE163">
            <v>44399</v>
          </cell>
          <cell r="AF163" t="str">
            <v>0 năm 7 tháng 12 ngày</v>
          </cell>
          <cell r="AH163">
            <v>44501</v>
          </cell>
          <cell r="AK163" t="str">
            <v>Công nhân ép mex công nghiệp</v>
          </cell>
          <cell r="AN163">
            <v>3602000</v>
          </cell>
          <cell r="AO163">
            <v>3470000</v>
          </cell>
        </row>
        <row r="164">
          <cell r="E164">
            <v>50326</v>
          </cell>
          <cell r="F164" t="str">
            <v>Bùi Anh Quân</v>
          </cell>
          <cell r="G164">
            <v>36812</v>
          </cell>
          <cell r="H164">
            <v>21</v>
          </cell>
          <cell r="I164" t="str">
            <v>x</v>
          </cell>
          <cell r="K164" t="str">
            <v>038200018669</v>
          </cell>
          <cell r="L164">
            <v>43228</v>
          </cell>
          <cell r="M164" t="str">
            <v>Cục quản lý dân cư</v>
          </cell>
          <cell r="N164" t="str">
            <v>Kinh</v>
          </cell>
          <cell r="O164" t="str">
            <v>Không</v>
          </cell>
          <cell r="P164" t="str">
            <v>Việt Nam</v>
          </cell>
          <cell r="Q164" t="str">
            <v>12/12</v>
          </cell>
          <cell r="S164" t="str">
            <v>Xã Dân Lực,  Huyện Triệu Sơn, tỉnh Thanh Hóa</v>
          </cell>
          <cell r="T164" t="str">
            <v>Xã Dân Lực,  Huyện Triệu Sơn, tỉnh Thanh Hóa</v>
          </cell>
          <cell r="U164" t="str">
            <v>Thôn Phúc Hải, Xã Dân Lực,  Huyện Triệu Sơn, tỉnh Thanh Hóa</v>
          </cell>
          <cell r="V164" t="str">
            <v>0366958549</v>
          </cell>
          <cell r="W164">
            <v>3821960754</v>
          </cell>
          <cell r="AD164">
            <v>102873664517</v>
          </cell>
          <cell r="AE164">
            <v>44400</v>
          </cell>
          <cell r="AF164" t="str">
            <v>0 năm 7 tháng 11 ngày</v>
          </cell>
          <cell r="AH164">
            <v>44501</v>
          </cell>
          <cell r="AK164" t="str">
            <v>Công nhân vận hành máy may công nghiệp</v>
          </cell>
          <cell r="AN164">
            <v>3602000</v>
          </cell>
          <cell r="AO164">
            <v>3470000</v>
          </cell>
        </row>
        <row r="165">
          <cell r="E165">
            <v>50329</v>
          </cell>
          <cell r="F165" t="str">
            <v>Đào Thị Mai</v>
          </cell>
          <cell r="G165">
            <v>32314</v>
          </cell>
          <cell r="H165">
            <v>33</v>
          </cell>
          <cell r="J165" t="str">
            <v>x</v>
          </cell>
          <cell r="K165">
            <v>172344320</v>
          </cell>
          <cell r="L165">
            <v>41309</v>
          </cell>
          <cell r="M165" t="str">
            <v>Công an Thanh Hóa</v>
          </cell>
          <cell r="N165" t="str">
            <v>Kinh</v>
          </cell>
          <cell r="O165" t="str">
            <v>Không</v>
          </cell>
          <cell r="P165" t="str">
            <v>Việt Nam</v>
          </cell>
          <cell r="Q165" t="str">
            <v>9/12</v>
          </cell>
          <cell r="S165" t="str">
            <v>Xã Dân Lý, huyện Triệu Sơn, tỉnh Thanh Hóa</v>
          </cell>
          <cell r="T165" t="str">
            <v>Xã Dân Lý, huyện Triệu Sơn, tỉnh Thanh Hóa</v>
          </cell>
          <cell r="U165" t="str">
            <v>Thôn 10, Xã Dân Quyền, huyện Triệu Sơn, tỉnh Thanh Hóa</v>
          </cell>
          <cell r="V165" t="str">
            <v>0982313729</v>
          </cell>
          <cell r="W165">
            <v>9107225002</v>
          </cell>
          <cell r="AD165">
            <v>107873664606</v>
          </cell>
          <cell r="AE165">
            <v>44403</v>
          </cell>
          <cell r="AF165" t="str">
            <v>0 năm 7 tháng 8 ngày</v>
          </cell>
          <cell r="AH165">
            <v>44470</v>
          </cell>
          <cell r="AK165" t="str">
            <v>Công nhân vận hành máy may công nghiệp</v>
          </cell>
          <cell r="AN165">
            <v>3602000</v>
          </cell>
          <cell r="AO165">
            <v>3470000</v>
          </cell>
        </row>
        <row r="166">
          <cell r="E166">
            <v>50336</v>
          </cell>
          <cell r="F166" t="str">
            <v>Đỗ Văn Long</v>
          </cell>
          <cell r="G166">
            <v>37580</v>
          </cell>
          <cell r="H166">
            <v>19</v>
          </cell>
          <cell r="I166" t="str">
            <v>x</v>
          </cell>
          <cell r="K166" t="str">
            <v>038201021691</v>
          </cell>
          <cell r="L166">
            <v>43551</v>
          </cell>
          <cell r="M166" t="str">
            <v>Cục quản lý dân cư</v>
          </cell>
          <cell r="N166" t="str">
            <v>Kinh</v>
          </cell>
          <cell r="O166" t="str">
            <v>Không</v>
          </cell>
          <cell r="P166" t="str">
            <v>Việt Nam</v>
          </cell>
          <cell r="Q166" t="str">
            <v>12/12</v>
          </cell>
          <cell r="S166" t="str">
            <v>Xã Thiệu Chính, huyện Thiệu Hóa, tỉnh Thanh hóa</v>
          </cell>
          <cell r="T166" t="str">
            <v>Xã Thiệu Chính, huyện Thiệu Hóa, tỉnh Thanh hóa</v>
          </cell>
          <cell r="U166" t="str">
            <v>Xã Thiệu Chính, huyện Thiệu Hóa, tỉnh Thanh hóa</v>
          </cell>
          <cell r="V166" t="str">
            <v>0932323057</v>
          </cell>
          <cell r="AD166" t="str">
            <v>108870775658</v>
          </cell>
          <cell r="AE166">
            <v>44403</v>
          </cell>
          <cell r="AF166" t="str">
            <v>0 năm 7 tháng 8 ngày</v>
          </cell>
          <cell r="AN166">
            <v>3602000</v>
          </cell>
          <cell r="AO166">
            <v>3285000</v>
          </cell>
        </row>
        <row r="167">
          <cell r="E167">
            <v>50338</v>
          </cell>
          <cell r="F167" t="str">
            <v>Nguyễn Xuân Khánh</v>
          </cell>
          <cell r="G167">
            <v>35658</v>
          </cell>
          <cell r="H167">
            <v>24</v>
          </cell>
          <cell r="I167" t="str">
            <v>x</v>
          </cell>
          <cell r="K167">
            <v>175001337</v>
          </cell>
          <cell r="L167">
            <v>42073</v>
          </cell>
          <cell r="M167" t="str">
            <v>Công an Thanh Hóa</v>
          </cell>
          <cell r="N167" t="str">
            <v>Kinh</v>
          </cell>
          <cell r="O167" t="str">
            <v>Không</v>
          </cell>
          <cell r="P167" t="str">
            <v>Việt Nam</v>
          </cell>
          <cell r="Q167" t="str">
            <v>12/12</v>
          </cell>
          <cell r="S167" t="str">
            <v>Xã Dân Lực, huyện Triệu Sơn, tỉnh Thanh Hóa</v>
          </cell>
          <cell r="T167" t="str">
            <v>Xã Dân Lực, huyện Triệu Sơn, tỉnh Thanh Hóa</v>
          </cell>
          <cell r="U167" t="str">
            <v>Xã Dân Lực, huyện Triệu Sơn, tỉnh Thanh Hóa</v>
          </cell>
          <cell r="V167" t="str">
            <v>0986895331</v>
          </cell>
          <cell r="W167">
            <v>3821895001</v>
          </cell>
          <cell r="AC167" t="str">
            <v>1020786838</v>
          </cell>
          <cell r="AD167">
            <v>100002762571</v>
          </cell>
          <cell r="AE167">
            <v>44401</v>
          </cell>
          <cell r="AF167" t="str">
            <v>0 năm 7 tháng 10 ngày</v>
          </cell>
          <cell r="AH167">
            <v>44470</v>
          </cell>
          <cell r="AK167" t="str">
            <v>Công nhân cắt công nghiệp</v>
          </cell>
          <cell r="AN167">
            <v>3602000</v>
          </cell>
          <cell r="AO167">
            <v>3470000</v>
          </cell>
        </row>
        <row r="168">
          <cell r="E168">
            <v>50339</v>
          </cell>
          <cell r="F168" t="str">
            <v>Phạm Ngọc Châu</v>
          </cell>
          <cell r="G168">
            <v>32060</v>
          </cell>
          <cell r="H168">
            <v>34</v>
          </cell>
          <cell r="I168" t="str">
            <v>x</v>
          </cell>
          <cell r="K168">
            <v>173718312</v>
          </cell>
          <cell r="L168">
            <v>40374</v>
          </cell>
          <cell r="M168" t="str">
            <v>Công an Thanh Hóa</v>
          </cell>
          <cell r="N168" t="str">
            <v>Kinh</v>
          </cell>
          <cell r="O168" t="str">
            <v>Không</v>
          </cell>
          <cell r="P168" t="str">
            <v>Việt Nam</v>
          </cell>
          <cell r="Q168" t="str">
            <v>6/12</v>
          </cell>
          <cell r="S168" t="str">
            <v>Xã Minh Sơn, Huyện Ngọc Lặc, Tỉnh Thanh Hóa</v>
          </cell>
          <cell r="T168" t="str">
            <v>Xã Minh Sơn, Huyện Ngọc Lặc, Tỉnh Thanh Hóa</v>
          </cell>
          <cell r="U168" t="str">
            <v>Thôn Minh Ngọc, Xã Minh Sơn, Huyện Ngọc Lặc, Tỉnh Thanh Hóa</v>
          </cell>
          <cell r="V168" t="str">
            <v>0969634987</v>
          </cell>
          <cell r="W168">
            <v>7912144485</v>
          </cell>
          <cell r="AD168" t="str">
            <v>106005410558</v>
          </cell>
          <cell r="AE168">
            <v>44404</v>
          </cell>
          <cell r="AF168" t="str">
            <v>0 năm 7 tháng 7 ngày</v>
          </cell>
          <cell r="AH168">
            <v>44501</v>
          </cell>
          <cell r="AK168" t="str">
            <v>Công nhân vận hành máy may công nghiệp</v>
          </cell>
          <cell r="AN168">
            <v>3602000</v>
          </cell>
          <cell r="AO168">
            <v>3470000</v>
          </cell>
        </row>
        <row r="169">
          <cell r="E169">
            <v>50341</v>
          </cell>
          <cell r="F169" t="str">
            <v>Lê Thị Lụa</v>
          </cell>
          <cell r="G169">
            <v>35838</v>
          </cell>
          <cell r="H169">
            <v>24</v>
          </cell>
          <cell r="J169" t="str">
            <v>x</v>
          </cell>
          <cell r="K169">
            <v>175004212</v>
          </cell>
          <cell r="L169">
            <v>42298</v>
          </cell>
          <cell r="M169" t="str">
            <v>Công an Thanh Hóa</v>
          </cell>
          <cell r="N169" t="str">
            <v>Kinh</v>
          </cell>
          <cell r="O169" t="str">
            <v>Không</v>
          </cell>
          <cell r="P169" t="str">
            <v>Việt Nam</v>
          </cell>
          <cell r="Q169" t="str">
            <v>12/12</v>
          </cell>
          <cell r="S169" t="str">
            <v>Xã Dân Lý, huyện Triệu Sơn, tỉnh Thanh Hóa</v>
          </cell>
          <cell r="T169" t="str">
            <v>Xã Dân Lý, huyện Triệu Sơn, tỉnh Thanh Hóa</v>
          </cell>
          <cell r="U169" t="str">
            <v>Thôn 5, Xã Dân Lý, huyện Triệu Sơn, tỉnh Thanh Hóa</v>
          </cell>
          <cell r="V169" t="str">
            <v>0347149213</v>
          </cell>
          <cell r="W169">
            <v>3821875906</v>
          </cell>
          <cell r="AE169">
            <v>44404</v>
          </cell>
          <cell r="AF169" t="str">
            <v>0 năm 7 tháng 7 ngày</v>
          </cell>
          <cell r="AH169">
            <v>44470</v>
          </cell>
          <cell r="AK169" t="str">
            <v>Công nhân vận hành máy may công nghiệp</v>
          </cell>
          <cell r="AN169">
            <v>3602000</v>
          </cell>
          <cell r="AO169">
            <v>3470000</v>
          </cell>
        </row>
        <row r="170">
          <cell r="E170">
            <v>50342</v>
          </cell>
          <cell r="F170" t="str">
            <v>Lê Thị Chinh</v>
          </cell>
          <cell r="G170">
            <v>37696</v>
          </cell>
          <cell r="H170">
            <v>18</v>
          </cell>
          <cell r="J170" t="str">
            <v>x</v>
          </cell>
          <cell r="K170" t="str">
            <v>038303018656</v>
          </cell>
          <cell r="L170">
            <v>44134</v>
          </cell>
          <cell r="M170" t="str">
            <v>Cục quản lý dân cư</v>
          </cell>
          <cell r="N170" t="str">
            <v>Kinh</v>
          </cell>
          <cell r="O170" t="str">
            <v>Không</v>
          </cell>
          <cell r="P170" t="str">
            <v>Việt Nam</v>
          </cell>
          <cell r="Q170" t="str">
            <v>12/12</v>
          </cell>
          <cell r="S170" t="str">
            <v>Xã Thọ Tân, huyện Triệu Sơn, tỉnh Thanh Hóa</v>
          </cell>
          <cell r="T170" t="str">
            <v>Xã Thọ Tân, huyện Triệu Sơn, tỉnh Thanh Hóa</v>
          </cell>
          <cell r="U170" t="str">
            <v>Thôn 2, Xã Thọ Tân, huyện Triệu Sơn, tỉnh Thanh Hóa</v>
          </cell>
          <cell r="V170" t="str">
            <v>0393240730</v>
          </cell>
          <cell r="W170">
            <v>3821956228</v>
          </cell>
          <cell r="AD170">
            <v>100873664521</v>
          </cell>
          <cell r="AE170">
            <v>44404</v>
          </cell>
          <cell r="AF170" t="str">
            <v>0 năm 7 tháng 7 ngày</v>
          </cell>
          <cell r="AH170">
            <v>44470</v>
          </cell>
          <cell r="AK170" t="str">
            <v>Công nhân vận hành máy may công nghiệp</v>
          </cell>
          <cell r="AN170">
            <v>1150000</v>
          </cell>
          <cell r="AO170">
            <v>3470000</v>
          </cell>
        </row>
        <row r="171">
          <cell r="E171">
            <v>50343</v>
          </cell>
          <cell r="F171" t="str">
            <v>Lê Văn Thành</v>
          </cell>
          <cell r="G171">
            <v>33245</v>
          </cell>
          <cell r="H171">
            <v>31</v>
          </cell>
          <cell r="I171" t="str">
            <v>x</v>
          </cell>
          <cell r="K171">
            <v>173555449</v>
          </cell>
          <cell r="L171">
            <v>39996</v>
          </cell>
          <cell r="M171" t="str">
            <v>Công an Thanh Hóa</v>
          </cell>
          <cell r="N171" t="str">
            <v>Kinh</v>
          </cell>
          <cell r="O171" t="str">
            <v>Không</v>
          </cell>
          <cell r="P171" t="str">
            <v>Việt Nam</v>
          </cell>
          <cell r="Q171" t="str">
            <v>12/12</v>
          </cell>
          <cell r="S171" t="str">
            <v>Xã Thọ Phú,  Huyện Triệu Sơn, tỉnh Thanh Hóa</v>
          </cell>
          <cell r="T171" t="str">
            <v>Xã Thọ Phú,  Huyện Triệu Sơn, tỉnh Thanh Hóa</v>
          </cell>
          <cell r="U171" t="str">
            <v>Xóm 4, Xã Thọ Phú,  Huyện Triệu Sơn, tỉnh Thanh Hóa</v>
          </cell>
          <cell r="V171" t="str">
            <v>0393895788</v>
          </cell>
          <cell r="W171">
            <v>3821968195</v>
          </cell>
          <cell r="AD171">
            <v>107873664619</v>
          </cell>
          <cell r="AE171">
            <v>44404</v>
          </cell>
          <cell r="AF171" t="str">
            <v>0 năm 7 tháng 7 ngày</v>
          </cell>
          <cell r="AH171">
            <v>44501</v>
          </cell>
          <cell r="AK171" t="str">
            <v>Công nhân vận hành máy may công nghiệp</v>
          </cell>
          <cell r="AN171">
            <v>1150000</v>
          </cell>
          <cell r="AO171">
            <v>3470000</v>
          </cell>
        </row>
        <row r="172">
          <cell r="E172">
            <v>50346</v>
          </cell>
          <cell r="F172" t="str">
            <v>Hoàng Văn Chính</v>
          </cell>
          <cell r="G172">
            <v>34557</v>
          </cell>
          <cell r="H172">
            <v>27</v>
          </cell>
          <cell r="I172" t="str">
            <v>x</v>
          </cell>
          <cell r="K172" t="str">
            <v>038094013987</v>
          </cell>
          <cell r="L172">
            <v>43745</v>
          </cell>
          <cell r="M172" t="str">
            <v>Cục quản lý dân cư</v>
          </cell>
          <cell r="N172" t="str">
            <v>Kinh</v>
          </cell>
          <cell r="O172" t="str">
            <v>Không</v>
          </cell>
          <cell r="P172" t="str">
            <v>Việt Nam</v>
          </cell>
          <cell r="Q172" t="str">
            <v>9/12</v>
          </cell>
          <cell r="S172" t="str">
            <v>Xã Thọ Phú,  Huyện Triệu Sơn, tỉnh Thanh Hóa</v>
          </cell>
          <cell r="T172" t="str">
            <v>Xã Thọ Phú,  Huyện Triệu Sơn, tỉnh Thanh Hóa</v>
          </cell>
          <cell r="U172" t="str">
            <v>Xã Thọ Phú,  Huyện Triệu Sơn, tỉnh Thanh Hóa</v>
          </cell>
          <cell r="V172" t="str">
            <v>0981231174</v>
          </cell>
          <cell r="AD172" t="str">
            <v>108873754579</v>
          </cell>
          <cell r="AE172">
            <v>44404</v>
          </cell>
          <cell r="AF172" t="str">
            <v>0 năm 7 tháng 7 ngày</v>
          </cell>
          <cell r="AH172">
            <v>44531</v>
          </cell>
          <cell r="AK172" t="str">
            <v>Công nhân đóng gói công nghiệp</v>
          </cell>
          <cell r="AN172">
            <v>1150000</v>
          </cell>
          <cell r="AO172">
            <v>3470000</v>
          </cell>
        </row>
        <row r="173">
          <cell r="E173">
            <v>50350</v>
          </cell>
          <cell r="F173" t="str">
            <v>Nguyễn Hữu Dương</v>
          </cell>
          <cell r="G173">
            <v>36179</v>
          </cell>
          <cell r="H173">
            <v>23</v>
          </cell>
          <cell r="I173" t="str">
            <v>x</v>
          </cell>
          <cell r="K173" t="str">
            <v>038099014130</v>
          </cell>
          <cell r="L173">
            <v>44375</v>
          </cell>
          <cell r="M173" t="str">
            <v>Cục quản lý dân cư</v>
          </cell>
          <cell r="N173" t="str">
            <v>Kinh</v>
          </cell>
          <cell r="O173" t="str">
            <v>Không</v>
          </cell>
          <cell r="P173" t="str">
            <v>Việt Nam</v>
          </cell>
          <cell r="Q173" t="str">
            <v>11/12</v>
          </cell>
          <cell r="S173" t="str">
            <v>Xã Dân Lực, huyện Triệu Sơn, tỉnh Thanh Hoá</v>
          </cell>
          <cell r="T173" t="str">
            <v>Xã Dân Lực, huyện Triệu Sơn, tỉnh Thanh Hoá</v>
          </cell>
          <cell r="U173" t="str">
            <v>Thôn Ân mộc, Xã Dân Lực, huyện Triệu Sơn, tỉnh Thanh Hoá</v>
          </cell>
          <cell r="V173" t="str">
            <v>0914445958</v>
          </cell>
          <cell r="W173">
            <v>3821977482</v>
          </cell>
          <cell r="AE173">
            <v>44401</v>
          </cell>
          <cell r="AF173" t="str">
            <v>0 năm 7 tháng 10 ngày</v>
          </cell>
          <cell r="AG173">
            <v>44401</v>
          </cell>
          <cell r="AH173">
            <v>44470</v>
          </cell>
          <cell r="AK173" t="str">
            <v>Công nhân vận hành máy may công nghiệp</v>
          </cell>
          <cell r="AN173">
            <v>1150000</v>
          </cell>
          <cell r="AO173">
            <v>3470000</v>
          </cell>
        </row>
        <row r="174">
          <cell r="E174">
            <v>50353</v>
          </cell>
          <cell r="F174" t="str">
            <v>Nguyễn Thị Diệu</v>
          </cell>
          <cell r="G174">
            <v>37611</v>
          </cell>
          <cell r="H174">
            <v>19</v>
          </cell>
          <cell r="J174" t="str">
            <v>x</v>
          </cell>
          <cell r="K174" t="str">
            <v>038302022070</v>
          </cell>
          <cell r="L174">
            <v>44308</v>
          </cell>
          <cell r="M174" t="str">
            <v>Cục quản lý dân cư</v>
          </cell>
          <cell r="N174" t="str">
            <v>Kinh</v>
          </cell>
          <cell r="O174" t="str">
            <v>Không</v>
          </cell>
          <cell r="P174" t="str">
            <v>Việt Nam</v>
          </cell>
          <cell r="Q174" t="str">
            <v>12/12</v>
          </cell>
          <cell r="S174" t="str">
            <v>Xã Dân Quyền,  Huyện Triệu Sơn, tỉnh Thanh Hóa</v>
          </cell>
          <cell r="T174" t="str">
            <v>Xã Dân Quyền,  Huyện Triệu Sơn, tỉnh Thanh Hóa</v>
          </cell>
          <cell r="U174" t="str">
            <v>Thôn 3, Xã Dân Quyền,  Huyện Triệu Sơn, tỉnh Thanh Hóa</v>
          </cell>
          <cell r="V174" t="str">
            <v>0394897794</v>
          </cell>
          <cell r="W174">
            <v>3824241257</v>
          </cell>
          <cell r="AD174">
            <v>108873664620</v>
          </cell>
          <cell r="AE174">
            <v>44406</v>
          </cell>
          <cell r="AF174" t="str">
            <v>0 năm 7 tháng 5 ngày</v>
          </cell>
          <cell r="AH174">
            <v>44470</v>
          </cell>
          <cell r="AK174" t="str">
            <v>Công nhân vận hành máy may công nghiệp</v>
          </cell>
          <cell r="AN174">
            <v>1150000</v>
          </cell>
          <cell r="AO174">
            <v>3470000</v>
          </cell>
        </row>
        <row r="175">
          <cell r="E175">
            <v>50358</v>
          </cell>
          <cell r="F175" t="str">
            <v>Lê Tam Hùng</v>
          </cell>
          <cell r="G175">
            <v>36966</v>
          </cell>
          <cell r="H175">
            <v>20</v>
          </cell>
          <cell r="I175" t="str">
            <v>x</v>
          </cell>
          <cell r="K175" t="str">
            <v>038201010024</v>
          </cell>
          <cell r="L175">
            <v>43228</v>
          </cell>
          <cell r="M175" t="str">
            <v>Cục quản lý dân cư</v>
          </cell>
          <cell r="N175" t="str">
            <v>Kinh</v>
          </cell>
          <cell r="O175" t="str">
            <v>Không</v>
          </cell>
          <cell r="P175" t="str">
            <v>Việt Nam</v>
          </cell>
          <cell r="Q175" t="str">
            <v>12/12</v>
          </cell>
          <cell r="S175" t="str">
            <v>Xã Thọ Thế,  Huyện Triệu Sơn, tỉnh Thanh Hóa</v>
          </cell>
          <cell r="T175" t="str">
            <v>Xã Thọ Thế,  Huyện Triệu Sơn, tỉnh Thanh Hóa</v>
          </cell>
          <cell r="U175" t="str">
            <v>Thôn 2, Xã Thọ Thế,  Huyện Triệu Sơn, tỉnh Thanh Hóa</v>
          </cell>
          <cell r="V175" t="str">
            <v>0967720729</v>
          </cell>
          <cell r="W175">
            <v>3821840172</v>
          </cell>
          <cell r="AD175">
            <v>105873664623</v>
          </cell>
          <cell r="AE175">
            <v>44406</v>
          </cell>
          <cell r="AF175" t="str">
            <v>0 năm 7 tháng 5 ngày</v>
          </cell>
          <cell r="AH175">
            <v>44470</v>
          </cell>
          <cell r="AK175" t="str">
            <v>Công nhân vận hành máy may công nghiệp</v>
          </cell>
          <cell r="AN175">
            <v>1150000</v>
          </cell>
          <cell r="AO175">
            <v>3470000</v>
          </cell>
        </row>
        <row r="176">
          <cell r="E176">
            <v>50359</v>
          </cell>
          <cell r="F176" t="str">
            <v>Lê Văn Tâm</v>
          </cell>
          <cell r="G176">
            <v>37347</v>
          </cell>
          <cell r="H176">
            <v>19</v>
          </cell>
          <cell r="I176" t="str">
            <v>x</v>
          </cell>
          <cell r="K176" t="str">
            <v>038202018567</v>
          </cell>
          <cell r="L176">
            <v>43824</v>
          </cell>
          <cell r="M176" t="str">
            <v>Cục quản lý dân cư</v>
          </cell>
          <cell r="N176" t="str">
            <v>Kinh</v>
          </cell>
          <cell r="O176" t="str">
            <v>Không</v>
          </cell>
          <cell r="P176" t="str">
            <v>Việt Nam</v>
          </cell>
          <cell r="Q176" t="str">
            <v>12/12</v>
          </cell>
          <cell r="S176" t="str">
            <v>Xã Thọ Thế,  Huyện Triệu Sơn, tỉnh Thanh Hóa</v>
          </cell>
          <cell r="T176" t="str">
            <v>Xã Thọ Thế,  Huyện Triệu Sơn, tỉnh Thanh Hóa</v>
          </cell>
          <cell r="U176" t="str">
            <v>Thôn 5, Xã Thọ Thế,  Huyện Triệu Sơn, tỉnh Thanh Hóa</v>
          </cell>
          <cell r="V176" t="str">
            <v>0383874142</v>
          </cell>
          <cell r="W176">
            <v>3821884837</v>
          </cell>
          <cell r="AD176">
            <v>107873664524</v>
          </cell>
          <cell r="AE176">
            <v>44406</v>
          </cell>
          <cell r="AF176" t="str">
            <v>0 năm 7 tháng 5 ngày</v>
          </cell>
          <cell r="AH176">
            <v>44470</v>
          </cell>
          <cell r="AK176" t="str">
            <v>Công nhân đóng gói công nghiệp</v>
          </cell>
          <cell r="AN176">
            <v>1150000</v>
          </cell>
          <cell r="AO176">
            <v>3470000</v>
          </cell>
        </row>
        <row r="177">
          <cell r="E177">
            <v>50362</v>
          </cell>
          <cell r="F177" t="str">
            <v>Lê Trọng Dương</v>
          </cell>
          <cell r="G177">
            <v>32787</v>
          </cell>
          <cell r="H177">
            <v>32</v>
          </cell>
          <cell r="I177" t="str">
            <v>x</v>
          </cell>
          <cell r="K177">
            <v>172942004</v>
          </cell>
          <cell r="L177">
            <v>40922</v>
          </cell>
          <cell r="M177" t="str">
            <v>Công an Thanh Hóa</v>
          </cell>
          <cell r="N177" t="str">
            <v>Kinh</v>
          </cell>
          <cell r="O177" t="str">
            <v>Không</v>
          </cell>
          <cell r="P177" t="str">
            <v>Việt Nam</v>
          </cell>
          <cell r="Q177" t="str">
            <v>12/12</v>
          </cell>
          <cell r="S177" t="str">
            <v>Xã Dân Quyền,  Huyện Triệu Sơn, tỉnh Thanh Hóa</v>
          </cell>
          <cell r="T177" t="str">
            <v>Xã Dân Quyền,  Huyện Triệu Sơn, tỉnh Thanh Hóa</v>
          </cell>
          <cell r="U177" t="str">
            <v>Thôn 1, Xã Dân Quyền,  Huyện Triệu Sơn, tỉnh Thanh Hóa</v>
          </cell>
          <cell r="V177" t="str">
            <v>0328623792</v>
          </cell>
          <cell r="W177">
            <v>7411104564</v>
          </cell>
          <cell r="AD177" t="str">
            <v>101873754621</v>
          </cell>
          <cell r="AE177">
            <v>44406</v>
          </cell>
          <cell r="AF177" t="str">
            <v>0 năm 7 tháng 5 ngày</v>
          </cell>
          <cell r="AH177">
            <v>44470</v>
          </cell>
          <cell r="AK177" t="str">
            <v>Công nhân vận hành máy may công nghiệp</v>
          </cell>
          <cell r="AN177">
            <v>1150000</v>
          </cell>
          <cell r="AO177">
            <v>3470000</v>
          </cell>
        </row>
        <row r="178">
          <cell r="E178">
            <v>50364</v>
          </cell>
          <cell r="F178" t="str">
            <v>Lê Đình Tiến</v>
          </cell>
          <cell r="G178">
            <v>35169</v>
          </cell>
          <cell r="H178">
            <v>25</v>
          </cell>
          <cell r="I178" t="str">
            <v>x</v>
          </cell>
          <cell r="K178">
            <v>174737370</v>
          </cell>
          <cell r="L178">
            <v>41098</v>
          </cell>
          <cell r="M178" t="str">
            <v>Công an Thanh Hóa</v>
          </cell>
          <cell r="N178" t="str">
            <v>Kinh</v>
          </cell>
          <cell r="O178" t="str">
            <v>Không</v>
          </cell>
          <cell r="P178" t="str">
            <v>Việt Nam</v>
          </cell>
          <cell r="Q178" t="str">
            <v>9/12</v>
          </cell>
          <cell r="S178" t="str">
            <v>Xã Thiệu Hòa,  Huyện Thiệu Hóa, tỉnh Thanh Hóa</v>
          </cell>
          <cell r="T178" t="str">
            <v>Xã Thiệu Hòa,  Huyện Thiệu Hóa, tỉnh Thanh Hóa</v>
          </cell>
          <cell r="U178" t="str">
            <v>Xã Thiệu Hòa,  Huyện Thiệu Hóa, tỉnh Thanh Hóa</v>
          </cell>
          <cell r="V178" t="str">
            <v>0327808712</v>
          </cell>
          <cell r="W178">
            <v>3822095408</v>
          </cell>
          <cell r="AD178">
            <v>104873664624</v>
          </cell>
          <cell r="AE178">
            <v>44406</v>
          </cell>
          <cell r="AF178" t="str">
            <v>0 năm 7 tháng 5 ngày</v>
          </cell>
          <cell r="AH178">
            <v>44470</v>
          </cell>
          <cell r="AK178" t="str">
            <v>Công nhân vận hành máy may công nghiệp</v>
          </cell>
          <cell r="AN178">
            <v>1150000</v>
          </cell>
          <cell r="AO178">
            <v>3470000</v>
          </cell>
        </row>
        <row r="179">
          <cell r="E179">
            <v>50366</v>
          </cell>
          <cell r="F179" t="str">
            <v>Trương Thị Sen</v>
          </cell>
          <cell r="G179">
            <v>37723</v>
          </cell>
          <cell r="H179">
            <v>18</v>
          </cell>
          <cell r="J179" t="str">
            <v>x</v>
          </cell>
          <cell r="K179" t="str">
            <v>038303002271</v>
          </cell>
          <cell r="L179">
            <v>44311</v>
          </cell>
          <cell r="M179" t="str">
            <v>Cục quản lý dân cư</v>
          </cell>
          <cell r="N179" t="str">
            <v>Kinh</v>
          </cell>
          <cell r="O179" t="str">
            <v>Không</v>
          </cell>
          <cell r="P179" t="str">
            <v>Việt Nam</v>
          </cell>
          <cell r="Q179" t="str">
            <v>12/12</v>
          </cell>
          <cell r="S179" t="str">
            <v>Xã Thọ Thế,  Huyện Triệu Sơn, tỉnh Thanh Hóa</v>
          </cell>
          <cell r="T179" t="str">
            <v>Xã Thọ Thế,  Huyện Triệu Sơn, tỉnh Thanh Hóa</v>
          </cell>
          <cell r="U179" t="str">
            <v>Thôn 6, Xã Thọ Thế,  Huyện Triệu Sơn, tỉnh Thanh Hóa</v>
          </cell>
          <cell r="V179" t="str">
            <v>0857239475</v>
          </cell>
          <cell r="W179">
            <v>3821953263</v>
          </cell>
          <cell r="AD179">
            <v>104873664527</v>
          </cell>
          <cell r="AE179">
            <v>44406</v>
          </cell>
          <cell r="AF179" t="str">
            <v>0 năm 7 tháng 5 ngày</v>
          </cell>
          <cell r="AH179">
            <v>44470</v>
          </cell>
          <cell r="AK179" t="str">
            <v>Công nhân đóng gói công nghiệp</v>
          </cell>
          <cell r="AN179">
            <v>1150000</v>
          </cell>
          <cell r="AO179">
            <v>3470000</v>
          </cell>
        </row>
        <row r="180">
          <cell r="E180">
            <v>50367</v>
          </cell>
          <cell r="F180" t="str">
            <v>Nguyễn Văn Tuấn</v>
          </cell>
          <cell r="G180">
            <v>36883</v>
          </cell>
          <cell r="H180">
            <v>21</v>
          </cell>
          <cell r="I180" t="str">
            <v>x</v>
          </cell>
          <cell r="K180" t="str">
            <v>038200002365</v>
          </cell>
          <cell r="L180">
            <v>42608</v>
          </cell>
          <cell r="M180" t="str">
            <v>Cục quản lý dân cư</v>
          </cell>
          <cell r="N180" t="str">
            <v>Kinh</v>
          </cell>
          <cell r="O180" t="str">
            <v>Không</v>
          </cell>
          <cell r="P180" t="str">
            <v>Việt Nam</v>
          </cell>
          <cell r="Q180" t="str">
            <v>9/12</v>
          </cell>
          <cell r="S180" t="str">
            <v>Xã Dân Lực, huyện Triệu Sơn, tỉnh Thanh Hoá</v>
          </cell>
          <cell r="T180" t="str">
            <v>Xã Dân Lực, huyện Triệu Sơn, tỉnh Thanh Hoá</v>
          </cell>
          <cell r="U180" t="str">
            <v>Thôn Phúc Hải, Xã Dân Lực, huyện Triệu Sơn, tỉnh Thanh Hoá</v>
          </cell>
          <cell r="V180" t="str">
            <v>0961476746</v>
          </cell>
          <cell r="W180" t="str">
            <v>3821830841</v>
          </cell>
          <cell r="AD180">
            <v>103873664528</v>
          </cell>
          <cell r="AE180">
            <v>44406</v>
          </cell>
          <cell r="AF180" t="str">
            <v>0 năm 7 tháng 5 ngày</v>
          </cell>
          <cell r="AH180">
            <v>44470</v>
          </cell>
          <cell r="AK180" t="str">
            <v>Công nhân vận hành máy may công nghiệp</v>
          </cell>
          <cell r="AN180">
            <v>1150000</v>
          </cell>
          <cell r="AO180">
            <v>3470000</v>
          </cell>
        </row>
        <row r="181">
          <cell r="E181">
            <v>50372</v>
          </cell>
          <cell r="F181" t="str">
            <v>Lê Thị Loan</v>
          </cell>
          <cell r="G181">
            <v>34866</v>
          </cell>
          <cell r="H181">
            <v>26</v>
          </cell>
          <cell r="J181" t="str">
            <v>x</v>
          </cell>
          <cell r="K181" t="str">
            <v>174749593</v>
          </cell>
          <cell r="L181">
            <v>42059</v>
          </cell>
          <cell r="M181" t="str">
            <v>Công an Thanh Hóa</v>
          </cell>
          <cell r="N181" t="str">
            <v>Kinh</v>
          </cell>
          <cell r="O181" t="str">
            <v>Không</v>
          </cell>
          <cell r="P181" t="str">
            <v>Việt Nam</v>
          </cell>
          <cell r="Q181" t="str">
            <v>12/12</v>
          </cell>
          <cell r="S181" t="str">
            <v>Xã Thiệu Hòa,  Huyện Thiệu Hóa, tỉnh Thanh Hóa</v>
          </cell>
          <cell r="T181" t="str">
            <v>Xã Thiệu Hòa,  Huyện Thiệu Hóa, tỉnh Thanh Hóa</v>
          </cell>
          <cell r="U181" t="str">
            <v>Thôn Thái khang, Xã Thiệu Hòa,  Huyện Thiệu Hóa, tỉnh Thanh Hóa</v>
          </cell>
          <cell r="V181" t="str">
            <v>0356441316</v>
          </cell>
          <cell r="W181">
            <v>3815007606</v>
          </cell>
          <cell r="AD181" t="str">
            <v>107873754600</v>
          </cell>
          <cell r="AE181">
            <v>44410</v>
          </cell>
          <cell r="AF181" t="str">
            <v>0 năm 7 tháng 4 ngày</v>
          </cell>
          <cell r="AH181">
            <v>44470</v>
          </cell>
          <cell r="AK181" t="str">
            <v>Công nhân kiểm hoá công nghiệp</v>
          </cell>
          <cell r="AO181">
            <v>3470000</v>
          </cell>
        </row>
        <row r="182">
          <cell r="E182">
            <v>50374</v>
          </cell>
          <cell r="F182" t="str">
            <v>Trần Thị Thu</v>
          </cell>
          <cell r="G182">
            <v>33613</v>
          </cell>
          <cell r="H182">
            <v>30</v>
          </cell>
          <cell r="J182" t="str">
            <v>x</v>
          </cell>
          <cell r="K182" t="str">
            <v>036192004760</v>
          </cell>
          <cell r="L182">
            <v>44323</v>
          </cell>
          <cell r="M182" t="str">
            <v>Cục quản lý dân cư</v>
          </cell>
          <cell r="N182" t="str">
            <v>Kinh</v>
          </cell>
          <cell r="O182" t="str">
            <v>Không</v>
          </cell>
          <cell r="P182" t="str">
            <v>Việt Nam</v>
          </cell>
          <cell r="Q182" t="str">
            <v>cao đẳng</v>
          </cell>
          <cell r="S182" t="str">
            <v>Thị Trấn Gôi, huyện Vụ bản, tỉnh Nam Định</v>
          </cell>
          <cell r="T182" t="str">
            <v>Thị Trấn Gôi, huyện Vụ bản, tỉnh Nam Định</v>
          </cell>
          <cell r="U182" t="str">
            <v>Thị Trấn Gôi, huyện Vụ bản, tỉnh Nam Định</v>
          </cell>
          <cell r="V182" t="str">
            <v>0392422999</v>
          </cell>
          <cell r="W182" t="str">
            <v>3615014320</v>
          </cell>
          <cell r="AD182" t="str">
            <v>106873754601</v>
          </cell>
          <cell r="AE182">
            <v>44410</v>
          </cell>
          <cell r="AF182" t="str">
            <v>0 năm 7 tháng 4 ngày</v>
          </cell>
          <cell r="AH182">
            <v>44470</v>
          </cell>
          <cell r="AK182" t="str">
            <v>Công nhân kiểm hoá công nghiệp</v>
          </cell>
          <cell r="AO182">
            <v>3470000</v>
          </cell>
        </row>
        <row r="183">
          <cell r="E183">
            <v>50375</v>
          </cell>
          <cell r="F183" t="str">
            <v>Vũ Trọng Bàng</v>
          </cell>
          <cell r="G183">
            <v>30768</v>
          </cell>
          <cell r="H183">
            <v>37</v>
          </cell>
          <cell r="I183" t="str">
            <v>x</v>
          </cell>
          <cell r="K183" t="str">
            <v>038084021989</v>
          </cell>
          <cell r="L183">
            <v>43955</v>
          </cell>
          <cell r="M183" t="str">
            <v>Cục quản lý dân cư</v>
          </cell>
          <cell r="N183" t="str">
            <v>Kinh</v>
          </cell>
          <cell r="O183" t="str">
            <v>Không</v>
          </cell>
          <cell r="P183" t="str">
            <v>Việt Nam</v>
          </cell>
          <cell r="Q183" t="str">
            <v>12/12</v>
          </cell>
          <cell r="S183" t="str">
            <v>Xã Dân Quyền,  Huyện Triệu Sơn, tỉnh Thanh Hóa</v>
          </cell>
          <cell r="T183" t="str">
            <v>Xã Dân Quyền,  Huyện Triệu Sơn, tỉnh Thanh Hóa</v>
          </cell>
          <cell r="U183" t="str">
            <v>Thôn 5, Xã Dân Quyền,  Huyện Triệu Sơn, tỉnh Thanh Hóa</v>
          </cell>
          <cell r="V183" t="str">
            <v>0938191184</v>
          </cell>
          <cell r="W183">
            <v>3821999534</v>
          </cell>
          <cell r="AD183">
            <v>108873854290</v>
          </cell>
          <cell r="AE183">
            <v>44410</v>
          </cell>
          <cell r="AF183" t="str">
            <v>0 năm 7 tháng 4 ngày</v>
          </cell>
          <cell r="AH183">
            <v>44470</v>
          </cell>
          <cell r="AK183" t="str">
            <v>Nhân viên bảo vệ</v>
          </cell>
          <cell r="AO183">
            <v>3285000</v>
          </cell>
        </row>
        <row r="184">
          <cell r="E184">
            <v>50376</v>
          </cell>
          <cell r="F184" t="str">
            <v>Trịnh Xuân Sinh</v>
          </cell>
          <cell r="G184">
            <v>32786</v>
          </cell>
          <cell r="H184">
            <v>32</v>
          </cell>
          <cell r="I184" t="str">
            <v>x</v>
          </cell>
          <cell r="K184">
            <v>173072820</v>
          </cell>
          <cell r="L184">
            <v>40903</v>
          </cell>
          <cell r="M184" t="str">
            <v>Công an Thanh Hóa</v>
          </cell>
          <cell r="N184" t="str">
            <v>Kinh</v>
          </cell>
          <cell r="O184" t="str">
            <v>Không</v>
          </cell>
          <cell r="P184" t="str">
            <v>Việt Nam</v>
          </cell>
          <cell r="Q184" t="str">
            <v>12/12</v>
          </cell>
          <cell r="S184" t="str">
            <v>Xã Thiệu Lý,  Huyện Thiệu Hóa, tỉnh Thanh Hóa</v>
          </cell>
          <cell r="T184" t="str">
            <v>Xã Thiệu Lý,  Huyện Thiệu Hóa, tỉnh Thanh Hóa</v>
          </cell>
          <cell r="U184" t="str">
            <v>Thôn 3, Xã Thiệu Lý,  Huyện Thiệu Hóa, tỉnh Thanh Hóa</v>
          </cell>
          <cell r="V184" t="str">
            <v>0932896639</v>
          </cell>
          <cell r="W184">
            <v>3816042984</v>
          </cell>
          <cell r="AD184" t="str">
            <v>105873754602</v>
          </cell>
          <cell r="AE184">
            <v>44410</v>
          </cell>
          <cell r="AF184" t="str">
            <v>0 năm 7 tháng 4 ngày</v>
          </cell>
          <cell r="AH184">
            <v>44470</v>
          </cell>
          <cell r="AK184" t="str">
            <v>Công nhân kiểm hoá công nghiệp</v>
          </cell>
          <cell r="AO184">
            <v>3470000</v>
          </cell>
        </row>
        <row r="185">
          <cell r="E185">
            <v>50377</v>
          </cell>
          <cell r="F185" t="str">
            <v>Nguyễn Văn Thành</v>
          </cell>
          <cell r="G185">
            <v>33883</v>
          </cell>
          <cell r="H185">
            <v>29</v>
          </cell>
          <cell r="I185" t="str">
            <v>x</v>
          </cell>
          <cell r="K185">
            <v>174241138</v>
          </cell>
          <cell r="L185">
            <v>40240</v>
          </cell>
          <cell r="M185" t="str">
            <v>Công an Thanh Hóa</v>
          </cell>
          <cell r="N185" t="str">
            <v>Kinh</v>
          </cell>
          <cell r="O185" t="str">
            <v>Không</v>
          </cell>
          <cell r="P185" t="str">
            <v>Việt Nam</v>
          </cell>
          <cell r="Q185" t="str">
            <v>12/12</v>
          </cell>
          <cell r="S185" t="str">
            <v>Xã Thọ Thế, huyện Triệu Sơn, tỉnh Thanh Hoá</v>
          </cell>
          <cell r="T185" t="str">
            <v>Xã Thọ Thế, huyện Triệu Sơn, tỉnh Thanh Hoá</v>
          </cell>
          <cell r="U185" t="str">
            <v>Thôn 4, Xã Thọ Thế, huyện Triệu Sơn, tỉnh Thanh Hoá</v>
          </cell>
          <cell r="V185" t="str">
            <v>0984833310</v>
          </cell>
          <cell r="W185">
            <v>3821943207</v>
          </cell>
          <cell r="AD185" t="str">
            <v>101873754576</v>
          </cell>
          <cell r="AE185">
            <v>44410</v>
          </cell>
          <cell r="AF185" t="str">
            <v>0 năm 7 tháng 4 ngày</v>
          </cell>
          <cell r="AH185">
            <v>44470</v>
          </cell>
          <cell r="AK185" t="str">
            <v>Công nhân đóng gói công nghiệp</v>
          </cell>
          <cell r="AO185">
            <v>3470000</v>
          </cell>
        </row>
        <row r="186">
          <cell r="E186">
            <v>50378</v>
          </cell>
          <cell r="F186" t="str">
            <v>Lê Thị Xuân</v>
          </cell>
          <cell r="G186">
            <v>37332</v>
          </cell>
          <cell r="H186">
            <v>19</v>
          </cell>
          <cell r="J186" t="str">
            <v>x</v>
          </cell>
          <cell r="K186" t="str">
            <v>038302016528</v>
          </cell>
          <cell r="L186">
            <v>43769</v>
          </cell>
          <cell r="M186" t="str">
            <v>Cục quản lý dân cư</v>
          </cell>
          <cell r="N186" t="str">
            <v>Kinh</v>
          </cell>
          <cell r="O186" t="str">
            <v>Không</v>
          </cell>
          <cell r="P186" t="str">
            <v>Việt Nam</v>
          </cell>
          <cell r="Q186" t="str">
            <v>12/12</v>
          </cell>
          <cell r="S186" t="str">
            <v>Xã Thọ Tân, huyện Triệu Sơn, tỉnh Thanh Hoá</v>
          </cell>
          <cell r="T186" t="str">
            <v>Xã Thọ Tân, huyện Triệu Sơn, tỉnh Thanh Hoá</v>
          </cell>
          <cell r="U186" t="str">
            <v>Thôn 2, Xã Thọ Tân, huyện Triệu Sơn, tỉnh Thanh Hoá</v>
          </cell>
          <cell r="V186" t="str">
            <v>0342643387</v>
          </cell>
          <cell r="W186">
            <v>3822023414</v>
          </cell>
          <cell r="AD186" t="str">
            <v>103873754656</v>
          </cell>
          <cell r="AE186">
            <v>44410</v>
          </cell>
          <cell r="AF186" t="str">
            <v>0 năm 7 tháng 4 ngày</v>
          </cell>
          <cell r="AH186">
            <v>44501</v>
          </cell>
          <cell r="AO186">
            <v>3470000</v>
          </cell>
        </row>
        <row r="187">
          <cell r="E187">
            <v>50380</v>
          </cell>
          <cell r="F187" t="str">
            <v>Nguyễn Tăng Tiến</v>
          </cell>
          <cell r="G187">
            <v>34262</v>
          </cell>
          <cell r="H187">
            <v>28</v>
          </cell>
          <cell r="I187" t="str">
            <v>x</v>
          </cell>
          <cell r="K187" t="str">
            <v>038093014474</v>
          </cell>
          <cell r="L187">
            <v>44324</v>
          </cell>
          <cell r="M187" t="str">
            <v>Cục quản lý dân cư</v>
          </cell>
          <cell r="N187" t="str">
            <v>Kinh</v>
          </cell>
          <cell r="O187" t="str">
            <v>Không</v>
          </cell>
          <cell r="P187" t="str">
            <v>Việt Nam</v>
          </cell>
          <cell r="Q187" t="str">
            <v>12/12</v>
          </cell>
          <cell r="S187" t="str">
            <v>Xã Dân Lực, huyện Triệu Sơn, tỉnh Thanh Hoá</v>
          </cell>
          <cell r="T187" t="str">
            <v>Xã Dân Lực, huyện Triệu Sơn, tỉnh Thanh Hoá</v>
          </cell>
          <cell r="U187" t="str">
            <v>Ân mộc, Xã Dân Lực, huyện Triệu Sơn, tỉnh Thanh Hoá</v>
          </cell>
          <cell r="V187" t="str">
            <v>0369497969</v>
          </cell>
          <cell r="W187" t="str">
            <v>3821847011</v>
          </cell>
          <cell r="AD187" t="str">
            <v>104873754655</v>
          </cell>
          <cell r="AE187">
            <v>44410</v>
          </cell>
          <cell r="AF187" t="str">
            <v>0 năm 7 tháng 4 ngày</v>
          </cell>
          <cell r="AH187">
            <v>44470</v>
          </cell>
          <cell r="AK187" t="str">
            <v>Công nhân đóng gói công nghiệp</v>
          </cell>
          <cell r="AO187">
            <v>3470000</v>
          </cell>
        </row>
        <row r="188">
          <cell r="E188">
            <v>50381</v>
          </cell>
          <cell r="F188" t="str">
            <v>Trịnh Thị Thương</v>
          </cell>
          <cell r="G188">
            <v>37762</v>
          </cell>
          <cell r="H188">
            <v>18</v>
          </cell>
          <cell r="J188" t="str">
            <v>x</v>
          </cell>
          <cell r="K188" t="str">
            <v>038303019787</v>
          </cell>
          <cell r="L188">
            <v>44303</v>
          </cell>
          <cell r="M188" t="str">
            <v>Cục quản lý dân cư</v>
          </cell>
          <cell r="N188" t="str">
            <v>Kinh</v>
          </cell>
          <cell r="O188" t="str">
            <v>Không</v>
          </cell>
          <cell r="P188" t="str">
            <v>Việt Nam</v>
          </cell>
          <cell r="Q188" t="str">
            <v>12/12</v>
          </cell>
          <cell r="S188" t="str">
            <v>Xã bắc Lương, huyện Thọ Xuân, tỉnh Thanh Hóa</v>
          </cell>
          <cell r="T188" t="str">
            <v>Xã bắc Lương, huyện Thọ Xuân, tỉnh Thanh Hóa</v>
          </cell>
          <cell r="U188" t="str">
            <v>Xã bắc Lương, huyện Thọ Xuân, tỉnh Thanh Hóa</v>
          </cell>
          <cell r="V188" t="str">
            <v>0334454932</v>
          </cell>
          <cell r="W188">
            <v>3821657640</v>
          </cell>
          <cell r="AD188" t="str">
            <v>100874050451</v>
          </cell>
          <cell r="AE188">
            <v>44410</v>
          </cell>
          <cell r="AF188" t="str">
            <v>0 năm 7 tháng 4 ngày</v>
          </cell>
          <cell r="AH188">
            <v>44470</v>
          </cell>
          <cell r="AK188" t="str">
            <v>Công nhân đóng gói công nghiệp</v>
          </cell>
          <cell r="AO188">
            <v>3470000</v>
          </cell>
        </row>
        <row r="189">
          <cell r="E189">
            <v>50382</v>
          </cell>
          <cell r="F189" t="str">
            <v>Lê Thị Mến</v>
          </cell>
          <cell r="G189">
            <v>30742</v>
          </cell>
          <cell r="H189">
            <v>38</v>
          </cell>
          <cell r="J189" t="str">
            <v>x</v>
          </cell>
          <cell r="K189" t="str">
            <v>038184050262</v>
          </cell>
          <cell r="L189">
            <v>44375</v>
          </cell>
          <cell r="M189" t="str">
            <v>Cục quản lý dân cư</v>
          </cell>
          <cell r="N189" t="str">
            <v>Kinh</v>
          </cell>
          <cell r="O189" t="str">
            <v>Không</v>
          </cell>
          <cell r="P189" t="str">
            <v>Việt Nam</v>
          </cell>
          <cell r="Q189" t="str">
            <v>8/12</v>
          </cell>
          <cell r="S189" t="str">
            <v>Xã Thọ Tân, huyện Triệu Sơn, tỉnh Thanh Hoá</v>
          </cell>
          <cell r="T189" t="str">
            <v>Xã Thọ Tân, huyện Triệu Sơn, tỉnh Thanh Hoá</v>
          </cell>
          <cell r="U189" t="str">
            <v>thôn 2, Xã Thọ Thế, huyện Triệu Sơn, tỉnh Thanh Hoá</v>
          </cell>
          <cell r="V189" t="str">
            <v>0325812257</v>
          </cell>
          <cell r="W189">
            <v>3815031461</v>
          </cell>
          <cell r="AE189">
            <v>44411</v>
          </cell>
          <cell r="AF189" t="str">
            <v>0 năm 7 tháng 3 ngày</v>
          </cell>
          <cell r="AH189">
            <v>44470</v>
          </cell>
          <cell r="AK189" t="str">
            <v>Công nhân vận hành máy may công nghiệp</v>
          </cell>
          <cell r="AO189">
            <v>3470000</v>
          </cell>
        </row>
        <row r="190">
          <cell r="E190">
            <v>50383</v>
          </cell>
          <cell r="F190" t="str">
            <v>Lường Thị Hoài Thương</v>
          </cell>
          <cell r="G190">
            <v>37622</v>
          </cell>
          <cell r="H190">
            <v>19</v>
          </cell>
          <cell r="J190" t="str">
            <v>x</v>
          </cell>
          <cell r="K190" t="str">
            <v>038303013595</v>
          </cell>
          <cell r="L190">
            <v>43927</v>
          </cell>
          <cell r="M190" t="str">
            <v>Cục quản lý dân cư</v>
          </cell>
          <cell r="N190" t="str">
            <v>Kinh</v>
          </cell>
          <cell r="O190" t="str">
            <v>Không</v>
          </cell>
          <cell r="P190" t="str">
            <v>Việt Nam</v>
          </cell>
          <cell r="Q190" t="str">
            <v>12/12</v>
          </cell>
          <cell r="S190" t="str">
            <v>Xã Thọ Tân, huyện Triệu Sơn, tỉnh Thanh Hoá</v>
          </cell>
          <cell r="T190" t="str">
            <v>Xã Thọ Tân, huyện Triệu Sơn, tỉnh Thanh Hoá</v>
          </cell>
          <cell r="U190" t="str">
            <v>Thôn 3, Xã Thọ Tân, huyện Triệu Sơn, tỉnh Thanh Hoá</v>
          </cell>
          <cell r="V190" t="str">
            <v>0343830836</v>
          </cell>
          <cell r="W190">
            <v>3821984081</v>
          </cell>
          <cell r="AD190">
            <v>106872305190</v>
          </cell>
          <cell r="AE190">
            <v>44411</v>
          </cell>
          <cell r="AF190" t="str">
            <v>0 năm 7 tháng 3 ngày</v>
          </cell>
          <cell r="AH190">
            <v>44470</v>
          </cell>
          <cell r="AK190" t="str">
            <v>Công nhân đóng gói công nghiệp</v>
          </cell>
          <cell r="AO190">
            <v>3470000</v>
          </cell>
        </row>
        <row r="191">
          <cell r="E191">
            <v>50385</v>
          </cell>
          <cell r="F191" t="str">
            <v>Bùi Đình Sơn</v>
          </cell>
          <cell r="G191">
            <v>36197</v>
          </cell>
          <cell r="H191">
            <v>23</v>
          </cell>
          <cell r="I191" t="str">
            <v>x</v>
          </cell>
          <cell r="K191" t="str">
            <v>038099015218</v>
          </cell>
          <cell r="L191">
            <v>43419</v>
          </cell>
          <cell r="M191" t="str">
            <v>Cục quản lý dân cư</v>
          </cell>
          <cell r="N191" t="str">
            <v>Kinh</v>
          </cell>
          <cell r="O191" t="str">
            <v>Không</v>
          </cell>
          <cell r="P191" t="str">
            <v>Việt Nam</v>
          </cell>
          <cell r="Q191" t="str">
            <v>12/12</v>
          </cell>
          <cell r="S191" t="str">
            <v>Xã Dân Lực, huyện Triệu Sơn, tỉnh Thanh Hoá</v>
          </cell>
          <cell r="T191" t="str">
            <v>Xã Dân Lực, huyện Triệu Sơn, tỉnh Thanh Hoá</v>
          </cell>
          <cell r="U191" t="str">
            <v>Xã Dân Lực, huyện Triệu Sơn, tỉnh Thanh Hoá</v>
          </cell>
          <cell r="V191" t="str">
            <v>0363511365</v>
          </cell>
          <cell r="W191">
            <v>3821960652</v>
          </cell>
          <cell r="AD191" t="str">
            <v>103869601228</v>
          </cell>
          <cell r="AE191">
            <v>44412</v>
          </cell>
          <cell r="AF191" t="str">
            <v>0 năm 7 tháng 2 ngày</v>
          </cell>
          <cell r="AH191">
            <v>44501</v>
          </cell>
          <cell r="AK191" t="str">
            <v>Công nhân vận hành máy may công nghiệp</v>
          </cell>
          <cell r="AO191">
            <v>3470000</v>
          </cell>
        </row>
        <row r="192">
          <cell r="E192">
            <v>50386</v>
          </cell>
          <cell r="F192" t="str">
            <v>Thiều Tăng Hùng</v>
          </cell>
          <cell r="G192">
            <v>33526</v>
          </cell>
          <cell r="H192">
            <v>30</v>
          </cell>
          <cell r="I192" t="str">
            <v>x</v>
          </cell>
          <cell r="K192" t="str">
            <v>038091000323</v>
          </cell>
          <cell r="L192">
            <v>44302</v>
          </cell>
          <cell r="M192" t="str">
            <v>Cục quản lý dân cư</v>
          </cell>
          <cell r="N192" t="str">
            <v>Kinh</v>
          </cell>
          <cell r="O192" t="str">
            <v>Không</v>
          </cell>
          <cell r="P192" t="str">
            <v>Việt Nam</v>
          </cell>
          <cell r="Q192" t="str">
            <v>12/12</v>
          </cell>
          <cell r="S192" t="str">
            <v>Xã Thọ phú, huyện Triệu Sơn, tỉnh Thanh Hoá</v>
          </cell>
          <cell r="T192" t="str">
            <v>Xã Thọ phú, huyện Triệu Sơn, tỉnh Thanh Hoá</v>
          </cell>
          <cell r="U192" t="str">
            <v>Xã Thọ phú, huyện Triệu Sơn, tỉnh Thanh Hoá</v>
          </cell>
          <cell r="V192" t="str">
            <v>0918062029</v>
          </cell>
          <cell r="W192" t="str">
            <v>3821990098</v>
          </cell>
          <cell r="AD192" t="str">
            <v>107873754625</v>
          </cell>
          <cell r="AE192">
            <v>44412</v>
          </cell>
          <cell r="AF192" t="str">
            <v>0 năm 7 tháng 2 ngày</v>
          </cell>
          <cell r="AH192">
            <v>44470</v>
          </cell>
          <cell r="AK192" t="str">
            <v>Công nhân vận hành máy may công nghiệp</v>
          </cell>
          <cell r="AO192">
            <v>3470000</v>
          </cell>
        </row>
        <row r="193">
          <cell r="E193">
            <v>50389</v>
          </cell>
          <cell r="F193" t="str">
            <v>Nguyễn Thị Hương</v>
          </cell>
          <cell r="G193">
            <v>33751</v>
          </cell>
          <cell r="H193">
            <v>29</v>
          </cell>
          <cell r="J193" t="str">
            <v>x</v>
          </cell>
          <cell r="K193">
            <v>173557234</v>
          </cell>
          <cell r="L193">
            <v>40063</v>
          </cell>
          <cell r="M193" t="str">
            <v>Công an Thanh Hóa</v>
          </cell>
          <cell r="N193" t="str">
            <v>Kinh</v>
          </cell>
          <cell r="O193" t="str">
            <v>Không</v>
          </cell>
          <cell r="P193" t="str">
            <v>Việt Nam</v>
          </cell>
          <cell r="Q193" t="str">
            <v>11/12</v>
          </cell>
          <cell r="S193" t="str">
            <v>Xã Minh Sơn, huyện Triệu Sơn, tỉnh Thanh Hoá</v>
          </cell>
          <cell r="T193" t="str">
            <v>Xã Minh Sơn, huyện Triệu Sơn, tỉnh Thanh Hoá</v>
          </cell>
          <cell r="U193" t="str">
            <v>Thôn 2, Xã Minh Sơn, huyện Triệu Sơn, tỉnh Thanh Hoá</v>
          </cell>
          <cell r="V193" t="str">
            <v>0378439115</v>
          </cell>
          <cell r="W193">
            <v>7411204859</v>
          </cell>
          <cell r="AD193" t="str">
            <v>109873754648</v>
          </cell>
          <cell r="AE193">
            <v>44413</v>
          </cell>
          <cell r="AF193" t="str">
            <v>0 năm 7 tháng 1 ngày</v>
          </cell>
          <cell r="AH193">
            <v>44470</v>
          </cell>
          <cell r="AK193" t="str">
            <v>Công nhân ép mex công nghiệp</v>
          </cell>
          <cell r="AO193">
            <v>3470000</v>
          </cell>
        </row>
        <row r="194">
          <cell r="E194">
            <v>50390</v>
          </cell>
          <cell r="F194" t="str">
            <v>Đinh Văn Hưng</v>
          </cell>
          <cell r="G194">
            <v>37299</v>
          </cell>
          <cell r="H194">
            <v>20</v>
          </cell>
          <cell r="I194" t="str">
            <v>x</v>
          </cell>
          <cell r="K194" t="str">
            <v>038202022110</v>
          </cell>
          <cell r="L194">
            <v>43976</v>
          </cell>
          <cell r="M194" t="str">
            <v>Cục quản lý dân cư</v>
          </cell>
          <cell r="N194" t="str">
            <v>Kinh</v>
          </cell>
          <cell r="O194" t="str">
            <v>Không</v>
          </cell>
          <cell r="P194" t="str">
            <v>Việt Nam</v>
          </cell>
          <cell r="Q194" t="str">
            <v>12/12</v>
          </cell>
          <cell r="S194" t="str">
            <v>Xã An nông, huyện Triệu Sơn, tỉnh Thanh Hoá</v>
          </cell>
          <cell r="T194" t="str">
            <v>Xã An nông, huyện Triệu Sơn, tỉnh Thanh Hoá</v>
          </cell>
          <cell r="U194" t="str">
            <v>Thôn Gia Phú, Xã An nông, huyện Triệu Sơn, tỉnh Thanh Hoá</v>
          </cell>
          <cell r="V194" t="str">
            <v>0379208374</v>
          </cell>
          <cell r="W194">
            <v>3821872839</v>
          </cell>
          <cell r="AD194" t="str">
            <v>105873754642</v>
          </cell>
          <cell r="AE194">
            <v>44413</v>
          </cell>
          <cell r="AF194" t="str">
            <v>0 năm 7 tháng 1 ngày</v>
          </cell>
          <cell r="AH194">
            <v>44501</v>
          </cell>
          <cell r="AK194" t="str">
            <v>Công nhân vận hành máy may công nghiệp</v>
          </cell>
          <cell r="AO194">
            <v>3470000</v>
          </cell>
        </row>
        <row r="195">
          <cell r="E195">
            <v>50392</v>
          </cell>
          <cell r="F195" t="str">
            <v>Phạm Văn An</v>
          </cell>
          <cell r="G195">
            <v>37821</v>
          </cell>
          <cell r="H195">
            <v>18</v>
          </cell>
          <cell r="I195" t="str">
            <v>x</v>
          </cell>
          <cell r="K195" t="str">
            <v>038203009496</v>
          </cell>
          <cell r="L195">
            <v>43718</v>
          </cell>
          <cell r="M195" t="str">
            <v>Cục quản lý dân cư</v>
          </cell>
          <cell r="N195" t="str">
            <v>Kinh</v>
          </cell>
          <cell r="O195" t="str">
            <v>Không</v>
          </cell>
          <cell r="P195" t="str">
            <v>Việt Nam</v>
          </cell>
          <cell r="Q195" t="str">
            <v>12/12</v>
          </cell>
          <cell r="S195" t="str">
            <v>Xã Thọ Thế, huyện Triệu Sơn, tỉnh Thanh Hoá</v>
          </cell>
          <cell r="T195" t="str">
            <v>Xã Thọ Thế, huyện Triệu Sơn, tỉnh Thanh Hoá</v>
          </cell>
          <cell r="U195" t="str">
            <v>Thôn 5, Xã Thọ Thế, huyện Triệu Sơn, tỉnh Thanh Hoá</v>
          </cell>
          <cell r="V195" t="str">
            <v>0384902503</v>
          </cell>
          <cell r="W195">
            <v>3821972773</v>
          </cell>
          <cell r="AD195" t="str">
            <v>100873754577</v>
          </cell>
          <cell r="AE195">
            <v>44413</v>
          </cell>
          <cell r="AF195" t="str">
            <v>0 năm 7 tháng 1 ngày</v>
          </cell>
          <cell r="AH195">
            <v>44470</v>
          </cell>
          <cell r="AK195" t="str">
            <v>Công nhân đóng gói công nghiệp</v>
          </cell>
          <cell r="AO195">
            <v>3470000</v>
          </cell>
        </row>
        <row r="196">
          <cell r="E196">
            <v>50393</v>
          </cell>
          <cell r="F196" t="str">
            <v>Nguyễn Thị Hoa</v>
          </cell>
          <cell r="G196">
            <v>31791</v>
          </cell>
          <cell r="H196">
            <v>35</v>
          </cell>
          <cell r="J196" t="str">
            <v>x</v>
          </cell>
          <cell r="K196">
            <v>174791184</v>
          </cell>
          <cell r="L196">
            <v>41327</v>
          </cell>
          <cell r="M196" t="str">
            <v>Công an Thanh Hóa</v>
          </cell>
          <cell r="N196" t="str">
            <v>Kinh</v>
          </cell>
          <cell r="O196" t="str">
            <v>Không</v>
          </cell>
          <cell r="P196" t="str">
            <v>Việt Nam</v>
          </cell>
          <cell r="Q196" t="str">
            <v>cao đẳng</v>
          </cell>
          <cell r="S196" t="str">
            <v>Xã Việt Cường, huyện Trấn yên, tỉnh Yên Bái</v>
          </cell>
          <cell r="T196" t="str">
            <v>Xã Việt Cường, huyện Trấn yên, tỉnh Yên Bái</v>
          </cell>
          <cell r="U196" t="str">
            <v>Thôn 6, Xã Dân Quyền,  Huyện Triệu Sơn, tỉnh Thanh Hóa</v>
          </cell>
          <cell r="V196" t="str">
            <v>0976196489</v>
          </cell>
          <cell r="AD196">
            <v>106874470827</v>
          </cell>
          <cell r="AE196">
            <v>44413</v>
          </cell>
          <cell r="AF196" t="str">
            <v>0 năm 7 tháng 1 ngày</v>
          </cell>
          <cell r="AH196">
            <v>44531</v>
          </cell>
          <cell r="AK196" t="str">
            <v>Nhân viên kế hoạch</v>
          </cell>
          <cell r="AO196">
            <v>3470000</v>
          </cell>
        </row>
        <row r="197">
          <cell r="E197">
            <v>50394</v>
          </cell>
          <cell r="F197" t="str">
            <v>Trịnh Thị Lê</v>
          </cell>
          <cell r="G197">
            <v>31664</v>
          </cell>
          <cell r="H197">
            <v>35</v>
          </cell>
          <cell r="J197" t="str">
            <v>x</v>
          </cell>
          <cell r="K197" t="str">
            <v>038186003720</v>
          </cell>
          <cell r="L197">
            <v>42740</v>
          </cell>
          <cell r="M197" t="str">
            <v>Cục quản lý dân cư</v>
          </cell>
          <cell r="N197" t="str">
            <v>Kinh</v>
          </cell>
          <cell r="O197" t="str">
            <v>Không</v>
          </cell>
          <cell r="P197" t="str">
            <v>Việt Nam</v>
          </cell>
          <cell r="Q197" t="str">
            <v>12/12</v>
          </cell>
          <cell r="S197" t="str">
            <v>Xã Dân Lực, huyện Triệu Sơn, tỉnh Thanh Hoá</v>
          </cell>
          <cell r="T197" t="str">
            <v>Xã Dân Lực, huyện Triệu Sơn, tỉnh Thanh Hoá</v>
          </cell>
          <cell r="U197" t="str">
            <v>Thôn Thiệu Chính, Xã Dân Lực, huyện Triệu Sơn, tỉnh Thanh Hoá</v>
          </cell>
          <cell r="V197" t="str">
            <v>0366219175</v>
          </cell>
          <cell r="W197">
            <v>3821994856</v>
          </cell>
          <cell r="AD197" t="str">
            <v>106873754626</v>
          </cell>
          <cell r="AE197">
            <v>44414</v>
          </cell>
          <cell r="AF197" t="str">
            <v>0 năm 7 tháng 0 ngày</v>
          </cell>
          <cell r="AH197">
            <v>44470</v>
          </cell>
          <cell r="AK197" t="str">
            <v>Công nhân vận hành máy may công nghiệp</v>
          </cell>
          <cell r="AO197">
            <v>3470000</v>
          </cell>
        </row>
        <row r="198">
          <cell r="E198">
            <v>50396</v>
          </cell>
          <cell r="F198" t="str">
            <v>Nguyễn Văn Nam</v>
          </cell>
          <cell r="G198">
            <v>37302</v>
          </cell>
          <cell r="H198">
            <v>20</v>
          </cell>
          <cell r="I198" t="str">
            <v>x</v>
          </cell>
          <cell r="K198" t="str">
            <v>038202008319</v>
          </cell>
          <cell r="L198">
            <v>44333</v>
          </cell>
          <cell r="M198" t="str">
            <v>Cục quản lý dân cư</v>
          </cell>
          <cell r="N198" t="str">
            <v>Kinh</v>
          </cell>
          <cell r="O198" t="str">
            <v>Không</v>
          </cell>
          <cell r="P198" t="str">
            <v>Việt Nam</v>
          </cell>
          <cell r="Q198" t="str">
            <v>12/12</v>
          </cell>
          <cell r="S198" t="str">
            <v>Xã hợp Thành,  Huyện Triệu Sơn, tỉnh Thanh Hóa</v>
          </cell>
          <cell r="T198" t="str">
            <v>Xã hợp Thành,  Huyện Triệu Sơn, tỉnh Thanh Hóa</v>
          </cell>
          <cell r="U198" t="str">
            <v>Xã hợp Thành,  Huyện Triệu Sơn, tỉnh Thanh Hóa</v>
          </cell>
          <cell r="V198" t="str">
            <v>0379933458</v>
          </cell>
          <cell r="W198">
            <v>3821980424</v>
          </cell>
          <cell r="AD198" t="str">
            <v>104873754603</v>
          </cell>
          <cell r="AE198">
            <v>44415</v>
          </cell>
          <cell r="AF198" t="str">
            <v>0 năm 6 tháng 27 ngày</v>
          </cell>
          <cell r="AH198">
            <v>44470</v>
          </cell>
          <cell r="AK198" t="str">
            <v>Công nhân vận hành máy may công nghiệp</v>
          </cell>
          <cell r="AO198">
            <v>3470000</v>
          </cell>
        </row>
        <row r="199">
          <cell r="E199">
            <v>50401</v>
          </cell>
          <cell r="F199" t="str">
            <v>Nguyễn Viết Nam</v>
          </cell>
          <cell r="G199">
            <v>36544</v>
          </cell>
          <cell r="H199">
            <v>22</v>
          </cell>
          <cell r="I199" t="str">
            <v>x</v>
          </cell>
          <cell r="K199" t="str">
            <v>038200009525</v>
          </cell>
          <cell r="L199">
            <v>42978</v>
          </cell>
          <cell r="M199" t="str">
            <v>Cục quản lý dân cư</v>
          </cell>
          <cell r="N199" t="str">
            <v>Kinh</v>
          </cell>
          <cell r="O199" t="str">
            <v>Không</v>
          </cell>
          <cell r="P199" t="str">
            <v>Việt Nam</v>
          </cell>
          <cell r="Q199" t="str">
            <v>12/12</v>
          </cell>
          <cell r="S199" t="str">
            <v>Xã Thọ Phú,  Huyện Triệu Sơn, tỉnh Thanh Hóa</v>
          </cell>
          <cell r="T199" t="str">
            <v>Xã Thọ Phú,  Huyện Triệu Sơn, tỉnh Thanh Hóa</v>
          </cell>
          <cell r="U199" t="str">
            <v>Thôn 5, Xã Thọ Phú,  Huyện Triệu Sơn, tỉnh Thanh Hóa</v>
          </cell>
          <cell r="V199" t="str">
            <v>0981116895</v>
          </cell>
          <cell r="W199">
            <v>3821899011</v>
          </cell>
          <cell r="AD199" t="str">
            <v>102873754605</v>
          </cell>
          <cell r="AE199">
            <v>44417</v>
          </cell>
          <cell r="AF199" t="str">
            <v>0 năm 6 tháng 25 ngày</v>
          </cell>
          <cell r="AH199">
            <v>44501</v>
          </cell>
          <cell r="AK199" t="str">
            <v>Công nhân vận hành máy may công nghiệp</v>
          </cell>
          <cell r="AO199">
            <v>3470000</v>
          </cell>
        </row>
        <row r="200">
          <cell r="E200">
            <v>50404</v>
          </cell>
          <cell r="F200" t="str">
            <v>Tiêu Thị Mỹ Thanh</v>
          </cell>
          <cell r="G200">
            <v>34951</v>
          </cell>
          <cell r="H200">
            <v>26</v>
          </cell>
          <cell r="J200" t="str">
            <v>x</v>
          </cell>
          <cell r="K200">
            <v>142797456</v>
          </cell>
          <cell r="L200">
            <v>41835</v>
          </cell>
          <cell r="M200" t="str">
            <v>Công an hải dương</v>
          </cell>
          <cell r="N200" t="str">
            <v>Kinh</v>
          </cell>
          <cell r="O200" t="str">
            <v>Không</v>
          </cell>
          <cell r="P200" t="str">
            <v>Việt Nam</v>
          </cell>
          <cell r="Q200" t="str">
            <v>12/12</v>
          </cell>
          <cell r="S200" t="str">
            <v>Cẩm chế, huyện Thanh Hóa, Tỉnh Hải Dương</v>
          </cell>
          <cell r="T200" t="str">
            <v>Cẩm chế, huyện Thanh Hóa, Tỉnh Hải Dương</v>
          </cell>
          <cell r="U200" t="str">
            <v>thôn 6, Xã Dân Quyền,  Huyện Triệu Sơn, tỉnh Thanh Hóa</v>
          </cell>
          <cell r="V200" t="str">
            <v>0974392298</v>
          </cell>
          <cell r="AE200">
            <v>44417</v>
          </cell>
          <cell r="AF200" t="str">
            <v>0 năm 6 tháng 25 ngày</v>
          </cell>
          <cell r="AH200">
            <v>44562</v>
          </cell>
          <cell r="AO200">
            <v>3470000</v>
          </cell>
        </row>
        <row r="201">
          <cell r="E201">
            <v>50407</v>
          </cell>
          <cell r="F201" t="str">
            <v>Lê Thị Dung</v>
          </cell>
          <cell r="G201">
            <v>34682</v>
          </cell>
          <cell r="H201">
            <v>27</v>
          </cell>
          <cell r="J201" t="str">
            <v>x</v>
          </cell>
          <cell r="K201">
            <v>174249231</v>
          </cell>
          <cell r="L201">
            <v>41866</v>
          </cell>
          <cell r="M201" t="str">
            <v>Công an Thanh Hóa</v>
          </cell>
          <cell r="N201" t="str">
            <v>Kinh</v>
          </cell>
          <cell r="O201" t="str">
            <v>Không</v>
          </cell>
          <cell r="P201" t="str">
            <v>Việt Nam</v>
          </cell>
          <cell r="Q201" t="str">
            <v>9/12</v>
          </cell>
          <cell r="S201" t="str">
            <v>Xã Dân Quyền,  Huyện Triệu Sơn, tỉnh Thanh Hóa</v>
          </cell>
          <cell r="T201" t="str">
            <v>Xã Dân Quyền,  Huyện Triệu Sơn, tỉnh Thanh Hóa</v>
          </cell>
          <cell r="U201" t="str">
            <v>Thôn 5,  Xã Dân Quyền,  Huyện Triệu Sơn, tỉnh Thanh Hóa</v>
          </cell>
          <cell r="V201" t="str">
            <v>0963139627</v>
          </cell>
          <cell r="W201">
            <v>3313021619</v>
          </cell>
          <cell r="AD201" t="str">
            <v>105873754627</v>
          </cell>
          <cell r="AE201">
            <v>44418</v>
          </cell>
          <cell r="AF201" t="str">
            <v>0 năm 6 tháng 24 ngày</v>
          </cell>
          <cell r="AH201">
            <v>44501</v>
          </cell>
          <cell r="AK201" t="str">
            <v>Công nhân vận hành máy may công nghiệp</v>
          </cell>
          <cell r="AO201">
            <v>3470000</v>
          </cell>
        </row>
        <row r="202">
          <cell r="E202">
            <v>50409</v>
          </cell>
          <cell r="F202" t="str">
            <v>Hà Thị Hồng</v>
          </cell>
          <cell r="G202">
            <v>37036</v>
          </cell>
          <cell r="H202">
            <v>20</v>
          </cell>
          <cell r="J202" t="str">
            <v>x</v>
          </cell>
          <cell r="K202" t="str">
            <v>038301022845</v>
          </cell>
          <cell r="L202">
            <v>43845</v>
          </cell>
          <cell r="M202" t="str">
            <v>Cục quản lý dân cư</v>
          </cell>
          <cell r="N202" t="str">
            <v>Kinh</v>
          </cell>
          <cell r="O202" t="str">
            <v>Không</v>
          </cell>
          <cell r="P202" t="str">
            <v>Việt Nam</v>
          </cell>
          <cell r="Q202" t="str">
            <v>12/12</v>
          </cell>
          <cell r="S202" t="str">
            <v>Thị Trấn Triệu Sơn, huyện Triệu Sơn, tỉnh Thanh Hoá</v>
          </cell>
          <cell r="T202" t="str">
            <v>Thị Trấn Triệu Sơn, huyện Triệu Sơn, tỉnh Thanh Hoá</v>
          </cell>
          <cell r="U202" t="str">
            <v>Thị Trấn Triệu Sơn, huyện Triệu Sơn, tỉnh Thanh Hoá</v>
          </cell>
          <cell r="V202" t="str">
            <v>0397762618</v>
          </cell>
          <cell r="W202">
            <v>3821989373</v>
          </cell>
          <cell r="AD202" t="str">
            <v>107873754640</v>
          </cell>
          <cell r="AE202">
            <v>44418</v>
          </cell>
          <cell r="AF202" t="str">
            <v>0 năm 6 tháng 24 ngày</v>
          </cell>
          <cell r="AH202">
            <v>44501</v>
          </cell>
          <cell r="AK202" t="str">
            <v>Công nhân vận hành máy may công nghiệp</v>
          </cell>
          <cell r="AO202">
            <v>3470000</v>
          </cell>
        </row>
        <row r="203">
          <cell r="E203">
            <v>50417</v>
          </cell>
          <cell r="F203" t="str">
            <v>Trần Thị Yến</v>
          </cell>
          <cell r="G203">
            <v>32380</v>
          </cell>
          <cell r="H203">
            <v>33</v>
          </cell>
          <cell r="J203" t="str">
            <v>x</v>
          </cell>
          <cell r="K203">
            <v>174799929</v>
          </cell>
          <cell r="L203">
            <v>41697</v>
          </cell>
          <cell r="M203" t="str">
            <v>Công an Thanh Hóa</v>
          </cell>
          <cell r="N203" t="str">
            <v>Kinh</v>
          </cell>
          <cell r="O203" t="str">
            <v>Không</v>
          </cell>
          <cell r="P203" t="str">
            <v>Việt Nam</v>
          </cell>
          <cell r="Q203" t="str">
            <v>Cao đẳng</v>
          </cell>
          <cell r="S203" t="str">
            <v>Xã Minh Thuận, huyện Vu bản, tỉnh Nam Định</v>
          </cell>
          <cell r="T203" t="str">
            <v>Xã Minh Thuận, huyện Vu bản, tỉnh Nam Định</v>
          </cell>
          <cell r="U203" t="str">
            <v>Đô Xá, Xã Dân Lực, huyện Triệu Sơn, tỉnh Thanh Hoá</v>
          </cell>
          <cell r="V203" t="str">
            <v>0972102292</v>
          </cell>
          <cell r="W203">
            <v>3822022411</v>
          </cell>
          <cell r="AD203" t="str">
            <v>100873754659</v>
          </cell>
          <cell r="AE203">
            <v>44419</v>
          </cell>
          <cell r="AF203" t="str">
            <v>0 năm 6 tháng 23 ngày</v>
          </cell>
          <cell r="AH203">
            <v>44470</v>
          </cell>
          <cell r="AK203" t="str">
            <v>Nhân viên nấu ăn</v>
          </cell>
          <cell r="AO203">
            <v>3285000</v>
          </cell>
        </row>
        <row r="204">
          <cell r="E204">
            <v>50422</v>
          </cell>
          <cell r="F204" t="str">
            <v>Nguyễn Đăng Thanh</v>
          </cell>
          <cell r="G204">
            <v>34382</v>
          </cell>
          <cell r="H204">
            <v>28</v>
          </cell>
          <cell r="I204" t="str">
            <v>x</v>
          </cell>
          <cell r="K204" t="str">
            <v>038094015978</v>
          </cell>
          <cell r="L204">
            <v>44389</v>
          </cell>
          <cell r="M204" t="str">
            <v>Cục quản lý dân cư</v>
          </cell>
          <cell r="N204" t="str">
            <v>Kinh</v>
          </cell>
          <cell r="O204" t="str">
            <v>Không</v>
          </cell>
          <cell r="P204" t="str">
            <v>Việt Nam</v>
          </cell>
          <cell r="S204" t="str">
            <v>Xã Thọ Tân, huyện Triệu Sơn, tỉnh Thanh Hoá</v>
          </cell>
          <cell r="T204" t="str">
            <v>Xã Thọ Tân, huyện Triệu Sơn, tỉnh Thanh Hoá</v>
          </cell>
          <cell r="U204" t="str">
            <v>Thôn 2,  Xã Thọ Tân, huyện Triệu Sơn, tỉnh Thanh Hoá</v>
          </cell>
          <cell r="V204" t="str">
            <v>0979553763</v>
          </cell>
          <cell r="W204">
            <v>4812026153</v>
          </cell>
          <cell r="AD204" t="str">
            <v>109873754608</v>
          </cell>
          <cell r="AE204">
            <v>44420</v>
          </cell>
          <cell r="AF204" t="str">
            <v>0 năm 6 tháng 22 ngày</v>
          </cell>
          <cell r="AH204">
            <v>44470</v>
          </cell>
          <cell r="AK204" t="str">
            <v>Công nhân vận hành máy may công nghiệp</v>
          </cell>
          <cell r="AO204">
            <v>3470000</v>
          </cell>
        </row>
        <row r="205">
          <cell r="E205">
            <v>50423</v>
          </cell>
          <cell r="F205" t="str">
            <v>Lê Thọ Thắng</v>
          </cell>
          <cell r="G205">
            <v>33700</v>
          </cell>
          <cell r="H205">
            <v>29</v>
          </cell>
          <cell r="I205" t="str">
            <v>x</v>
          </cell>
          <cell r="K205" t="str">
            <v>038092002552</v>
          </cell>
          <cell r="L205">
            <v>42648</v>
          </cell>
          <cell r="M205" t="str">
            <v>Cục quản lý dân cư</v>
          </cell>
          <cell r="N205" t="str">
            <v>Kinh</v>
          </cell>
          <cell r="O205" t="str">
            <v>Không</v>
          </cell>
          <cell r="P205" t="str">
            <v>Việt Nam</v>
          </cell>
          <cell r="S205" t="str">
            <v>Xã Thọ Tân, huyện Triệu Sơn, tỉnh Thanh Hoá</v>
          </cell>
          <cell r="T205" t="str">
            <v>Xã Thọ Tân, huyện Triệu Sơn, tỉnh Thanh Hoá</v>
          </cell>
          <cell r="U205" t="str">
            <v>Thôn 2,  Xã Thọ Tân, huyện Triệu Sơn, tỉnh Thanh Hoá</v>
          </cell>
          <cell r="V205" t="str">
            <v>0984814988</v>
          </cell>
          <cell r="W205">
            <v>3821931377</v>
          </cell>
          <cell r="AD205" t="str">
            <v>102873754657</v>
          </cell>
          <cell r="AE205">
            <v>44420</v>
          </cell>
          <cell r="AF205" t="str">
            <v>0 năm 6 tháng 22 ngày</v>
          </cell>
          <cell r="AH205">
            <v>44470</v>
          </cell>
          <cell r="AK205" t="str">
            <v>Công nhân vận hành máy may công nghiệp</v>
          </cell>
          <cell r="AO205">
            <v>3470000</v>
          </cell>
        </row>
        <row r="206">
          <cell r="E206">
            <v>50425</v>
          </cell>
          <cell r="F206" t="str">
            <v>Tống Thị Hồng Nhung</v>
          </cell>
          <cell r="G206">
            <v>33507</v>
          </cell>
          <cell r="H206">
            <v>30</v>
          </cell>
          <cell r="J206" t="str">
            <v>x</v>
          </cell>
          <cell r="K206" t="str">
            <v>038191013829</v>
          </cell>
          <cell r="L206">
            <v>44333</v>
          </cell>
          <cell r="M206" t="str">
            <v>Cục quản lý dân cư</v>
          </cell>
          <cell r="N206" t="str">
            <v>Kinh</v>
          </cell>
          <cell r="O206" t="str">
            <v>Không</v>
          </cell>
          <cell r="P206" t="str">
            <v>Việt Nam</v>
          </cell>
          <cell r="Q206" t="str">
            <v>12/12</v>
          </cell>
          <cell r="S206" t="str">
            <v>Xã Dân Lực, huyện Triệu Sơn, tỉnh Thanh Hoá</v>
          </cell>
          <cell r="T206" t="str">
            <v>Xã Dân Lực, huyện Triệu Sơn, tỉnh Thanh Hoá</v>
          </cell>
          <cell r="U206" t="str">
            <v>Thôn Phúc Hải- Xã Dân Lực-huyện Triệu Sơn- tỉnh Thanh Hoá</v>
          </cell>
          <cell r="V206" t="str">
            <v>0372978797</v>
          </cell>
          <cell r="W206">
            <v>3812003786</v>
          </cell>
          <cell r="AD206" t="str">
            <v>102873754645</v>
          </cell>
          <cell r="AE206">
            <v>44420</v>
          </cell>
          <cell r="AF206" t="str">
            <v>0 năm 6 tháng 22 ngày</v>
          </cell>
          <cell r="AH206">
            <v>44501</v>
          </cell>
          <cell r="AK206" t="str">
            <v>Công nhân vận hành máy may công nghiệp</v>
          </cell>
          <cell r="AO206">
            <v>3470000</v>
          </cell>
        </row>
        <row r="207">
          <cell r="E207">
            <v>50427</v>
          </cell>
          <cell r="F207" t="str">
            <v>Đặng Thị Ngân</v>
          </cell>
          <cell r="G207">
            <v>29046</v>
          </cell>
          <cell r="H207">
            <v>42</v>
          </cell>
          <cell r="J207" t="str">
            <v>x</v>
          </cell>
          <cell r="K207">
            <v>174788231</v>
          </cell>
          <cell r="L207">
            <v>41214</v>
          </cell>
          <cell r="M207" t="str">
            <v>Công an Thanh Hóa</v>
          </cell>
          <cell r="N207" t="str">
            <v>Mường</v>
          </cell>
          <cell r="O207" t="str">
            <v>Không</v>
          </cell>
          <cell r="P207" t="str">
            <v>Việt Nam</v>
          </cell>
          <cell r="Q207" t="str">
            <v>9/12</v>
          </cell>
          <cell r="S207" t="str">
            <v>Thị trấn Hưng Khê, tỉnh Thái Bình</v>
          </cell>
          <cell r="T207" t="str">
            <v>Thị trấn Hưng Khê, tỉnh Thái Bình</v>
          </cell>
          <cell r="U207" t="str">
            <v>Xã Dân Lực- huyện Triệu Sơn- tỉnh Thanh Hoá</v>
          </cell>
          <cell r="V207" t="str">
            <v>0383715534</v>
          </cell>
          <cell r="W207">
            <v>9106226777</v>
          </cell>
          <cell r="AE207">
            <v>44420</v>
          </cell>
          <cell r="AF207" t="str">
            <v>0 năm 6 tháng 22 ngày</v>
          </cell>
          <cell r="AH207">
            <v>44501</v>
          </cell>
          <cell r="AK207" t="str">
            <v>Công nhân vận hành máy may công nghiệp</v>
          </cell>
          <cell r="AO207">
            <v>3470000</v>
          </cell>
        </row>
        <row r="208">
          <cell r="E208">
            <v>50431</v>
          </cell>
          <cell r="F208" t="str">
            <v>Hoàng Thị Thu Trang</v>
          </cell>
          <cell r="G208">
            <v>37317</v>
          </cell>
          <cell r="H208">
            <v>20</v>
          </cell>
          <cell r="J208" t="str">
            <v>x</v>
          </cell>
          <cell r="K208" t="str">
            <v>038302010429</v>
          </cell>
          <cell r="L208">
            <v>43587</v>
          </cell>
          <cell r="M208" t="str">
            <v>Cục quản lý dân cư</v>
          </cell>
          <cell r="N208" t="str">
            <v>Kinh</v>
          </cell>
          <cell r="O208" t="str">
            <v>Không</v>
          </cell>
          <cell r="P208" t="str">
            <v>Việt Nam</v>
          </cell>
          <cell r="Q208" t="str">
            <v>12/12</v>
          </cell>
          <cell r="S208" t="str">
            <v>Xã Thọ Tân,  Huyện Triệu Sơn, tỉnh Thanh Hóa</v>
          </cell>
          <cell r="T208" t="str">
            <v>Xã Thọ Tân,  Huyện Triệu Sơn, tỉnh Thanh Hóa</v>
          </cell>
          <cell r="U208" t="str">
            <v>Thôn 3- Xã Thọ Tân-  Huyện Triệu Sơn- tỉnh Thanh Hóa</v>
          </cell>
          <cell r="V208" t="str">
            <v>0352284806</v>
          </cell>
          <cell r="W208">
            <v>3821985831</v>
          </cell>
          <cell r="AD208" t="str">
            <v>100873754610</v>
          </cell>
          <cell r="AE208">
            <v>44421</v>
          </cell>
          <cell r="AF208" t="str">
            <v>0 năm 6 tháng 21 ngày</v>
          </cell>
          <cell r="AH208">
            <v>44501</v>
          </cell>
          <cell r="AK208" t="str">
            <v>Công nhân vận hành máy may công nghiệp</v>
          </cell>
          <cell r="AO208">
            <v>3470000</v>
          </cell>
        </row>
        <row r="209">
          <cell r="E209">
            <v>50432</v>
          </cell>
          <cell r="F209" t="str">
            <v>Hồ Thị Thanh</v>
          </cell>
          <cell r="G209">
            <v>37725</v>
          </cell>
          <cell r="H209">
            <v>18</v>
          </cell>
          <cell r="J209" t="str">
            <v>x</v>
          </cell>
          <cell r="K209" t="str">
            <v>038303010998</v>
          </cell>
          <cell r="L209">
            <v>44323</v>
          </cell>
          <cell r="M209" t="str">
            <v>Cục quản lý dân cư</v>
          </cell>
          <cell r="N209" t="str">
            <v>Kinh</v>
          </cell>
          <cell r="O209" t="str">
            <v>Không</v>
          </cell>
          <cell r="P209" t="str">
            <v>Việt Nam</v>
          </cell>
          <cell r="Q209" t="str">
            <v>12/12</v>
          </cell>
          <cell r="S209" t="str">
            <v>Xã Đông Xuân, huyện Đông Sơn, Tỉnh Thanh Hóa</v>
          </cell>
          <cell r="T209" t="str">
            <v>Xã Đông Xuân, huyện Đông Sơn, Tỉnh Thanh Hóa</v>
          </cell>
          <cell r="U209" t="str">
            <v>Tổ dân phố 4 -Thị TRấn Triệu Sơn- tỉnh Thanh Hóa</v>
          </cell>
          <cell r="V209" t="str">
            <v>0362439482</v>
          </cell>
          <cell r="W209">
            <v>3823930677</v>
          </cell>
          <cell r="AD209">
            <v>101872805844</v>
          </cell>
          <cell r="AE209">
            <v>44421</v>
          </cell>
          <cell r="AF209" t="str">
            <v>0 năm 6 tháng 21 ngày</v>
          </cell>
          <cell r="AH209">
            <v>44501</v>
          </cell>
          <cell r="AK209" t="str">
            <v>Công nhân vận hành máy may công nghiệp</v>
          </cell>
          <cell r="AO209">
            <v>3470000</v>
          </cell>
        </row>
        <row r="210">
          <cell r="E210">
            <v>50441</v>
          </cell>
          <cell r="F210" t="str">
            <v>Nguyễn Thị Lan</v>
          </cell>
          <cell r="G210">
            <v>30126</v>
          </cell>
          <cell r="H210">
            <v>39</v>
          </cell>
          <cell r="J210" t="str">
            <v>x</v>
          </cell>
          <cell r="K210">
            <v>173530858</v>
          </cell>
          <cell r="L210">
            <v>39114</v>
          </cell>
          <cell r="M210" t="str">
            <v>Công an Thanh Hóa</v>
          </cell>
          <cell r="N210" t="str">
            <v>Mường</v>
          </cell>
          <cell r="O210" t="str">
            <v>Kinh</v>
          </cell>
          <cell r="P210" t="str">
            <v>Việt Nam</v>
          </cell>
          <cell r="S210" t="str">
            <v>Xã Dân Lực, huyện Triệu Sơn, tỉnh Thanh Hoá</v>
          </cell>
          <cell r="T210" t="str">
            <v>Xã Dân Lực, huyện Triệu Sơn, tỉnh Thanh Hoá</v>
          </cell>
          <cell r="U210" t="str">
            <v>Xã Triệu thành, huyện Triệu Sơn, tỉnh Thanh Hoá</v>
          </cell>
          <cell r="V210" t="str">
            <v>0337442116</v>
          </cell>
          <cell r="W210">
            <v>3809022741</v>
          </cell>
          <cell r="AE210">
            <v>44422</v>
          </cell>
          <cell r="AF210" t="str">
            <v>0 năm 6 tháng 20 ngày</v>
          </cell>
          <cell r="AH210">
            <v>44470</v>
          </cell>
          <cell r="AK210" t="str">
            <v>Công nhân vận hành máy may công nghiệp</v>
          </cell>
          <cell r="AO210">
            <v>3470000</v>
          </cell>
        </row>
        <row r="211">
          <cell r="E211">
            <v>50446</v>
          </cell>
          <cell r="F211" t="str">
            <v>Nguyễn Thị Hòa</v>
          </cell>
          <cell r="G211">
            <v>33613</v>
          </cell>
          <cell r="H211">
            <v>30</v>
          </cell>
          <cell r="J211" t="str">
            <v>x</v>
          </cell>
          <cell r="K211" t="str">
            <v>038192004711</v>
          </cell>
          <cell r="L211">
            <v>43108</v>
          </cell>
          <cell r="M211" t="str">
            <v>Cục quản lý dân cư</v>
          </cell>
          <cell r="N211" t="str">
            <v>Kinh</v>
          </cell>
          <cell r="O211" t="str">
            <v>Không</v>
          </cell>
          <cell r="P211" t="str">
            <v>Việt Nam</v>
          </cell>
          <cell r="Q211" t="str">
            <v>9/12</v>
          </cell>
          <cell r="S211" t="str">
            <v>Đông Hương, Thành phố Thanh Hóa</v>
          </cell>
          <cell r="T211" t="str">
            <v>Đông Hương, Thành phố Thanh Hóa</v>
          </cell>
          <cell r="U211" t="str">
            <v>Thôn Ân Mộc- Xã Dân Lực- huyện Triệu Sơn- tỉnh Thanh Hoá</v>
          </cell>
          <cell r="V211" t="str">
            <v>0398714123</v>
          </cell>
          <cell r="W211">
            <v>3812004715</v>
          </cell>
          <cell r="AD211" t="str">
            <v>100873754661</v>
          </cell>
          <cell r="AE211">
            <v>44424</v>
          </cell>
          <cell r="AF211" t="str">
            <v>0 năm 6 tháng 18 ngày</v>
          </cell>
          <cell r="AH211">
            <v>44501</v>
          </cell>
          <cell r="AO211">
            <v>3470000</v>
          </cell>
        </row>
        <row r="212">
          <cell r="E212">
            <v>50454</v>
          </cell>
          <cell r="F212" t="str">
            <v>Nguyễn Thị Chuyên</v>
          </cell>
          <cell r="G212">
            <v>31330</v>
          </cell>
          <cell r="H212">
            <v>36</v>
          </cell>
          <cell r="J212" t="str">
            <v>x</v>
          </cell>
          <cell r="K212" t="str">
            <v>038185016329</v>
          </cell>
          <cell r="L212" t="str">
            <v>24/1/2019</v>
          </cell>
          <cell r="M212" t="str">
            <v>Cục quản lý dân cư</v>
          </cell>
          <cell r="N212" t="str">
            <v>Kinh</v>
          </cell>
          <cell r="O212" t="str">
            <v>Không</v>
          </cell>
          <cell r="P212" t="str">
            <v>Việt Nam</v>
          </cell>
          <cell r="S212" t="str">
            <v>Minh Sơn, Triệu Sơn, Thanh Hóa</v>
          </cell>
          <cell r="T212" t="str">
            <v>Minh Sơn, Triệu Sơn, Thanh Hóa</v>
          </cell>
          <cell r="U212" t="str">
            <v>Xã Minh Sơn- Huyên  Triệu Sơn- Tỉnh Thanh Hóa</v>
          </cell>
          <cell r="V212" t="str">
            <v>0943281057</v>
          </cell>
          <cell r="W212">
            <v>3821874474</v>
          </cell>
          <cell r="AE212">
            <v>44426</v>
          </cell>
          <cell r="AF212" t="str">
            <v>0 năm 6 tháng 16 ngày</v>
          </cell>
          <cell r="AH212">
            <v>44470</v>
          </cell>
          <cell r="AK212" t="str">
            <v>Công nhân vận hành máy may công nghiệp</v>
          </cell>
          <cell r="AO212">
            <v>3470000</v>
          </cell>
        </row>
        <row r="213">
          <cell r="E213">
            <v>50455</v>
          </cell>
          <cell r="F213" t="str">
            <v>Nguyễn Thị Sâm</v>
          </cell>
          <cell r="G213">
            <v>35759</v>
          </cell>
          <cell r="H213">
            <v>24</v>
          </cell>
          <cell r="J213" t="str">
            <v>x</v>
          </cell>
          <cell r="K213">
            <v>184213437</v>
          </cell>
          <cell r="L213" t="str">
            <v>21/8/2012</v>
          </cell>
          <cell r="M213" t="str">
            <v>Cục quản lý dân cư</v>
          </cell>
          <cell r="N213" t="str">
            <v>Kinh</v>
          </cell>
          <cell r="O213" t="str">
            <v>Không</v>
          </cell>
          <cell r="P213" t="str">
            <v>Việt Nam</v>
          </cell>
          <cell r="Q213" t="str">
            <v>12/12</v>
          </cell>
          <cell r="S213" t="str">
            <v>Hương Bình, Hương Khê, Hà Tĩnh</v>
          </cell>
          <cell r="T213" t="str">
            <v>Hương Bình, Hương Khê, Hà Tĩnh</v>
          </cell>
          <cell r="U213" t="str">
            <v>Thôn 6- Thọ Phú- Triệu Sơn,-Thanh Hóa</v>
          </cell>
          <cell r="V213" t="str">
            <v>0359900157</v>
          </cell>
          <cell r="W213">
            <v>7416103252</v>
          </cell>
          <cell r="AD213" t="str">
            <v>105873754584</v>
          </cell>
          <cell r="AE213">
            <v>44427</v>
          </cell>
          <cell r="AF213" t="str">
            <v>0 năm 6 tháng 15 ngày</v>
          </cell>
          <cell r="AH213">
            <v>44470</v>
          </cell>
          <cell r="AK213" t="str">
            <v>Công nhân ép mex công nghiệp</v>
          </cell>
          <cell r="AO213">
            <v>3470000</v>
          </cell>
        </row>
        <row r="214">
          <cell r="E214">
            <v>50459</v>
          </cell>
          <cell r="F214" t="str">
            <v>Lê Thị Mai</v>
          </cell>
          <cell r="G214">
            <v>34079</v>
          </cell>
          <cell r="H214">
            <v>28</v>
          </cell>
          <cell r="J214" t="str">
            <v>x</v>
          </cell>
          <cell r="K214" t="str">
            <v>038193040449</v>
          </cell>
          <cell r="L214">
            <v>44537</v>
          </cell>
          <cell r="M214" t="str">
            <v>Cục quản lý dân cư</v>
          </cell>
          <cell r="N214" t="str">
            <v>Kinh</v>
          </cell>
          <cell r="O214" t="str">
            <v>Không</v>
          </cell>
          <cell r="P214" t="str">
            <v>Việt Nam</v>
          </cell>
          <cell r="Q214" t="str">
            <v>12/12</v>
          </cell>
          <cell r="S214" t="str">
            <v>Thọ Diên , Thọ Xuân, Thanh Hóa</v>
          </cell>
          <cell r="T214" t="str">
            <v>Thọ Diên , Thọ Xuân, Thanh Hóa</v>
          </cell>
          <cell r="U214" t="str">
            <v>Xã  Dân Quyền- Huyện  Triệu Sơn- Tỉnh Thanh Hóa</v>
          </cell>
          <cell r="V214" t="str">
            <v>0395758380</v>
          </cell>
          <cell r="W214">
            <v>3821947238</v>
          </cell>
          <cell r="AE214">
            <v>44428</v>
          </cell>
          <cell r="AF214" t="str">
            <v>0 năm 6 tháng 14 ngày</v>
          </cell>
          <cell r="AH214">
            <v>44501</v>
          </cell>
          <cell r="AO214">
            <v>3470000</v>
          </cell>
        </row>
        <row r="215">
          <cell r="E215">
            <v>50460</v>
          </cell>
          <cell r="F215" t="str">
            <v>Bùi Thị Hồng</v>
          </cell>
          <cell r="G215">
            <v>32798</v>
          </cell>
          <cell r="H215">
            <v>32</v>
          </cell>
          <cell r="J215" t="str">
            <v>x</v>
          </cell>
          <cell r="K215" t="str">
            <v>038189012499</v>
          </cell>
          <cell r="L215">
            <v>43606</v>
          </cell>
          <cell r="M215" t="str">
            <v>Cục quản lý dân cư</v>
          </cell>
          <cell r="N215" t="str">
            <v>Kinh</v>
          </cell>
          <cell r="O215" t="str">
            <v>Không</v>
          </cell>
          <cell r="P215" t="str">
            <v>Việt Nam</v>
          </cell>
          <cell r="Q215" t="str">
            <v>9/12</v>
          </cell>
          <cell r="S215" t="str">
            <v>Xã Mỹ Thạch, huyện Thạch Thành, tỉnh Thanh Hoá</v>
          </cell>
          <cell r="T215" t="str">
            <v>Xã Mỹ Thạch, huyện Thạch Thành, tỉnh Thanh Hoá</v>
          </cell>
          <cell r="U215" t="str">
            <v>Thôn 9 Xã Dân Quyền -Huyện Triệu Sơn - Tỉnh Thanh  Hóa</v>
          </cell>
          <cell r="V215" t="str">
            <v>0342520963</v>
          </cell>
          <cell r="W215">
            <v>7910204153</v>
          </cell>
          <cell r="AD215" t="str">
            <v>100873754622</v>
          </cell>
          <cell r="AE215">
            <v>44424</v>
          </cell>
          <cell r="AF215" t="str">
            <v>0 năm 6 tháng 18 ngày</v>
          </cell>
          <cell r="AH215">
            <v>44470</v>
          </cell>
          <cell r="AK215" t="str">
            <v>Công nhân vận hành máy may công nghiệp</v>
          </cell>
          <cell r="AO215">
            <v>3470000</v>
          </cell>
        </row>
        <row r="216">
          <cell r="E216">
            <v>50467</v>
          </cell>
          <cell r="F216" t="str">
            <v>Nguyễn Thị Nhung</v>
          </cell>
          <cell r="G216">
            <v>33348</v>
          </cell>
          <cell r="H216">
            <v>30</v>
          </cell>
          <cell r="J216" t="str">
            <v>x</v>
          </cell>
          <cell r="K216">
            <v>173779275</v>
          </cell>
          <cell r="L216">
            <v>43716</v>
          </cell>
          <cell r="M216" t="str">
            <v>Công an Thanh Hoá</v>
          </cell>
          <cell r="N216" t="str">
            <v>Kinh</v>
          </cell>
          <cell r="O216" t="str">
            <v>Không</v>
          </cell>
          <cell r="P216" t="str">
            <v>Việt Nam</v>
          </cell>
          <cell r="Q216" t="str">
            <v>Đai Học</v>
          </cell>
          <cell r="R216" t="str">
            <v>Văn học</v>
          </cell>
          <cell r="S216" t="str">
            <v>Thiệu Viên, Thiệu Hóa, Thanh Hóa</v>
          </cell>
          <cell r="T216" t="str">
            <v>Thiệu Viên, Thiệu Hóa, Thanh Hóa</v>
          </cell>
          <cell r="V216" t="str">
            <v>0347949300</v>
          </cell>
          <cell r="W216">
            <v>3822065111</v>
          </cell>
          <cell r="AD216">
            <v>104005443202</v>
          </cell>
          <cell r="AE216">
            <v>44432</v>
          </cell>
          <cell r="AF216" t="str">
            <v>0 năm 6 tháng 10 ngày</v>
          </cell>
          <cell r="AH216">
            <v>44531</v>
          </cell>
          <cell r="AK216" t="str">
            <v>Nhân viên kế hoạch</v>
          </cell>
          <cell r="AO216">
            <v>3470000</v>
          </cell>
        </row>
        <row r="217">
          <cell r="E217">
            <v>50468</v>
          </cell>
          <cell r="F217" t="str">
            <v>Dương Văn Thanh</v>
          </cell>
          <cell r="G217">
            <v>28248</v>
          </cell>
          <cell r="H217">
            <v>44</v>
          </cell>
          <cell r="I217" t="str">
            <v>x</v>
          </cell>
          <cell r="K217" t="str">
            <v>038077008243</v>
          </cell>
          <cell r="L217">
            <v>43678</v>
          </cell>
          <cell r="M217" t="str">
            <v>Cục quản lý dân cư</v>
          </cell>
          <cell r="N217" t="str">
            <v>Kinh</v>
          </cell>
          <cell r="O217" t="str">
            <v>Không</v>
          </cell>
          <cell r="P217" t="str">
            <v>Việt Nam</v>
          </cell>
          <cell r="Q217" t="str">
            <v>9/12</v>
          </cell>
          <cell r="S217" t="str">
            <v>Thiệu Hòa, Thiệu Hóa, Thanh Hóa</v>
          </cell>
          <cell r="T217" t="str">
            <v>Thiệu Hòa, Thiệu Hóa, Thanh Hóa</v>
          </cell>
          <cell r="U217" t="str">
            <v>Xã Thiệu Hòa - Huyện - Thiệu Hóa -TỉnhThanh Hóa</v>
          </cell>
          <cell r="V217" t="str">
            <v>0965977398</v>
          </cell>
          <cell r="AD217" t="str">
            <v>108873754649</v>
          </cell>
          <cell r="AE217">
            <v>44432</v>
          </cell>
          <cell r="AF217" t="str">
            <v>0 năm 6 tháng 10 ngày</v>
          </cell>
          <cell r="AO217">
            <v>3285000</v>
          </cell>
        </row>
        <row r="218">
          <cell r="E218">
            <v>50469</v>
          </cell>
          <cell r="F218" t="str">
            <v>Nguyễn Thị Hoa</v>
          </cell>
          <cell r="G218">
            <v>35105</v>
          </cell>
          <cell r="H218">
            <v>26</v>
          </cell>
          <cell r="K218" t="str">
            <v>038196000994</v>
          </cell>
          <cell r="L218" t="str">
            <v>16/4/2021</v>
          </cell>
          <cell r="M218" t="str">
            <v>Cục quản lý dân cư</v>
          </cell>
          <cell r="N218" t="str">
            <v>Kinh</v>
          </cell>
          <cell r="O218" t="str">
            <v>Không</v>
          </cell>
          <cell r="P218" t="str">
            <v>Việt Nam</v>
          </cell>
          <cell r="S218" t="str">
            <v>Tiến Nông, Triệu Sơn, Thanh Hóa</v>
          </cell>
          <cell r="T218" t="str">
            <v>Tiến Nông, Triệu Sơn, Thanh Hóa</v>
          </cell>
          <cell r="U218" t="str">
            <v>Xã Dân Quyền - Huyện Triệu Sơn- TỉnhThanh Hóa</v>
          </cell>
          <cell r="V218" t="str">
            <v>0969562651</v>
          </cell>
          <cell r="W218">
            <v>3824802477</v>
          </cell>
          <cell r="AD218" t="str">
            <v>103873754631</v>
          </cell>
          <cell r="AE218">
            <v>44432</v>
          </cell>
          <cell r="AF218" t="str">
            <v>0 năm 6 tháng 10 ngày</v>
          </cell>
          <cell r="AH218">
            <v>44470</v>
          </cell>
          <cell r="AK218" t="str">
            <v>Công nhân vận hành máy may công nghiệp</v>
          </cell>
          <cell r="AO218">
            <v>3470000</v>
          </cell>
        </row>
        <row r="219">
          <cell r="E219">
            <v>50473</v>
          </cell>
          <cell r="F219" t="str">
            <v>Vũ Hữu Cường</v>
          </cell>
          <cell r="G219">
            <v>34563</v>
          </cell>
          <cell r="H219">
            <v>27</v>
          </cell>
          <cell r="I219" t="str">
            <v>x</v>
          </cell>
          <cell r="K219" t="str">
            <v>038994000352</v>
          </cell>
          <cell r="L219">
            <v>44474</v>
          </cell>
          <cell r="M219" t="str">
            <v>Cục quản lý dân cư</v>
          </cell>
          <cell r="N219" t="str">
            <v>Kinh</v>
          </cell>
          <cell r="O219" t="str">
            <v>Không</v>
          </cell>
          <cell r="P219" t="str">
            <v>Việt Nam</v>
          </cell>
          <cell r="Q219" t="str">
            <v>12/12</v>
          </cell>
          <cell r="S219" t="str">
            <v>Phú Thọ, Triệu Sơn, Thanh Hóa</v>
          </cell>
          <cell r="T219" t="str">
            <v>Phú Thọ, Triệu Sơn, Thanh Hóa</v>
          </cell>
          <cell r="U219" t="str">
            <v>Xã Phú Thọ - Huyện  Triệu Sơn - Tỉnh Thanh Hóa</v>
          </cell>
          <cell r="V219" t="str">
            <v>0969306519</v>
          </cell>
          <cell r="W219">
            <v>3822016219</v>
          </cell>
          <cell r="AD219" t="str">
            <v>101873754590</v>
          </cell>
          <cell r="AE219">
            <v>44432</v>
          </cell>
          <cell r="AF219" t="str">
            <v>0 năm 6 tháng 10 ngày</v>
          </cell>
          <cell r="AH219">
            <v>44470</v>
          </cell>
          <cell r="AK219" t="str">
            <v>Công nhân vận hành máy may công nghiệp</v>
          </cell>
          <cell r="AO219">
            <v>3470000</v>
          </cell>
        </row>
        <row r="220">
          <cell r="E220">
            <v>50474</v>
          </cell>
          <cell r="F220" t="str">
            <v>Nguyễn Văn Chiến</v>
          </cell>
          <cell r="G220">
            <v>37617</v>
          </cell>
          <cell r="H220">
            <v>19</v>
          </cell>
          <cell r="I220" t="str">
            <v>x</v>
          </cell>
          <cell r="K220" t="str">
            <v>038202018899</v>
          </cell>
          <cell r="L220">
            <v>37316</v>
          </cell>
          <cell r="M220" t="str">
            <v>Cục quản lý dân cư</v>
          </cell>
          <cell r="N220" t="str">
            <v>Kinh</v>
          </cell>
          <cell r="O220" t="str">
            <v>Không</v>
          </cell>
          <cell r="P220" t="str">
            <v>Việt Nam</v>
          </cell>
          <cell r="S220" t="str">
            <v>Dân Lực, Triệu Sơn, Thanh Hóa</v>
          </cell>
          <cell r="T220" t="str">
            <v>Dân Lực, Triệu Sơn, Thanh Hóa</v>
          </cell>
          <cell r="U220" t="str">
            <v>Xã Dân Lực- Huyện  Triệu Sơn -TỉnhThanh Hóa</v>
          </cell>
          <cell r="V220" t="str">
            <v>0366628726</v>
          </cell>
          <cell r="W220">
            <v>3821897709</v>
          </cell>
          <cell r="AD220" t="str">
            <v>100873754591</v>
          </cell>
          <cell r="AE220">
            <v>44432</v>
          </cell>
          <cell r="AF220" t="str">
            <v>0 năm 6 tháng 10 ngày</v>
          </cell>
          <cell r="AH220">
            <v>44501</v>
          </cell>
          <cell r="AK220" t="str">
            <v>Công nhân vận hành máy may công nghiệp</v>
          </cell>
          <cell r="AO220">
            <v>3470000</v>
          </cell>
        </row>
        <row r="221">
          <cell r="E221">
            <v>50477</v>
          </cell>
          <cell r="F221" t="str">
            <v>Lê Thị Hương</v>
          </cell>
          <cell r="G221">
            <v>33307</v>
          </cell>
          <cell r="H221">
            <v>30</v>
          </cell>
          <cell r="J221" t="str">
            <v>x</v>
          </cell>
          <cell r="K221" t="str">
            <v>038191003082</v>
          </cell>
          <cell r="L221">
            <v>44389</v>
          </cell>
          <cell r="M221" t="str">
            <v>Cục quản lý dân cư</v>
          </cell>
          <cell r="N221" t="str">
            <v>Kinh</v>
          </cell>
          <cell r="O221" t="str">
            <v>Không</v>
          </cell>
          <cell r="P221" t="str">
            <v>Việt Nam</v>
          </cell>
          <cell r="Q221" t="str">
            <v>9/12</v>
          </cell>
          <cell r="S221" t="str">
            <v>Xã Dân Lý, huyện Triệu Sơn, tỉnh Thanh Hoá</v>
          </cell>
          <cell r="T221" t="str">
            <v>Xã Dân Lý, huyện Triệu Sơn, tỉnh Thanh Hoá</v>
          </cell>
          <cell r="U221" t="str">
            <v>Thôn 4, xã Dân Quyền, huyện Triệu Sơn, tỉnh Thanh Hóa</v>
          </cell>
          <cell r="V221" t="str">
            <v>0854432703</v>
          </cell>
          <cell r="W221">
            <v>3815042461</v>
          </cell>
          <cell r="AD221">
            <v>108871342250</v>
          </cell>
          <cell r="AE221">
            <v>44434</v>
          </cell>
          <cell r="AF221" t="str">
            <v>0 năm 6 tháng 8 ngày</v>
          </cell>
          <cell r="AH221">
            <v>44501</v>
          </cell>
          <cell r="AK221" t="str">
            <v>Công nhân vận hành máy may công nghiệp</v>
          </cell>
          <cell r="AO221">
            <v>3470000</v>
          </cell>
        </row>
        <row r="222">
          <cell r="E222">
            <v>50482</v>
          </cell>
          <cell r="F222" t="str">
            <v>Hoàng Thị Ánh Hảo</v>
          </cell>
          <cell r="G222">
            <v>36422</v>
          </cell>
          <cell r="H222">
            <v>22</v>
          </cell>
          <cell r="J222" t="str">
            <v>x</v>
          </cell>
          <cell r="K222">
            <v>174798900</v>
          </cell>
          <cell r="L222">
            <v>41942</v>
          </cell>
          <cell r="M222" t="str">
            <v>Công an Thanh Hoá</v>
          </cell>
          <cell r="N222" t="str">
            <v>Thái</v>
          </cell>
          <cell r="O222" t="str">
            <v>Không</v>
          </cell>
          <cell r="P222" t="str">
            <v>Việt Nam</v>
          </cell>
          <cell r="Q222" t="str">
            <v>9/12</v>
          </cell>
          <cell r="S222" t="str">
            <v>Xã Bình Sơn, huyện Triệu Sơn, tỉnh Thanh Hoá</v>
          </cell>
          <cell r="T222" t="str">
            <v>Xã Bình Sơn, huyện Triệu Sơn, tỉnh Thanh Hoá</v>
          </cell>
          <cell r="U222" t="str">
            <v>Thôn 2, xã Thọ Tân,  huyện Triệu Sơn, tỉnh Thanh Hoá</v>
          </cell>
          <cell r="V222" t="str">
            <v>0333264278</v>
          </cell>
          <cell r="W222">
            <v>3822003646</v>
          </cell>
          <cell r="AE222">
            <v>44434</v>
          </cell>
          <cell r="AF222" t="str">
            <v>0 năm 6 tháng 8 ngày</v>
          </cell>
          <cell r="AH222">
            <v>44501</v>
          </cell>
          <cell r="AK222" t="str">
            <v>Công nhân vận hành máy may công nghiệp</v>
          </cell>
          <cell r="AO222">
            <v>3470000</v>
          </cell>
        </row>
        <row r="223">
          <cell r="E223">
            <v>50485</v>
          </cell>
          <cell r="F223" t="str">
            <v>Lê Đức Nam</v>
          </cell>
          <cell r="G223">
            <v>37060</v>
          </cell>
          <cell r="H223">
            <v>20</v>
          </cell>
          <cell r="I223" t="str">
            <v>x</v>
          </cell>
          <cell r="K223" t="str">
            <v>038201023591</v>
          </cell>
          <cell r="L223">
            <v>44375</v>
          </cell>
          <cell r="M223" t="str">
            <v>Cục quản lý dân cư</v>
          </cell>
          <cell r="N223" t="str">
            <v>Kinh</v>
          </cell>
          <cell r="O223" t="str">
            <v>Không</v>
          </cell>
          <cell r="P223" t="str">
            <v>Việt Nam</v>
          </cell>
          <cell r="Q223" t="str">
            <v>12/12</v>
          </cell>
          <cell r="S223" t="str">
            <v>Xã Tiến Nông, huyện Triệu Sơn, tỉnh Thanh Hoá</v>
          </cell>
          <cell r="T223" t="str">
            <v>Xã Tiến Nông, huyện Triệu Sơn, tỉnh Thanh Hoá</v>
          </cell>
          <cell r="U223" t="str">
            <v>Thôn Hoà Triều, Xã Tiến Nông, huyện Triệu Sơn, tỉnh Thanh Hoá</v>
          </cell>
          <cell r="V223" t="str">
            <v>0388362016</v>
          </cell>
          <cell r="AE223">
            <v>44435</v>
          </cell>
          <cell r="AF223" t="str">
            <v>0 năm 6 tháng 7 ngày</v>
          </cell>
          <cell r="AH223">
            <v>44531</v>
          </cell>
          <cell r="AO223">
            <v>3470000</v>
          </cell>
        </row>
        <row r="224">
          <cell r="E224">
            <v>50486</v>
          </cell>
          <cell r="F224" t="str">
            <v>Lại Thị Hạnh</v>
          </cell>
          <cell r="G224">
            <v>33636</v>
          </cell>
          <cell r="H224">
            <v>30</v>
          </cell>
          <cell r="J224" t="str">
            <v>x</v>
          </cell>
          <cell r="K224" t="str">
            <v>0401920004558</v>
          </cell>
          <cell r="L224">
            <v>42874</v>
          </cell>
          <cell r="M224" t="str">
            <v>Cục quản lý dân cư</v>
          </cell>
          <cell r="N224" t="str">
            <v>Kinh</v>
          </cell>
          <cell r="O224" t="str">
            <v>Không</v>
          </cell>
          <cell r="P224" t="str">
            <v>Việt Nam</v>
          </cell>
          <cell r="Q224" t="str">
            <v>9/12</v>
          </cell>
          <cell r="S224" t="str">
            <v>Xã Sơn Hải, huyện Quỳnh Lưu, tỉnh Nghệ An</v>
          </cell>
          <cell r="T224" t="str">
            <v>Xã Sơn Hải, huyện Quỳnh Lưu, tỉnh Nghệ An</v>
          </cell>
          <cell r="U224" t="str">
            <v>Thôn Tân Dân, Thị Trấn Triệu Sơn, huyện Triệu Sơn, tỉnh Thanh Hóa</v>
          </cell>
          <cell r="V224" t="str">
            <v>0966488012</v>
          </cell>
          <cell r="W224">
            <v>3824439973</v>
          </cell>
          <cell r="AE224">
            <v>44435</v>
          </cell>
          <cell r="AF224" t="str">
            <v>0 năm 6 tháng 7 ngày</v>
          </cell>
          <cell r="AH224">
            <v>44470</v>
          </cell>
          <cell r="AK224" t="str">
            <v>Công nhân ép mex công nghiệp</v>
          </cell>
          <cell r="AO224">
            <v>3470000</v>
          </cell>
        </row>
        <row r="225">
          <cell r="E225">
            <v>50487</v>
          </cell>
          <cell r="F225" t="str">
            <v>Mai Thuỳ Trang</v>
          </cell>
          <cell r="G225">
            <v>34142</v>
          </cell>
          <cell r="H225">
            <v>28</v>
          </cell>
          <cell r="J225" t="str">
            <v>x</v>
          </cell>
          <cell r="K225">
            <v>174244836</v>
          </cell>
          <cell r="L225">
            <v>42143</v>
          </cell>
          <cell r="M225" t="str">
            <v>Công an Thanh Hoá</v>
          </cell>
          <cell r="N225" t="str">
            <v>Kinh</v>
          </cell>
          <cell r="O225" t="str">
            <v>Không</v>
          </cell>
          <cell r="P225" t="str">
            <v>Việt Nam</v>
          </cell>
          <cell r="Q225" t="str">
            <v>9/12</v>
          </cell>
          <cell r="S225" t="str">
            <v>Xã Dân Quyền, huyện Triệu Sơn, tỉnh Thanh Hoá</v>
          </cell>
          <cell r="T225" t="str">
            <v>Xã Dân Quyền, huyện Triệu Sơn, tỉnh Thanh Hoá</v>
          </cell>
          <cell r="U225" t="str">
            <v>Thôn 2, Xã Dân Quyền, huyện Triệu Sơn, tỉnh Thanh Hoá</v>
          </cell>
          <cell r="V225" t="str">
            <v>0348637135</v>
          </cell>
          <cell r="W225">
            <v>7412157844</v>
          </cell>
          <cell r="AE225">
            <v>44436</v>
          </cell>
          <cell r="AF225" t="str">
            <v>0 năm 6 tháng 6 ngày</v>
          </cell>
          <cell r="AH225">
            <v>44501</v>
          </cell>
          <cell r="AK225" t="str">
            <v>Công nhân vận hành máy may công nghiệp</v>
          </cell>
          <cell r="AO225">
            <v>3470000</v>
          </cell>
        </row>
        <row r="226">
          <cell r="E226">
            <v>50488</v>
          </cell>
          <cell r="F226" t="str">
            <v>Khương Thị Tình</v>
          </cell>
          <cell r="G226">
            <v>32854</v>
          </cell>
          <cell r="H226">
            <v>32</v>
          </cell>
          <cell r="J226" t="str">
            <v>x</v>
          </cell>
          <cell r="K226">
            <v>173535985</v>
          </cell>
          <cell r="L226">
            <v>39294</v>
          </cell>
          <cell r="M226" t="str">
            <v>Công an Thanh Hoá</v>
          </cell>
          <cell r="N226" t="str">
            <v>Kinh</v>
          </cell>
          <cell r="O226" t="str">
            <v>Không</v>
          </cell>
          <cell r="P226" t="str">
            <v>Việt Nam</v>
          </cell>
          <cell r="Q226" t="str">
            <v>9/12</v>
          </cell>
          <cell r="S226" t="str">
            <v>Xã Dân Quyền, huyện Triệu Sơn, tỉnh Thanh Hoá</v>
          </cell>
          <cell r="T226" t="str">
            <v>Xã Dân Quyền, huyện Triệu Sơn, tỉnh Thanh Hoá</v>
          </cell>
          <cell r="U226" t="str">
            <v>Thôn 2, Xã Dân Quyền, huyện Triệu Sơn, tỉnh Thanh Hoá</v>
          </cell>
          <cell r="V226" t="str">
            <v>0394895148</v>
          </cell>
          <cell r="W226">
            <v>3821856277</v>
          </cell>
          <cell r="AE226">
            <v>44436</v>
          </cell>
          <cell r="AF226" t="str">
            <v>0 năm 6 tháng 6 ngày</v>
          </cell>
          <cell r="AH226">
            <v>44470</v>
          </cell>
          <cell r="AK226" t="str">
            <v>Công nhân vận hành máy may công nghiệp</v>
          </cell>
          <cell r="AO226">
            <v>3470000</v>
          </cell>
        </row>
        <row r="227">
          <cell r="E227">
            <v>50494</v>
          </cell>
          <cell r="F227" t="str">
            <v>Phạm Thị Dung</v>
          </cell>
          <cell r="G227">
            <v>31251</v>
          </cell>
          <cell r="H227">
            <v>36</v>
          </cell>
          <cell r="J227" t="str">
            <v>x</v>
          </cell>
          <cell r="K227" t="str">
            <v>038185048625</v>
          </cell>
          <cell r="L227">
            <v>44389</v>
          </cell>
          <cell r="M227" t="str">
            <v>Cục quản lý dân cư</v>
          </cell>
          <cell r="N227" t="str">
            <v>kinh</v>
          </cell>
          <cell r="O227" t="str">
            <v>không</v>
          </cell>
          <cell r="P227" t="str">
            <v>Việt Nam</v>
          </cell>
          <cell r="Q227" t="str">
            <v>9/12</v>
          </cell>
          <cell r="S227" t="str">
            <v>Xã Dân Quyền, huyện Triệu Sơn, tỉnh Thanh Hóa</v>
          </cell>
          <cell r="T227" t="str">
            <v>Xã Dân Quyền, huyện Triệu Sơn, tỉnh Thanh Hoá</v>
          </cell>
          <cell r="U227" t="str">
            <v>Xóm 6, xã Dân Quyền, huyện Triệu Sơn, Thanh Hóa</v>
          </cell>
          <cell r="V227" t="str">
            <v>0375619306</v>
          </cell>
          <cell r="W227">
            <v>3815042411</v>
          </cell>
          <cell r="AE227">
            <v>44439</v>
          </cell>
          <cell r="AF227" t="str">
            <v>0 năm 6 tháng 3 ngày</v>
          </cell>
          <cell r="AH227">
            <v>44531</v>
          </cell>
          <cell r="AK227" t="str">
            <v>Công nhân vận hành máy may công nghiệp</v>
          </cell>
          <cell r="AO227">
            <v>3470000</v>
          </cell>
        </row>
        <row r="228">
          <cell r="E228">
            <v>50495</v>
          </cell>
          <cell r="F228" t="str">
            <v>Lê Thị Thảo</v>
          </cell>
          <cell r="G228">
            <v>37039</v>
          </cell>
          <cell r="H228">
            <v>20</v>
          </cell>
          <cell r="J228" t="str">
            <v>x</v>
          </cell>
          <cell r="K228" t="str">
            <v>038301016318</v>
          </cell>
          <cell r="L228">
            <v>43402</v>
          </cell>
          <cell r="M228" t="str">
            <v>Cục quản lý dân cư</v>
          </cell>
          <cell r="N228" t="str">
            <v>Kinh</v>
          </cell>
          <cell r="O228" t="str">
            <v>Không</v>
          </cell>
          <cell r="P228" t="str">
            <v>Việt Nam</v>
          </cell>
          <cell r="Q228" t="str">
            <v>12/12</v>
          </cell>
          <cell r="S228" t="str">
            <v>Xã Minh Dân, huyện Triệu Sơn, tỉnh Thanh Hóa</v>
          </cell>
          <cell r="T228" t="str">
            <v>Xã Minh Dân, huyện Triệu Sơn, tỉnh Thanh Hóa</v>
          </cell>
          <cell r="U228" t="str">
            <v>Phố Tân Dân, Thị Trấn Triệu Sơn, huyện Triệu Sơn, tỉnh Thanh Hóa</v>
          </cell>
          <cell r="V228" t="str">
            <v>0342728191</v>
          </cell>
          <cell r="AE228">
            <v>44442</v>
          </cell>
          <cell r="AF228" t="str">
            <v>0 năm 6 tháng 3 ngày</v>
          </cell>
          <cell r="AH228">
            <v>44562</v>
          </cell>
          <cell r="AO228">
            <v>3470000</v>
          </cell>
        </row>
        <row r="229">
          <cell r="E229">
            <v>50497</v>
          </cell>
          <cell r="F229" t="str">
            <v>Lê Thị Giang</v>
          </cell>
          <cell r="G229">
            <v>32930</v>
          </cell>
          <cell r="H229">
            <v>32</v>
          </cell>
          <cell r="J229" t="str">
            <v>x</v>
          </cell>
          <cell r="K229" t="str">
            <v>038190013317</v>
          </cell>
          <cell r="L229">
            <v>44304</v>
          </cell>
          <cell r="M229" t="str">
            <v>Cục quản lý dân cư</v>
          </cell>
          <cell r="N229" t="str">
            <v>Kinh</v>
          </cell>
          <cell r="O229" t="str">
            <v>Không</v>
          </cell>
          <cell r="P229" t="str">
            <v>Việt Nam</v>
          </cell>
          <cell r="Q229" t="str">
            <v>9/12</v>
          </cell>
          <cell r="S229" t="str">
            <v>Xã Thọ Tân, huyện Triệu Sơn, tỉnh Thanh Hóa</v>
          </cell>
          <cell r="T229" t="str">
            <v>Xã Thọ Tân, huyện Triệu Sơn, tỉnh Thanh Hóa</v>
          </cell>
          <cell r="U229" t="str">
            <v>Thôn 3, xã Thọ Thế, Huyện Triệu Sơn, tỉnh Thanh Hóa</v>
          </cell>
          <cell r="V229" t="str">
            <v>0326709706</v>
          </cell>
          <cell r="W229">
            <v>3815021173</v>
          </cell>
          <cell r="AD229">
            <v>102002199881</v>
          </cell>
          <cell r="AE229">
            <v>44442</v>
          </cell>
          <cell r="AF229" t="str">
            <v>0 năm 6 tháng 3 ngày</v>
          </cell>
          <cell r="AH229">
            <v>44470</v>
          </cell>
          <cell r="AK229" t="str">
            <v>Công nhân vận hành máy may công nghiệp</v>
          </cell>
          <cell r="AO229">
            <v>3470000</v>
          </cell>
        </row>
        <row r="230">
          <cell r="E230">
            <v>50501</v>
          </cell>
          <cell r="F230" t="str">
            <v>Hà Thị Thanh</v>
          </cell>
          <cell r="G230">
            <v>37717</v>
          </cell>
          <cell r="H230">
            <v>18</v>
          </cell>
          <cell r="J230" t="str">
            <v>x</v>
          </cell>
          <cell r="K230" t="str">
            <v>038303007391</v>
          </cell>
          <cell r="L230">
            <v>44311</v>
          </cell>
          <cell r="M230" t="str">
            <v>Cục quản lý dân cư</v>
          </cell>
          <cell r="N230" t="str">
            <v>Kinh</v>
          </cell>
          <cell r="O230" t="str">
            <v>Không</v>
          </cell>
          <cell r="P230" t="str">
            <v>Việt Nam</v>
          </cell>
          <cell r="Q230" t="str">
            <v>12/12</v>
          </cell>
          <cell r="S230" t="str">
            <v>Thị Trấn Triệu Sơn, huyện Triệu Sơn, tỉnh Thanh Hóa</v>
          </cell>
          <cell r="T230" t="str">
            <v>Xã Minh Châu, huyện Triệu Sơn, tỉnh Thanh Hóa</v>
          </cell>
          <cell r="U230" t="str">
            <v>Phố 4, Thị trấn Triệu Sơn, huyện Triệu Sơn, tỉnh Thanh Hoá</v>
          </cell>
          <cell r="V230" t="str">
            <v>0522721646</v>
          </cell>
          <cell r="W230">
            <v>3821946792</v>
          </cell>
          <cell r="AD230" t="str">
            <v>104873937612</v>
          </cell>
          <cell r="AE230">
            <v>44442</v>
          </cell>
          <cell r="AF230" t="str">
            <v>0 năm 6 tháng 3 ngày</v>
          </cell>
          <cell r="AH230">
            <v>44501</v>
          </cell>
          <cell r="AK230" t="str">
            <v>Công nhân vận hành máy may công nghiệp</v>
          </cell>
          <cell r="AO230">
            <v>3470000</v>
          </cell>
        </row>
        <row r="231">
          <cell r="E231">
            <v>50511</v>
          </cell>
          <cell r="F231" t="str">
            <v>Trần Thu Hương</v>
          </cell>
          <cell r="G231">
            <v>35851</v>
          </cell>
          <cell r="H231">
            <v>24</v>
          </cell>
          <cell r="J231" t="str">
            <v>x</v>
          </cell>
          <cell r="K231" t="str">
            <v>036198008295</v>
          </cell>
          <cell r="L231">
            <v>42893</v>
          </cell>
          <cell r="M231" t="str">
            <v>Cục quản lý dân cư</v>
          </cell>
          <cell r="N231" t="str">
            <v>Kinh</v>
          </cell>
          <cell r="O231" t="str">
            <v>Không</v>
          </cell>
          <cell r="P231" t="str">
            <v>Việt Nam</v>
          </cell>
          <cell r="Q231" t="str">
            <v>12/12</v>
          </cell>
          <cell r="S231" t="str">
            <v>Xã Xuân Trung, huyện Xuân Trường, tỉnh Nam Định</v>
          </cell>
          <cell r="T231" t="str">
            <v>Xã Xuân Trung, huyện Xuân Trường, tỉnh Nam Định</v>
          </cell>
          <cell r="U231" t="str">
            <v>Thôn 1, xã Dân Quyền, huyện Triệu sơn, tỉnh Thanh Hóa</v>
          </cell>
          <cell r="V231" t="str">
            <v>0961021924</v>
          </cell>
          <cell r="W231">
            <v>3622435492</v>
          </cell>
          <cell r="AD231">
            <v>108868330656</v>
          </cell>
          <cell r="AE231">
            <v>44445</v>
          </cell>
          <cell r="AF231" t="str">
            <v>0 năm 6 tháng 0 ngày</v>
          </cell>
          <cell r="AH231">
            <v>44501</v>
          </cell>
          <cell r="AK231" t="str">
            <v>Nhân viên kế hoạch</v>
          </cell>
          <cell r="AO231">
            <v>3470000</v>
          </cell>
        </row>
        <row r="232">
          <cell r="E232">
            <v>50518</v>
          </cell>
          <cell r="F232" t="str">
            <v>Lê Thị Ngãi</v>
          </cell>
          <cell r="G232">
            <v>34434</v>
          </cell>
          <cell r="H232">
            <v>27</v>
          </cell>
          <cell r="J232" t="str">
            <v>x</v>
          </cell>
          <cell r="K232" t="str">
            <v>038194009163</v>
          </cell>
          <cell r="L232">
            <v>43718</v>
          </cell>
          <cell r="M232" t="str">
            <v>Cục quản lý dân cư</v>
          </cell>
          <cell r="N232" t="str">
            <v>Kinh</v>
          </cell>
          <cell r="O232" t="str">
            <v>Không</v>
          </cell>
          <cell r="P232" t="str">
            <v>Việt Nam</v>
          </cell>
          <cell r="Q232" t="str">
            <v>12/12</v>
          </cell>
          <cell r="S232" t="str">
            <v>Xã Tiến Nông, huyện Triệu Sơn, tỉnh Thanh Hóa</v>
          </cell>
          <cell r="T232" t="str">
            <v>Xã Tiến Nông, huyện Triệu Sơn, tỉnh Thanh Hóa</v>
          </cell>
          <cell r="U232" t="str">
            <v>Thôn Hòa Thiều, xã Tiến Nông, huyện Triệu Sơn, tỉnh Thanh Hóa</v>
          </cell>
          <cell r="V232" t="str">
            <v>0972644302</v>
          </cell>
          <cell r="W232">
            <v>3821859569</v>
          </cell>
          <cell r="AD232" t="str">
            <v>107873937621</v>
          </cell>
          <cell r="AE232">
            <v>44446</v>
          </cell>
          <cell r="AF232" t="str">
            <v>0 năm 5 tháng 27 ngày</v>
          </cell>
          <cell r="AH232">
            <v>44470</v>
          </cell>
          <cell r="AK232" t="str">
            <v>Công nhân ép mex công nghiệp</v>
          </cell>
          <cell r="AO232">
            <v>3470000</v>
          </cell>
        </row>
        <row r="233">
          <cell r="E233">
            <v>50521</v>
          </cell>
          <cell r="F233" t="str">
            <v>Nguyễn Văn Tuấn</v>
          </cell>
          <cell r="G233">
            <v>34627</v>
          </cell>
          <cell r="H233">
            <v>27</v>
          </cell>
          <cell r="I233" t="str">
            <v>x</v>
          </cell>
          <cell r="K233" t="str">
            <v>038094000331</v>
          </cell>
          <cell r="L233">
            <v>43787</v>
          </cell>
          <cell r="M233" t="str">
            <v>Cục quản lý dân cư</v>
          </cell>
          <cell r="N233" t="str">
            <v>Kinh</v>
          </cell>
          <cell r="O233" t="str">
            <v>Không</v>
          </cell>
          <cell r="P233" t="str">
            <v>Việt Nam</v>
          </cell>
          <cell r="Q233" t="str">
            <v>12/12</v>
          </cell>
          <cell r="S233" t="str">
            <v>Xã Hợp Thắng, huyện Triệu Sơn, tỉnh Thanh Hóa</v>
          </cell>
          <cell r="T233" t="str">
            <v>Xã Hợp Thắng, huyện Triệu Sơn, tỉnh Thanh Hóa</v>
          </cell>
          <cell r="U233" t="str">
            <v>Thôn Tân Tiến, xã Hợp Thắng, huyện Triệu Sơn, tỉnh Thanh Hóa</v>
          </cell>
          <cell r="V233" t="str">
            <v>0964770515</v>
          </cell>
          <cell r="W233">
            <v>3822000290</v>
          </cell>
          <cell r="AD233" t="str">
            <v>106873937622</v>
          </cell>
          <cell r="AE233">
            <v>44446</v>
          </cell>
          <cell r="AF233" t="str">
            <v>0 năm 5 tháng 27 ngày</v>
          </cell>
          <cell r="AH233">
            <v>44531</v>
          </cell>
          <cell r="AK233" t="str">
            <v>Công nhân vận hành máy may công nghiệp</v>
          </cell>
          <cell r="AO233">
            <v>3470000</v>
          </cell>
        </row>
        <row r="234">
          <cell r="E234">
            <v>50522</v>
          </cell>
          <cell r="F234" t="str">
            <v>Đinh Thị Vân Anh</v>
          </cell>
          <cell r="G234">
            <v>35293</v>
          </cell>
          <cell r="H234">
            <v>25</v>
          </cell>
          <cell r="J234" t="str">
            <v>x</v>
          </cell>
          <cell r="K234">
            <v>174789415</v>
          </cell>
          <cell r="L234">
            <v>41258</v>
          </cell>
          <cell r="M234" t="str">
            <v>Công an Thanh Hóa</v>
          </cell>
          <cell r="N234" t="str">
            <v>Kinh</v>
          </cell>
          <cell r="O234" t="str">
            <v>Không</v>
          </cell>
          <cell r="P234" t="str">
            <v>Việt Nam</v>
          </cell>
          <cell r="Q234" t="str">
            <v>12/12</v>
          </cell>
          <cell r="S234" t="str">
            <v>Xã Hợp Thắng, huyện Triệu Sơn, tỉnh Thanh Hóa</v>
          </cell>
          <cell r="T234" t="str">
            <v>Xã Hợp Thắng, huyện Triệu Sơn, tỉnh Thanh Hóa</v>
          </cell>
          <cell r="U234" t="str">
            <v>Thôn Tân Tiến, xã Hợp Thắng, huyện Triệu Sơn, tỉnh Thanh Hóa</v>
          </cell>
          <cell r="V234" t="str">
            <v>0334972321</v>
          </cell>
          <cell r="W234">
            <v>3821978176</v>
          </cell>
          <cell r="AD234" t="str">
            <v>104873937624</v>
          </cell>
          <cell r="AE234">
            <v>44446</v>
          </cell>
          <cell r="AF234" t="str">
            <v>0 năm 5 tháng 27 ngày</v>
          </cell>
          <cell r="AH234">
            <v>44501</v>
          </cell>
          <cell r="AK234" t="str">
            <v>Công nhân vận hành máy may công nghiệp</v>
          </cell>
          <cell r="AO234">
            <v>3470000</v>
          </cell>
        </row>
        <row r="235">
          <cell r="E235">
            <v>50524</v>
          </cell>
          <cell r="F235" t="str">
            <v>Lê Thị Thảo</v>
          </cell>
          <cell r="G235">
            <v>26602</v>
          </cell>
          <cell r="H235">
            <v>49</v>
          </cell>
          <cell r="J235" t="str">
            <v>x</v>
          </cell>
          <cell r="K235" t="str">
            <v>038172002011</v>
          </cell>
          <cell r="L235">
            <v>42740</v>
          </cell>
          <cell r="M235" t="str">
            <v>Cục quản lý dân cư</v>
          </cell>
          <cell r="N235" t="str">
            <v>Kinh</v>
          </cell>
          <cell r="O235" t="str">
            <v>Không</v>
          </cell>
          <cell r="P235" t="str">
            <v>Việt Nam</v>
          </cell>
          <cell r="Q235" t="str">
            <v>12/12</v>
          </cell>
          <cell r="S235" t="str">
            <v>Xã Thọ Phú, huyện Triệu Sơn, tỉnh Thanh Hóa</v>
          </cell>
          <cell r="T235" t="str">
            <v>Xã Thọ Phú, huyện Triệu Sơn, tỉnh Thanh Hóa</v>
          </cell>
          <cell r="U235" t="str">
            <v>Thôn 4, xã Thọ Phú, huyện Triệu Sơn, tỉnh Thanh Hóa</v>
          </cell>
          <cell r="V235" t="str">
            <v>0336884726</v>
          </cell>
          <cell r="W235">
            <v>3816046366</v>
          </cell>
          <cell r="AD235">
            <v>105874470828</v>
          </cell>
          <cell r="AE235">
            <v>44446</v>
          </cell>
          <cell r="AF235" t="str">
            <v>0 năm 5 tháng 27 ngày</v>
          </cell>
          <cell r="AH235">
            <v>44470</v>
          </cell>
          <cell r="AK235" t="str">
            <v>Nhân viên công vụ</v>
          </cell>
          <cell r="AO235">
            <v>3224000</v>
          </cell>
        </row>
        <row r="236">
          <cell r="E236">
            <v>50528</v>
          </cell>
          <cell r="F236" t="str">
            <v>Nguyễn Thị Huyền</v>
          </cell>
          <cell r="G236">
            <v>32339</v>
          </cell>
          <cell r="H236">
            <v>33</v>
          </cell>
          <cell r="J236" t="str">
            <v>x</v>
          </cell>
          <cell r="K236">
            <v>186863227</v>
          </cell>
          <cell r="L236">
            <v>39106</v>
          </cell>
          <cell r="M236" t="str">
            <v>Công an Nghệ An</v>
          </cell>
          <cell r="N236" t="str">
            <v>Kinh</v>
          </cell>
          <cell r="O236" t="str">
            <v>Không</v>
          </cell>
          <cell r="P236" t="str">
            <v>Việt Nam</v>
          </cell>
          <cell r="Q236" t="str">
            <v>12/12</v>
          </cell>
          <cell r="S236" t="str">
            <v>Xã Hạnh Lâm, huyện Thanh Chương, tỉnh Nghệ An</v>
          </cell>
          <cell r="T236" t="str">
            <v>Xã Hạnh Lâm, huyện Thanh Chương, tỉnh Nghệ An</v>
          </cell>
          <cell r="U236" t="str">
            <v>Xã Hợp Thắng, huyện Triệu Sơn, tỉnh Thanh Hóa</v>
          </cell>
          <cell r="V236" t="str">
            <v>0702504512</v>
          </cell>
          <cell r="W236">
            <v>7508016908</v>
          </cell>
          <cell r="AE236">
            <v>44448</v>
          </cell>
          <cell r="AF236" t="str">
            <v>0 năm 5 tháng 25 ngày</v>
          </cell>
          <cell r="AH236">
            <v>44501</v>
          </cell>
          <cell r="AK236" t="str">
            <v>Công nhân vận hành máy may công nghiệp</v>
          </cell>
          <cell r="AO236">
            <v>3470000</v>
          </cell>
        </row>
        <row r="237">
          <cell r="E237">
            <v>50531</v>
          </cell>
          <cell r="F237" t="str">
            <v>Nguyễn Hữu An</v>
          </cell>
          <cell r="G237">
            <v>36886</v>
          </cell>
          <cell r="H237">
            <v>21</v>
          </cell>
          <cell r="I237" t="str">
            <v>x</v>
          </cell>
          <cell r="K237" t="str">
            <v>038200011308</v>
          </cell>
          <cell r="L237">
            <v>43046</v>
          </cell>
          <cell r="M237" t="str">
            <v>Cục quản lý dân cư</v>
          </cell>
          <cell r="N237" t="str">
            <v>Kinh</v>
          </cell>
          <cell r="O237" t="str">
            <v>Không</v>
          </cell>
          <cell r="P237" t="str">
            <v>Việt Nam</v>
          </cell>
          <cell r="Q237" t="str">
            <v>12/12</v>
          </cell>
          <cell r="S237" t="str">
            <v>Xã Dân Lực, huyện Triệu Sơn, tỉnh Thanh Hóa</v>
          </cell>
          <cell r="T237" t="str">
            <v>Xã Dân Lực, huyện Triệu Sơn, tỉnh Thanh Hóa</v>
          </cell>
          <cell r="U237" t="str">
            <v>Xã Dân Lực, huyện Triệu Sơn, tỉnh Thanh Hóa</v>
          </cell>
          <cell r="V237" t="str">
            <v>0374390730</v>
          </cell>
          <cell r="W237">
            <v>3821844708</v>
          </cell>
          <cell r="AD237" t="str">
            <v>102873937601</v>
          </cell>
          <cell r="AE237">
            <v>44448</v>
          </cell>
          <cell r="AF237" t="str">
            <v>0 năm 5 tháng 25 ngày</v>
          </cell>
          <cell r="AH237">
            <v>44501</v>
          </cell>
          <cell r="AK237" t="str">
            <v>Công nhân vận hành máy may công nghiệp</v>
          </cell>
          <cell r="AO237">
            <v>3470000</v>
          </cell>
        </row>
        <row r="238">
          <cell r="E238">
            <v>50541</v>
          </cell>
          <cell r="F238" t="str">
            <v>Lê Thị Thắm</v>
          </cell>
          <cell r="G238">
            <v>31899</v>
          </cell>
          <cell r="H238">
            <v>34</v>
          </cell>
          <cell r="J238" t="str">
            <v>x</v>
          </cell>
          <cell r="K238">
            <v>173542143</v>
          </cell>
          <cell r="L238" t="str">
            <v>22/09/2011</v>
          </cell>
          <cell r="M238" t="str">
            <v>Công an Thanh Hoá</v>
          </cell>
          <cell r="N238" t="str">
            <v>Kinh</v>
          </cell>
          <cell r="O238" t="str">
            <v>Không</v>
          </cell>
          <cell r="P238" t="str">
            <v>Việt Nam</v>
          </cell>
          <cell r="S238" t="str">
            <v>Xã Dân Lực, huyện Triệu Sơn, tỉnh Thanh Hoá</v>
          </cell>
          <cell r="T238" t="str">
            <v>Xã Dân Lực, huyện Triệu Sơn, tỉnh Thanh Hoá</v>
          </cell>
          <cell r="U238" t="str">
            <v>Thôn Xuân Tiên, xã Dân Lực, huyện Triệu Sơn, tỉnh Thanh Hoá</v>
          </cell>
          <cell r="W238">
            <v>3816034477</v>
          </cell>
          <cell r="AD238">
            <v>100869637094</v>
          </cell>
          <cell r="AE238">
            <v>44454</v>
          </cell>
          <cell r="AF238" t="str">
            <v>0 năm 5 tháng 19 ngày</v>
          </cell>
          <cell r="AH238">
            <v>44501</v>
          </cell>
          <cell r="AK238" t="str">
            <v>Công nhân vận hành máy may công nghiệp</v>
          </cell>
          <cell r="AO238">
            <v>3470000</v>
          </cell>
        </row>
        <row r="239">
          <cell r="E239">
            <v>50544</v>
          </cell>
          <cell r="F239" t="str">
            <v>Lê Văn Cảnh</v>
          </cell>
          <cell r="G239">
            <v>34927</v>
          </cell>
          <cell r="H239">
            <v>26</v>
          </cell>
          <cell r="I239" t="str">
            <v>x</v>
          </cell>
          <cell r="K239" t="str">
            <v>038095012769</v>
          </cell>
          <cell r="L239">
            <v>43656</v>
          </cell>
          <cell r="M239" t="str">
            <v>Cục quản lý dân cư</v>
          </cell>
          <cell r="N239" t="str">
            <v>Kinh</v>
          </cell>
          <cell r="O239" t="str">
            <v>Không</v>
          </cell>
          <cell r="P239" t="str">
            <v>Việt Nam</v>
          </cell>
          <cell r="S239" t="str">
            <v>Xã Dân Quyền, huyện Triệu Sơn, tỉnh Thanh Hoá</v>
          </cell>
          <cell r="T239" t="str">
            <v>Xã Dân Quyền, huyện Triệu Sơn, tỉnh Thanh Hoá</v>
          </cell>
          <cell r="U239" t="str">
            <v>Xóm 1, xã Dân Quyền, huyện Triệu Sơn, tỉnh Thanh Hoá</v>
          </cell>
          <cell r="V239" t="str">
            <v>0328877430</v>
          </cell>
          <cell r="W239">
            <v>4921407957</v>
          </cell>
          <cell r="AE239">
            <v>44455</v>
          </cell>
          <cell r="AF239" t="str">
            <v>0 năm 5 tháng 18 ngày</v>
          </cell>
          <cell r="AH239">
            <v>44501</v>
          </cell>
          <cell r="AK239" t="str">
            <v>Công nhân cắt công nghiệp</v>
          </cell>
          <cell r="AO239">
            <v>3470000</v>
          </cell>
        </row>
        <row r="240">
          <cell r="E240">
            <v>50547</v>
          </cell>
          <cell r="F240" t="str">
            <v>Đỗ Ngọc Trung</v>
          </cell>
          <cell r="G240">
            <v>30748</v>
          </cell>
          <cell r="H240">
            <v>37</v>
          </cell>
          <cell r="U240" t="str">
            <v>Xã Quảng Hợp -Huyện Quảng Xương -Tỉnh Thanh Hoá</v>
          </cell>
          <cell r="V240" t="str">
            <v>0943917535</v>
          </cell>
          <cell r="W240">
            <v>3810026218</v>
          </cell>
          <cell r="AE240">
            <v>44455</v>
          </cell>
          <cell r="AF240" t="str">
            <v>0 năm 5 tháng 18 ngày</v>
          </cell>
          <cell r="AH240">
            <v>44501</v>
          </cell>
          <cell r="AK240" t="str">
            <v>Nhân viên lái xe</v>
          </cell>
          <cell r="AO240">
            <v>3470000</v>
          </cell>
        </row>
        <row r="241">
          <cell r="E241">
            <v>50549</v>
          </cell>
          <cell r="F241" t="str">
            <v>Lê Văn Hùng</v>
          </cell>
          <cell r="G241">
            <v>37502</v>
          </cell>
          <cell r="H241">
            <v>19</v>
          </cell>
          <cell r="K241" t="str">
            <v>038202022780</v>
          </cell>
          <cell r="L241">
            <v>44474</v>
          </cell>
          <cell r="M241" t="str">
            <v>Cục quản lý dân cư</v>
          </cell>
          <cell r="N241" t="str">
            <v>Kinh</v>
          </cell>
          <cell r="O241" t="str">
            <v>Không</v>
          </cell>
          <cell r="P241" t="str">
            <v>Việt Nam</v>
          </cell>
          <cell r="Q241" t="str">
            <v>11/12</v>
          </cell>
          <cell r="S241" t="str">
            <v>Xã Dân Lực, huyện Triệu Sơn, tỉnh Thanh Hoá</v>
          </cell>
          <cell r="T241" t="str">
            <v>Xã Dân Lực, huyện Triệu Sơn, tỉnh Thanh Hoá</v>
          </cell>
          <cell r="U241" t="str">
            <v>Thôn Đô Xá, xã Dân Lực, huyện Triệu Sơn, tỉnh Thanh Hoá</v>
          </cell>
          <cell r="V241" t="str">
            <v>0329817162</v>
          </cell>
          <cell r="AE241">
            <v>44459</v>
          </cell>
          <cell r="AO241">
            <v>3285000</v>
          </cell>
        </row>
        <row r="242">
          <cell r="E242">
            <v>50550</v>
          </cell>
          <cell r="F242" t="str">
            <v>Hoàng Thị Ngân</v>
          </cell>
          <cell r="G242">
            <v>33064</v>
          </cell>
          <cell r="H242">
            <v>31</v>
          </cell>
          <cell r="J242" t="str">
            <v>x</v>
          </cell>
          <cell r="K242" t="str">
            <v>038190000604</v>
          </cell>
          <cell r="L242">
            <v>42616</v>
          </cell>
          <cell r="M242" t="str">
            <v>Cục quản lý dân cư</v>
          </cell>
          <cell r="N242" t="str">
            <v>Kinh</v>
          </cell>
          <cell r="O242" t="str">
            <v>Không</v>
          </cell>
          <cell r="P242" t="str">
            <v>Việt Nam</v>
          </cell>
          <cell r="Q242" t="str">
            <v>9/12</v>
          </cell>
          <cell r="S242" t="str">
            <v>Xã Dân Lực, huyện Triệu Sơn, tỉnh Thanh Hoá</v>
          </cell>
          <cell r="T242" t="str">
            <v>Xã Dân Lực, huyện Triệu Sơn, tỉnh Thanh Hoá</v>
          </cell>
          <cell r="U242" t="str">
            <v>Thôn Đô Trang, xã Dân Lực, huyện Triệu Sơn, tỉnh Thanh Hoá</v>
          </cell>
          <cell r="V242" t="str">
            <v>0987597808</v>
          </cell>
          <cell r="W242" t="str">
            <v>3816047125</v>
          </cell>
          <cell r="AD242" t="str">
            <v>107873938101</v>
          </cell>
          <cell r="AE242">
            <v>44459</v>
          </cell>
          <cell r="AH242">
            <v>44531</v>
          </cell>
          <cell r="AK242" t="str">
            <v>Công nhân vận hành máy may công nghiệp</v>
          </cell>
          <cell r="AO242">
            <v>3470000</v>
          </cell>
        </row>
        <row r="243">
          <cell r="E243">
            <v>50551</v>
          </cell>
          <cell r="F243" t="str">
            <v>Hồ Thị Tươi</v>
          </cell>
          <cell r="G243">
            <v>31356</v>
          </cell>
          <cell r="H243">
            <v>36</v>
          </cell>
          <cell r="J243" t="str">
            <v>x</v>
          </cell>
          <cell r="K243">
            <v>172320894</v>
          </cell>
          <cell r="L243" t="str">
            <v>20/08/2015</v>
          </cell>
          <cell r="M243" t="str">
            <v>Công an Thanh Hoá</v>
          </cell>
          <cell r="N243" t="str">
            <v>Kinh</v>
          </cell>
          <cell r="O243" t="str">
            <v>Không</v>
          </cell>
          <cell r="P243" t="str">
            <v>Việt Nam</v>
          </cell>
          <cell r="Q243" t="str">
            <v>7/12</v>
          </cell>
          <cell r="S243" t="str">
            <v>Xã Thọ Thế, huyện Triệu Sơn, tỉnh Thanh Hoá</v>
          </cell>
          <cell r="T243" t="str">
            <v>Xã Thọ Thế, huyện Triệu Sơn, tỉnh Thanh Hoá</v>
          </cell>
          <cell r="U243" t="str">
            <v>Thôn 6, xã Thọ Thế, huyện Triệu Sơn, tỉnh Thanh Hoá</v>
          </cell>
          <cell r="V243" t="str">
            <v>0334535828</v>
          </cell>
          <cell r="W243">
            <v>3823984893</v>
          </cell>
          <cell r="AE243">
            <v>44459</v>
          </cell>
          <cell r="AF243" t="str">
            <v>0 năm 5 tháng 14 ngày</v>
          </cell>
          <cell r="AH243">
            <v>44501</v>
          </cell>
          <cell r="AK243" t="str">
            <v>Công nhân vận hành máy may công nghiệp</v>
          </cell>
          <cell r="AO243">
            <v>3470000</v>
          </cell>
        </row>
        <row r="244">
          <cell r="E244">
            <v>50556</v>
          </cell>
          <cell r="F244" t="str">
            <v>Nguyễn Thị Hằng Nga</v>
          </cell>
          <cell r="G244">
            <v>36267</v>
          </cell>
          <cell r="H244">
            <v>22</v>
          </cell>
          <cell r="J244" t="str">
            <v>x</v>
          </cell>
          <cell r="K244" t="str">
            <v>022199005877</v>
          </cell>
          <cell r="L244" t="str">
            <v>21/01/2021</v>
          </cell>
          <cell r="M244" t="str">
            <v>Cục quản lý dân cư</v>
          </cell>
          <cell r="N244" t="str">
            <v>Kinh</v>
          </cell>
          <cell r="O244" t="str">
            <v>Không</v>
          </cell>
          <cell r="P244" t="str">
            <v>Việt Nam</v>
          </cell>
          <cell r="Q244" t="str">
            <v>12/12</v>
          </cell>
          <cell r="S244" t="str">
            <v>Thống Nhất, Hạ Long, Quảng Ninh</v>
          </cell>
          <cell r="T244" t="str">
            <v>Xã Thống Nhất, huyện Hoành Bồ, tỉnh Quảng Ninh</v>
          </cell>
          <cell r="U244" t="str">
            <v>Thôn 2, xã Minh Sơn, huyện Triệu Sơn, tỉnh Thanh Hoá</v>
          </cell>
          <cell r="V244" t="str">
            <v>0354710675</v>
          </cell>
          <cell r="W244">
            <v>2220837893</v>
          </cell>
          <cell r="AD244" t="str">
            <v>103873938105</v>
          </cell>
          <cell r="AE244">
            <v>44459</v>
          </cell>
          <cell r="AH244">
            <v>44501</v>
          </cell>
          <cell r="AK244" t="str">
            <v>Công nhân vận hành máy may công nghiệp</v>
          </cell>
          <cell r="AO244">
            <v>3470000</v>
          </cell>
        </row>
        <row r="245">
          <cell r="E245">
            <v>50559</v>
          </cell>
          <cell r="F245" t="str">
            <v>Phạm Khắc Tiến</v>
          </cell>
          <cell r="G245">
            <v>37432</v>
          </cell>
          <cell r="H245">
            <v>19</v>
          </cell>
          <cell r="I245" t="str">
            <v>x</v>
          </cell>
          <cell r="K245" t="str">
            <v>038202006104</v>
          </cell>
          <cell r="L245" t="str">
            <v>28/06/2018</v>
          </cell>
          <cell r="M245" t="str">
            <v>Cục quản lý dân cư</v>
          </cell>
          <cell r="N245" t="str">
            <v>Kinh</v>
          </cell>
          <cell r="O245" t="str">
            <v>Không</v>
          </cell>
          <cell r="P245" t="str">
            <v>Việt Nam</v>
          </cell>
          <cell r="Q245" t="str">
            <v>12/12</v>
          </cell>
          <cell r="S245" t="str">
            <v>Xã Dân Quyền, huyện Triệu Sơn, tỉnh Thanh Hoá</v>
          </cell>
          <cell r="T245" t="str">
            <v>Xã Dân Quyền, huyện Triệu Sơn, tỉnh Thanh Hoá</v>
          </cell>
          <cell r="U245" t="str">
            <v>Thôn 4, xã Dân Quyền, huyện Triệu Sơn, tỉnh Thanh Hoá</v>
          </cell>
          <cell r="V245" t="str">
            <v>0869876700</v>
          </cell>
          <cell r="AD245" t="str">
            <v>100873938108</v>
          </cell>
          <cell r="AE245">
            <v>44459</v>
          </cell>
        </row>
        <row r="246">
          <cell r="E246">
            <v>50562</v>
          </cell>
          <cell r="F246" t="str">
            <v>Hoàng Trung Hiếu</v>
          </cell>
          <cell r="G246">
            <v>37836</v>
          </cell>
          <cell r="H246">
            <v>18</v>
          </cell>
          <cell r="I246" t="str">
            <v>x</v>
          </cell>
          <cell r="K246" t="str">
            <v>038203012271</v>
          </cell>
          <cell r="L246">
            <v>44106</v>
          </cell>
          <cell r="M246" t="str">
            <v>Cục quản lý dân cư</v>
          </cell>
          <cell r="N246" t="str">
            <v>Kinh</v>
          </cell>
          <cell r="O246" t="str">
            <v>Không</v>
          </cell>
          <cell r="P246" t="str">
            <v>Việt Nam</v>
          </cell>
          <cell r="Q246" t="str">
            <v>12/12</v>
          </cell>
          <cell r="S246" t="str">
            <v>Xã Thọ Thế, huyện Triệu Sơn, tỉnh Thanh Hoá</v>
          </cell>
          <cell r="T246" t="str">
            <v>Xã Thọ Thế, huyện Triệu Sơn, tỉnh Thanh Hoá</v>
          </cell>
          <cell r="U246" t="str">
            <v>Thôn 3, xã Thọ Thế, huyện Triệu Sơn, tỉnh Thanh Hoá</v>
          </cell>
          <cell r="V246" t="str">
            <v>0328934977</v>
          </cell>
          <cell r="AD246" t="str">
            <v>101873938110</v>
          </cell>
          <cell r="AE246">
            <v>44459</v>
          </cell>
          <cell r="AO246">
            <v>3285000</v>
          </cell>
        </row>
        <row r="247">
          <cell r="E247">
            <v>50564</v>
          </cell>
          <cell r="F247" t="str">
            <v>Trần Thị Linh</v>
          </cell>
          <cell r="G247" t="str">
            <v>18/04/2000</v>
          </cell>
          <cell r="H247" t="e">
            <v>#VALUE!</v>
          </cell>
          <cell r="J247" t="str">
            <v>x</v>
          </cell>
          <cell r="K247" t="str">
            <v>038300018801</v>
          </cell>
          <cell r="L247">
            <v>44508</v>
          </cell>
          <cell r="M247" t="str">
            <v>Cục quản lý dân cư</v>
          </cell>
          <cell r="N247" t="str">
            <v>Kinh</v>
          </cell>
          <cell r="O247" t="str">
            <v>Không</v>
          </cell>
          <cell r="P247" t="str">
            <v>Việt Nam</v>
          </cell>
          <cell r="Q247" t="str">
            <v>12/12</v>
          </cell>
          <cell r="S247" t="str">
            <v>Xã Thiệu Hoà, huyện Thiệu Hoá, tỉnh Thanh Hoá</v>
          </cell>
          <cell r="T247" t="str">
            <v>Xã Thiệu Hoà, huyện Thiệu Hoá, tỉnh Thanh Hoá</v>
          </cell>
          <cell r="U247" t="str">
            <v>Xã Thiệu Hoà, huyện Thiệu Hoá, tỉnh Thanh Hoá</v>
          </cell>
          <cell r="V247" t="str">
            <v>0377888103</v>
          </cell>
          <cell r="W247">
            <v>3822137062</v>
          </cell>
          <cell r="AE247">
            <v>44461</v>
          </cell>
          <cell r="AH247">
            <v>44501</v>
          </cell>
          <cell r="AO247">
            <v>3470000</v>
          </cell>
        </row>
        <row r="248">
          <cell r="E248">
            <v>50565</v>
          </cell>
          <cell r="F248" t="str">
            <v>Đào Thị Nga</v>
          </cell>
          <cell r="G248" t="str">
            <v>17/11/2002</v>
          </cell>
          <cell r="H248" t="e">
            <v>#VALUE!</v>
          </cell>
          <cell r="J248" t="str">
            <v>x</v>
          </cell>
          <cell r="K248" t="str">
            <v>038302021267</v>
          </cell>
          <cell r="L248">
            <v>44107</v>
          </cell>
          <cell r="M248" t="str">
            <v>Cục quản lý dân cư</v>
          </cell>
          <cell r="N248" t="str">
            <v>Kinh</v>
          </cell>
          <cell r="O248" t="str">
            <v>Không</v>
          </cell>
          <cell r="P248" t="str">
            <v>Việt Nam</v>
          </cell>
          <cell r="Q248" t="str">
            <v>12/12</v>
          </cell>
          <cell r="S248" t="str">
            <v>Xã Dân Lý, huyện Triệu Sơn, tỉnh Thanh Hoá</v>
          </cell>
          <cell r="T248" t="str">
            <v>Xã Dân Lý, huyện Triệu Sơn, tỉnh Thanh Hoá</v>
          </cell>
          <cell r="U248" t="str">
            <v>Thôn 2, xã Dân Lý, huyện Triệu Sơn, tỉnh Thanh Hoá</v>
          </cell>
          <cell r="V248" t="str">
            <v>0374218653</v>
          </cell>
          <cell r="W248">
            <v>3821936678</v>
          </cell>
          <cell r="AD248" t="str">
            <v>108874050453</v>
          </cell>
          <cell r="AE248">
            <v>44466</v>
          </cell>
          <cell r="AH248">
            <v>44501</v>
          </cell>
          <cell r="AK248" t="str">
            <v>Công nhân vận hành máy may công nghiệp</v>
          </cell>
          <cell r="AO248">
            <v>3470000</v>
          </cell>
        </row>
        <row r="249">
          <cell r="E249">
            <v>50568</v>
          </cell>
          <cell r="F249" t="str">
            <v>Mai Thị Linh</v>
          </cell>
          <cell r="G249" t="str">
            <v>26/03/2003</v>
          </cell>
          <cell r="H249" t="e">
            <v>#VALUE!</v>
          </cell>
          <cell r="J249" t="str">
            <v>x</v>
          </cell>
          <cell r="K249" t="str">
            <v>038303025260</v>
          </cell>
          <cell r="L249">
            <v>44413</v>
          </cell>
          <cell r="M249" t="str">
            <v>Cục quản lý dân cư</v>
          </cell>
          <cell r="N249" t="str">
            <v>Kinh</v>
          </cell>
          <cell r="O249" t="str">
            <v>Không</v>
          </cell>
          <cell r="P249" t="str">
            <v>Việt Nam</v>
          </cell>
          <cell r="Q249" t="str">
            <v>12/12</v>
          </cell>
          <cell r="S249" t="str">
            <v>Xã Dân Quyền, huyện Triệu sơn, tỉnh Thanh Hoá</v>
          </cell>
          <cell r="T249" t="str">
            <v>Xã Dân Quyền, huyện Triệu sơn, tỉnh Thanh Hoá</v>
          </cell>
          <cell r="U249" t="str">
            <v>Thôn 5, Xã Dân Lý, huyện Triệu Sơn, tỉnh Thanh Hóa</v>
          </cell>
          <cell r="V249" t="str">
            <v>0969472576</v>
          </cell>
          <cell r="W249">
            <v>3824230417</v>
          </cell>
          <cell r="AD249" t="str">
            <v>106874050455</v>
          </cell>
          <cell r="AE249">
            <v>44466</v>
          </cell>
          <cell r="AH249">
            <v>44501</v>
          </cell>
          <cell r="AK249" t="str">
            <v>Công nhân vận hành máy may công nghiệp</v>
          </cell>
          <cell r="AO249">
            <v>3470000</v>
          </cell>
        </row>
        <row r="250">
          <cell r="E250">
            <v>50569</v>
          </cell>
          <cell r="F250" t="str">
            <v>Nguyễn Thị Linh</v>
          </cell>
          <cell r="G250">
            <v>35439</v>
          </cell>
          <cell r="H250">
            <v>25</v>
          </cell>
          <cell r="J250" t="str">
            <v>x</v>
          </cell>
          <cell r="K250">
            <v>175002766</v>
          </cell>
          <cell r="L250" t="str">
            <v>25/06/2015</v>
          </cell>
          <cell r="M250" t="str">
            <v>Công an Thanh Hoá</v>
          </cell>
          <cell r="N250" t="str">
            <v>Kinh</v>
          </cell>
          <cell r="O250" t="str">
            <v>Không</v>
          </cell>
          <cell r="P250" t="str">
            <v>Việt Nam</v>
          </cell>
          <cell r="Q250" t="str">
            <v>12/12</v>
          </cell>
          <cell r="S250" t="str">
            <v>Xã Dân Quyèn, huyện Triệu Sơn, tỉnh Thanh Hoá</v>
          </cell>
          <cell r="T250" t="str">
            <v>Xã Dân Quyèn, huyện Triệu Sơn, tỉnh Thanh Hoá</v>
          </cell>
          <cell r="U250" t="str">
            <v>Thôn 4, xã Dân Quyèn, huyện Triệu Sơn, tỉnh Thanh Hoá</v>
          </cell>
          <cell r="V250" t="str">
            <v>0395975597</v>
          </cell>
          <cell r="W250">
            <v>3816046907</v>
          </cell>
          <cell r="AD250" t="str">
            <v>100874050463</v>
          </cell>
          <cell r="AE250">
            <v>44466</v>
          </cell>
          <cell r="AH250">
            <v>44501</v>
          </cell>
          <cell r="AK250" t="str">
            <v>Công nhân vận hành máy may công nghiệp</v>
          </cell>
          <cell r="AO250">
            <v>3470000</v>
          </cell>
        </row>
        <row r="251">
          <cell r="E251">
            <v>50570</v>
          </cell>
          <cell r="F251" t="str">
            <v>Nguyễn Văn Tú</v>
          </cell>
          <cell r="G251">
            <v>35372</v>
          </cell>
          <cell r="H251">
            <v>25</v>
          </cell>
          <cell r="I251" t="str">
            <v>x</v>
          </cell>
          <cell r="K251" t="str">
            <v>038096008995</v>
          </cell>
          <cell r="L251">
            <v>43500</v>
          </cell>
          <cell r="M251" t="str">
            <v>Cục quản lý dân cư</v>
          </cell>
          <cell r="N251" t="str">
            <v>Kinh</v>
          </cell>
          <cell r="O251" t="str">
            <v>Không</v>
          </cell>
          <cell r="P251" t="str">
            <v>Việt Nam</v>
          </cell>
          <cell r="Q251" t="str">
            <v>12/12</v>
          </cell>
          <cell r="S251" t="str">
            <v>Xã Thọ Vực, huyện Triệu Sơn, tỉnh Thanh Hoá</v>
          </cell>
          <cell r="T251" t="str">
            <v>Xã Thọ Vực, huyện Triệu Sơn, tỉnh Thanh Hoá</v>
          </cell>
          <cell r="U251" t="str">
            <v>Thôn 5, xã Thọ Vực, huyện Triệu Sơn, tỉnh Thanh Hoá</v>
          </cell>
          <cell r="V251" t="str">
            <v>0978908626</v>
          </cell>
          <cell r="W251">
            <v>3822024705</v>
          </cell>
          <cell r="AD251" t="str">
            <v>103874050460</v>
          </cell>
          <cell r="AE251">
            <v>44466</v>
          </cell>
          <cell r="AH251">
            <v>44501</v>
          </cell>
          <cell r="AK251" t="str">
            <v>Công nhân vận hành máy may công nghiệp</v>
          </cell>
          <cell r="AO251">
            <v>3470000</v>
          </cell>
        </row>
        <row r="252">
          <cell r="E252">
            <v>50576</v>
          </cell>
          <cell r="F252" t="str">
            <v>Lê Thị Hạnh</v>
          </cell>
          <cell r="G252" t="str">
            <v>16/03/1999</v>
          </cell>
          <cell r="H252" t="e">
            <v>#VALUE!</v>
          </cell>
          <cell r="J252" t="str">
            <v>x</v>
          </cell>
          <cell r="K252" t="str">
            <v>064199000074</v>
          </cell>
          <cell r="L252">
            <v>43625</v>
          </cell>
          <cell r="M252" t="str">
            <v>Cục quản lý dân cư</v>
          </cell>
          <cell r="N252" t="str">
            <v>Kinh</v>
          </cell>
          <cell r="O252" t="str">
            <v>Không</v>
          </cell>
          <cell r="P252" t="str">
            <v>Việt Nam</v>
          </cell>
          <cell r="Q252" t="str">
            <v>12/12</v>
          </cell>
          <cell r="S252" t="str">
            <v>Xã Minh Dân, huyện Triệu Sơn, tỉnh Thanh Hoá</v>
          </cell>
          <cell r="T252" t="str">
            <v>Xã Ia krêl, huyện Đức Cơ, tỉnh Gia Lai</v>
          </cell>
          <cell r="U252" t="str">
            <v>Phố Tân Tiến, Thị Trấn Triệu Sơn, huyện Triệu Sơn, tinh Thanh Hoá</v>
          </cell>
          <cell r="V252" t="str">
            <v>0387679729</v>
          </cell>
          <cell r="AD252" t="str">
            <v>103874050458</v>
          </cell>
          <cell r="AE252">
            <v>44466</v>
          </cell>
        </row>
        <row r="253">
          <cell r="E253">
            <v>50577</v>
          </cell>
          <cell r="F253" t="str">
            <v>Đào Thị Hà</v>
          </cell>
          <cell r="G253">
            <v>37105</v>
          </cell>
          <cell r="H253">
            <v>20</v>
          </cell>
          <cell r="J253" t="str">
            <v>x</v>
          </cell>
          <cell r="K253" t="str">
            <v>038301016274</v>
          </cell>
          <cell r="L253" t="str">
            <v>26/05/2020</v>
          </cell>
          <cell r="M253" t="str">
            <v>Cục quản lý dân cư</v>
          </cell>
          <cell r="N253" t="str">
            <v>Kinh</v>
          </cell>
          <cell r="O253" t="str">
            <v>Không</v>
          </cell>
          <cell r="P253" t="str">
            <v>Việt Nam</v>
          </cell>
          <cell r="Q253" t="str">
            <v>12/12</v>
          </cell>
          <cell r="S253" t="str">
            <v>Xã Dân Lý, huyện Triệu Sơn, tỉnh Thanh Hoá</v>
          </cell>
          <cell r="T253" t="str">
            <v>Xã Dân Lý, huyện Triệu Sơn, tỉnh Thanh Hoá</v>
          </cell>
          <cell r="U253" t="str">
            <v>Thôn 2, xã Dân Lý, huyện Triệu Sơn, tỉnh Thanh Hoá</v>
          </cell>
          <cell r="V253" t="str">
            <v>0359140629</v>
          </cell>
          <cell r="W253">
            <v>3821986743</v>
          </cell>
          <cell r="AE253">
            <v>44466</v>
          </cell>
          <cell r="AH253">
            <v>44501</v>
          </cell>
          <cell r="AK253" t="str">
            <v>Công nhân vận hành máy may công nghiệp</v>
          </cell>
          <cell r="AO253">
            <v>3470000</v>
          </cell>
        </row>
        <row r="254">
          <cell r="E254">
            <v>50579</v>
          </cell>
          <cell r="F254" t="str">
            <v>Trịnh Văn Tiên</v>
          </cell>
          <cell r="G254">
            <v>36562</v>
          </cell>
          <cell r="H254">
            <v>22</v>
          </cell>
          <cell r="I254" t="str">
            <v>x</v>
          </cell>
          <cell r="K254" t="str">
            <v>038200011629</v>
          </cell>
          <cell r="L254" t="str">
            <v>18/04/2021</v>
          </cell>
          <cell r="M254" t="str">
            <v>Cục quản lý dân cư</v>
          </cell>
          <cell r="N254" t="str">
            <v>Kinh</v>
          </cell>
          <cell r="O254" t="str">
            <v>Không</v>
          </cell>
          <cell r="P254" t="str">
            <v>Việt Nam</v>
          </cell>
          <cell r="Q254" t="str">
            <v>12/12</v>
          </cell>
          <cell r="S254" t="str">
            <v>Xã Minh Sơn, huyện Triệu Sơn, tỉnh Thanh Hoá</v>
          </cell>
          <cell r="T254" t="str">
            <v>Xã Minh Sơn, huyện Triệu Sơn, tỉnh Thanh Hoá</v>
          </cell>
          <cell r="U254" t="str">
            <v>Thôn 4, xã Minh Sơn, huyện Triệu Sơn, tỉnh Thanh Hoá</v>
          </cell>
          <cell r="V254" t="str">
            <v>0399403049</v>
          </cell>
          <cell r="W254">
            <v>3821892698</v>
          </cell>
          <cell r="AE254">
            <v>44466</v>
          </cell>
          <cell r="AH254">
            <v>44531</v>
          </cell>
          <cell r="AK254" t="str">
            <v>Công nhân vận hành máy may công nghiệp</v>
          </cell>
          <cell r="AO254">
            <v>3470000</v>
          </cell>
        </row>
        <row r="255">
          <cell r="E255">
            <v>50581</v>
          </cell>
          <cell r="F255" t="str">
            <v>Vi Thị Yến</v>
          </cell>
          <cell r="G255">
            <v>31940</v>
          </cell>
          <cell r="H255">
            <v>34</v>
          </cell>
          <cell r="J255" t="str">
            <v>x</v>
          </cell>
          <cell r="K255" t="str">
            <v>038187049430</v>
          </cell>
          <cell r="L255">
            <v>44508</v>
          </cell>
          <cell r="M255" t="str">
            <v>Cục Quản Lý dân cư</v>
          </cell>
          <cell r="N255" t="str">
            <v>Kinh</v>
          </cell>
          <cell r="O255" t="str">
            <v>Không</v>
          </cell>
          <cell r="P255" t="str">
            <v>Việt Nam</v>
          </cell>
          <cell r="Q255" t="str">
            <v>9/12</v>
          </cell>
          <cell r="S255" t="str">
            <v>Xã Trung hạ, huyện Quan Sơn, tỉnh Thanh Hoá</v>
          </cell>
          <cell r="T255" t="str">
            <v>Xã Trung hạ, huyện Quan Sơn, tỉnh Thanh Hoá</v>
          </cell>
          <cell r="U255" t="str">
            <v>Thôn Đô Trang, xã Dân Lực, huyện Triệu Sơn, tỉnh Thanh Hoá</v>
          </cell>
          <cell r="V255" t="str">
            <v>0342932133</v>
          </cell>
          <cell r="W255">
            <v>3813002657</v>
          </cell>
          <cell r="AD255">
            <v>104874470829</v>
          </cell>
          <cell r="AE255">
            <v>44469</v>
          </cell>
          <cell r="AH255">
            <v>44501</v>
          </cell>
          <cell r="AK255" t="str">
            <v>Công nhân vận hành máy may công nghiệp</v>
          </cell>
          <cell r="AO255">
            <v>3470000</v>
          </cell>
        </row>
        <row r="256">
          <cell r="E256">
            <v>50582</v>
          </cell>
          <cell r="F256" t="str">
            <v>Lê Thị Út</v>
          </cell>
          <cell r="G256">
            <v>36568</v>
          </cell>
          <cell r="H256">
            <v>22</v>
          </cell>
          <cell r="U256" t="str">
            <v>Xã Vân Sơn - Huyện Triệu Sơn -Tỉnh Thanh Hoá</v>
          </cell>
          <cell r="V256" t="str">
            <v>0967848654</v>
          </cell>
          <cell r="AD256" t="str">
            <v>106874998145</v>
          </cell>
          <cell r="AE256">
            <v>44517</v>
          </cell>
          <cell r="AO256">
            <v>3285000</v>
          </cell>
        </row>
        <row r="257">
          <cell r="E257">
            <v>50584</v>
          </cell>
          <cell r="F257" t="str">
            <v>Lê Bá Minh</v>
          </cell>
          <cell r="G257">
            <v>35265</v>
          </cell>
          <cell r="H257">
            <v>25</v>
          </cell>
          <cell r="I257" t="str">
            <v>x</v>
          </cell>
          <cell r="K257" t="str">
            <v>174790236</v>
          </cell>
          <cell r="L257">
            <v>41293</v>
          </cell>
          <cell r="M257" t="str">
            <v>Cục Quản Lý dân cư</v>
          </cell>
          <cell r="O257" t="str">
            <v>Không</v>
          </cell>
          <cell r="S257" t="str">
            <v>Xã Hợp Thắng, huyện Triệu Sơn, tỉnh Thanh Hóa</v>
          </cell>
          <cell r="T257" t="str">
            <v>Xã Hợp Thắng, huyện Triệu Sơn, tỉnh Thanh Hóa</v>
          </cell>
          <cell r="U257" t="str">
            <v>Thôn 4, Xã Hợp Thắng, huyện Triệu Sơn, tỉnh Thanh Hóa</v>
          </cell>
          <cell r="V257" t="str">
            <v>0941934559</v>
          </cell>
          <cell r="W257" t="str">
            <v>3823664053</v>
          </cell>
          <cell r="AC257" t="str">
            <v>0781000487243</v>
          </cell>
          <cell r="AD257">
            <v>104867782741</v>
          </cell>
          <cell r="AE257">
            <v>44470</v>
          </cell>
          <cell r="AH257">
            <v>44470</v>
          </cell>
          <cell r="AK257" t="str">
            <v>Nhân viên kế hoạch</v>
          </cell>
          <cell r="AO257">
            <v>3470000</v>
          </cell>
        </row>
        <row r="258">
          <cell r="E258">
            <v>50585</v>
          </cell>
          <cell r="F258" t="str">
            <v>Lê Thị Lan</v>
          </cell>
          <cell r="G258">
            <v>32923</v>
          </cell>
          <cell r="H258">
            <v>32</v>
          </cell>
          <cell r="J258" t="str">
            <v>x</v>
          </cell>
          <cell r="K258" t="str">
            <v>038190013751</v>
          </cell>
          <cell r="L258">
            <v>43644</v>
          </cell>
          <cell r="M258" t="str">
            <v>Cục quản lý dân cư</v>
          </cell>
          <cell r="O258" t="str">
            <v>Không</v>
          </cell>
          <cell r="P258" t="str">
            <v>Việt Nam</v>
          </cell>
          <cell r="S258" t="str">
            <v>Xã Xuân Lộc, huyện Triệu Sơn, tỉnh Thanh Hóa</v>
          </cell>
          <cell r="T258" t="str">
            <v>Xã Xuân Lộc, huyện Triệu Sơn, tỉnh Thanh Hóa</v>
          </cell>
          <cell r="U258" t="str">
            <v>Thôn Hậu Ánh, xã Công Liêm, huyện Nông Cống, tỉnh Thanh Hoá</v>
          </cell>
          <cell r="V258" t="str">
            <v>0349778391</v>
          </cell>
          <cell r="W258">
            <v>3816047028</v>
          </cell>
          <cell r="AE258">
            <v>44470</v>
          </cell>
          <cell r="AH258">
            <v>44531</v>
          </cell>
          <cell r="AK258" t="str">
            <v>Nhân viên lao động tiền lương</v>
          </cell>
          <cell r="AO258">
            <v>3470000</v>
          </cell>
        </row>
        <row r="259">
          <cell r="E259">
            <v>50586</v>
          </cell>
          <cell r="F259" t="str">
            <v>Cao Việt Hưng</v>
          </cell>
          <cell r="G259">
            <v>36395</v>
          </cell>
          <cell r="H259">
            <v>22</v>
          </cell>
          <cell r="K259" t="str">
            <v>038099003852</v>
          </cell>
          <cell r="L259" t="str">
            <v>23/09/2016</v>
          </cell>
          <cell r="M259" t="str">
            <v>Cục quản lý dân cư</v>
          </cell>
          <cell r="N259" t="str">
            <v>Kinh</v>
          </cell>
          <cell r="O259" t="str">
            <v>Không</v>
          </cell>
          <cell r="P259" t="str">
            <v>Việt Nam</v>
          </cell>
          <cell r="Q259" t="str">
            <v>12/12</v>
          </cell>
          <cell r="S259" t="str">
            <v>Xã Quảng Tân, huyện Quảng Xương, Tỉnh Thanh Hóa</v>
          </cell>
          <cell r="T259" t="str">
            <v>Xã Quảng Trạch, huyện Quảng Xương, Tỉnh Thanh Hóa</v>
          </cell>
          <cell r="U259" t="str">
            <v>Xã Quảng Trạch, huyện Quảng Xương, Tỉnh Thanh Hóa</v>
          </cell>
          <cell r="V259" t="str">
            <v>0912484990</v>
          </cell>
          <cell r="W259" t="str">
            <v>3823193508</v>
          </cell>
          <cell r="AE259">
            <v>44471</v>
          </cell>
          <cell r="AH259">
            <v>44501</v>
          </cell>
          <cell r="AO259">
            <v>3470000</v>
          </cell>
        </row>
        <row r="260">
          <cell r="E260">
            <v>50587</v>
          </cell>
          <cell r="F260" t="str">
            <v>Lê Hoài Sơn</v>
          </cell>
          <cell r="G260">
            <v>32309</v>
          </cell>
          <cell r="H260">
            <v>33</v>
          </cell>
          <cell r="K260">
            <v>172863590</v>
          </cell>
          <cell r="L260">
            <v>39459</v>
          </cell>
          <cell r="M260" t="str">
            <v>Cục quản lý dân cư</v>
          </cell>
          <cell r="S260" t="str">
            <v>Xã Quảng Hợp, huyện Quảng Xương, Tỉnh Thanh Hóa</v>
          </cell>
          <cell r="T260" t="str">
            <v>Xã Quảng Hợp, huyện Quảng Xương, Tỉnh Thanh Hóa</v>
          </cell>
          <cell r="U260" t="str">
            <v>Thôn Hợp Linh, xã Quảng Hợp, huyện Quảng Xương, Tỉnh Thanh Hóa</v>
          </cell>
          <cell r="W260" t="str">
            <v>3813015577</v>
          </cell>
          <cell r="AC260" t="str">
            <v>0781000399363</v>
          </cell>
          <cell r="AD260">
            <v>104870145488</v>
          </cell>
          <cell r="AE260">
            <v>44473</v>
          </cell>
          <cell r="AH260">
            <v>44501</v>
          </cell>
          <cell r="AO260">
            <v>3470000</v>
          </cell>
        </row>
        <row r="261">
          <cell r="E261">
            <v>50592</v>
          </cell>
          <cell r="F261" t="str">
            <v>Dương Bá Tuấn</v>
          </cell>
          <cell r="G261" t="str">
            <v>15/06/1990</v>
          </cell>
          <cell r="H261" t="e">
            <v>#VALUE!</v>
          </cell>
          <cell r="I261" t="str">
            <v>x</v>
          </cell>
          <cell r="K261" t="str">
            <v>173521469</v>
          </cell>
          <cell r="L261" t="str">
            <v>21/11/2015</v>
          </cell>
          <cell r="M261" t="str">
            <v>Cục quản lý dân cư</v>
          </cell>
          <cell r="N261" t="str">
            <v>Kinh</v>
          </cell>
          <cell r="O261" t="str">
            <v>Không</v>
          </cell>
          <cell r="P261" t="str">
            <v>Việt Nam</v>
          </cell>
          <cell r="Q261" t="str">
            <v>9/12</v>
          </cell>
          <cell r="S261" t="str">
            <v>Xã Thọ Vực, huyện Triệu Sơn, tỉnh Thanh Hoá</v>
          </cell>
          <cell r="T261" t="str">
            <v>Xã Thọ Vực, huyện Triệu Sơn, tỉnh Thanh Hoá</v>
          </cell>
          <cell r="U261" t="str">
            <v>Xã Thọ Vực, huyện Triệu Sơn, tỉnh Thanh Hoá</v>
          </cell>
          <cell r="V261" t="str">
            <v>0824632482</v>
          </cell>
          <cell r="W261">
            <v>3821895055</v>
          </cell>
          <cell r="AD261">
            <v>102874470833</v>
          </cell>
          <cell r="AE261">
            <v>44473</v>
          </cell>
          <cell r="AH261">
            <v>44531</v>
          </cell>
          <cell r="AK261" t="str">
            <v>Công nhân vận hành máy may công nghiệp</v>
          </cell>
          <cell r="AO261">
            <v>3470000</v>
          </cell>
        </row>
        <row r="262">
          <cell r="E262">
            <v>50593</v>
          </cell>
          <cell r="F262" t="str">
            <v>Lê Công Hoè</v>
          </cell>
          <cell r="G262">
            <v>37687</v>
          </cell>
          <cell r="H262">
            <v>18</v>
          </cell>
          <cell r="I262" t="str">
            <v>x</v>
          </cell>
          <cell r="K262" t="str">
            <v>038202011470</v>
          </cell>
          <cell r="L262" t="str">
            <v>25/02/2021</v>
          </cell>
          <cell r="M262" t="str">
            <v>Cục quản lý dân cư</v>
          </cell>
          <cell r="N262" t="str">
            <v>Kinh</v>
          </cell>
          <cell r="O262" t="str">
            <v>Không</v>
          </cell>
          <cell r="P262" t="str">
            <v>Việt Nam</v>
          </cell>
          <cell r="Q262" t="str">
            <v>12/12</v>
          </cell>
          <cell r="S262" t="str">
            <v>Xã Thọ Vực, huyện Triệu Sơn, tỉnh Thanh Hoá</v>
          </cell>
          <cell r="T262" t="str">
            <v>Xã Thọ Vực, huyện Triệu Sơn, tỉnh Thanh Hoá</v>
          </cell>
          <cell r="U262" t="str">
            <v>Thôn 5, xã Thọ Vực, huyện Triệu Sơn, tỉnh Thanh Hoá</v>
          </cell>
          <cell r="V262" t="str">
            <v>0372620983</v>
          </cell>
          <cell r="AD262">
            <v>101874470834</v>
          </cell>
          <cell r="AE262">
            <v>44473</v>
          </cell>
          <cell r="AO262">
            <v>3285000</v>
          </cell>
        </row>
        <row r="263">
          <cell r="E263">
            <v>50751</v>
          </cell>
          <cell r="F263" t="str">
            <v>Đoàn Xuân Hiệu</v>
          </cell>
          <cell r="G263" t="str">
            <v>06/06/1993</v>
          </cell>
          <cell r="H263">
            <v>28</v>
          </cell>
          <cell r="I263" t="str">
            <v>x</v>
          </cell>
          <cell r="K263" t="str">
            <v>038093017415</v>
          </cell>
          <cell r="L263" t="str">
            <v>13/02/2020</v>
          </cell>
          <cell r="M263" t="str">
            <v>Cục quản lý dân cư</v>
          </cell>
          <cell r="N263" t="str">
            <v>Kinh</v>
          </cell>
          <cell r="O263" t="str">
            <v>Không</v>
          </cell>
          <cell r="P263" t="str">
            <v>Việt Nam</v>
          </cell>
          <cell r="Q263" t="str">
            <v>12/12</v>
          </cell>
          <cell r="R263" t="str">
            <v>Sữa chữa máy may cn</v>
          </cell>
          <cell r="S263" t="str">
            <v>Xã Dân Lực, huyện Triệu Sơn, tỉnh Thanh Hoá</v>
          </cell>
          <cell r="T263" t="str">
            <v>Xã Dân Lực, huyện Triệu Sơn, tỉnh Thanh Hoá</v>
          </cell>
          <cell r="U263" t="str">
            <v>Xã Dân Lực, huyện Triệu Sơn, tỉnh Thanh Hoá</v>
          </cell>
          <cell r="V263" t="str">
            <v>0338236003</v>
          </cell>
          <cell r="AE263">
            <v>44554</v>
          </cell>
          <cell r="AO263">
            <v>3285000</v>
          </cell>
        </row>
        <row r="264">
          <cell r="E264">
            <v>50610</v>
          </cell>
          <cell r="F264" t="str">
            <v>Lê Thọ Lực</v>
          </cell>
          <cell r="G264">
            <v>32271</v>
          </cell>
          <cell r="H264">
            <v>33</v>
          </cell>
          <cell r="I264" t="str">
            <v>x</v>
          </cell>
          <cell r="K264" t="str">
            <v>172947981</v>
          </cell>
          <cell r="L264" t="str">
            <v>23/06/2015</v>
          </cell>
          <cell r="M264" t="str">
            <v>Cục quản lý dân cư</v>
          </cell>
          <cell r="N264" t="str">
            <v>Kinh</v>
          </cell>
          <cell r="O264" t="str">
            <v>Không</v>
          </cell>
          <cell r="P264" t="str">
            <v>Việt Nam</v>
          </cell>
          <cell r="Q264" t="str">
            <v>12/12</v>
          </cell>
          <cell r="S264" t="str">
            <v>Xã Dân Quyền, huyện Triệu Sơn, tỉnh Thanh Hoá</v>
          </cell>
          <cell r="T264" t="str">
            <v>Xã Dân Quyền, huyện Triệu Sơn, tỉnh Thanh Hoá</v>
          </cell>
          <cell r="U264" t="str">
            <v>Thôn 9, xã Dân Quyền, huyện Triệu Sơn, tỉnh Thanh Hoá</v>
          </cell>
          <cell r="V264" t="str">
            <v>0325369123</v>
          </cell>
          <cell r="AE264">
            <v>44476</v>
          </cell>
          <cell r="AO264">
            <v>3285000</v>
          </cell>
        </row>
        <row r="265">
          <cell r="E265">
            <v>50613</v>
          </cell>
          <cell r="F265" t="str">
            <v>Nguyễn Thị Thuý</v>
          </cell>
          <cell r="G265" t="str">
            <v>26/01/1993</v>
          </cell>
          <cell r="H265" t="e">
            <v>#VALUE!</v>
          </cell>
          <cell r="J265" t="str">
            <v>x</v>
          </cell>
          <cell r="K265" t="str">
            <v>038193013806</v>
          </cell>
          <cell r="L265">
            <v>44508</v>
          </cell>
          <cell r="M265" t="str">
            <v>Cục quản lý dân cư</v>
          </cell>
          <cell r="N265" t="str">
            <v>Kinh</v>
          </cell>
          <cell r="O265" t="str">
            <v>Không</v>
          </cell>
          <cell r="P265" t="str">
            <v>Việt Nam</v>
          </cell>
          <cell r="Q265" t="str">
            <v>12/12</v>
          </cell>
          <cell r="S265" t="str">
            <v>Xã Dân Quyền, huyện Triệu Sơn, tỉnh Thanh Hoá</v>
          </cell>
          <cell r="T265" t="str">
            <v>Xã Dân Quyền, huyện Triệu Sơn, tỉnh Thanh Hoá</v>
          </cell>
          <cell r="U265" t="str">
            <v>Thôn 2, xã Dân Quyền, huyện Triệu Sơn, tỉnh Thanh Hoá</v>
          </cell>
          <cell r="V265" t="str">
            <v>0378430528</v>
          </cell>
          <cell r="AD265">
            <v>107874470841</v>
          </cell>
          <cell r="AE265">
            <v>44480</v>
          </cell>
          <cell r="AH265">
            <v>44562</v>
          </cell>
          <cell r="AK265" t="str">
            <v>Công nhân vận hành máy may công nghiệp</v>
          </cell>
          <cell r="AO265">
            <v>3470000</v>
          </cell>
        </row>
        <row r="266">
          <cell r="E266">
            <v>50615</v>
          </cell>
          <cell r="F266" t="str">
            <v>Phạm Thị Hà</v>
          </cell>
          <cell r="G266">
            <v>34193</v>
          </cell>
          <cell r="H266">
            <v>28</v>
          </cell>
          <cell r="J266" t="str">
            <v>x</v>
          </cell>
          <cell r="K266" t="str">
            <v>038193037644</v>
          </cell>
          <cell r="L266" t="str">
            <v>29/05/2021</v>
          </cell>
          <cell r="M266" t="str">
            <v>Cục quản lý dân cư</v>
          </cell>
          <cell r="N266" t="str">
            <v>Kinh</v>
          </cell>
          <cell r="O266" t="str">
            <v>Không</v>
          </cell>
          <cell r="P266" t="str">
            <v>Việt Nam</v>
          </cell>
          <cell r="Q266" t="str">
            <v>12/12</v>
          </cell>
          <cell r="S266" t="str">
            <v>Xã Hợp Thắng, huyện Triệu Sơn, tỉnh Thanh Hoá</v>
          </cell>
          <cell r="T266" t="str">
            <v>Xã Hợp Thắng, huyện Triệu Sơn, tỉnh Thanh Hoá</v>
          </cell>
          <cell r="U266" t="str">
            <v>Thôn Tâm Tiến, xã Hợp Thắng, huyện Triệu Sơn, tỉnh Thanh Hoá</v>
          </cell>
          <cell r="V266" t="str">
            <v>0965150455</v>
          </cell>
          <cell r="W266" t="str">
            <v>0111048681</v>
          </cell>
          <cell r="AD266">
            <v>105874470843</v>
          </cell>
          <cell r="AE266">
            <v>44481</v>
          </cell>
          <cell r="AH266">
            <v>44531</v>
          </cell>
          <cell r="AK266" t="str">
            <v>Công nhân vận hành máy may công nghiệp</v>
          </cell>
          <cell r="AO266">
            <v>3470000</v>
          </cell>
        </row>
        <row r="267">
          <cell r="E267">
            <v>50616</v>
          </cell>
          <cell r="F267" t="str">
            <v>Nguyễn Văn Tân</v>
          </cell>
          <cell r="G267" t="str">
            <v>14/04/1980</v>
          </cell>
          <cell r="H267" t="e">
            <v>#VALUE!</v>
          </cell>
          <cell r="I267" t="str">
            <v>x</v>
          </cell>
          <cell r="K267" t="str">
            <v>038080002869</v>
          </cell>
          <cell r="L267">
            <v>44412</v>
          </cell>
          <cell r="M267" t="str">
            <v>Cục quản lý dân cư</v>
          </cell>
          <cell r="N267" t="str">
            <v>Kinh</v>
          </cell>
          <cell r="O267" t="str">
            <v>Không</v>
          </cell>
          <cell r="P267" t="str">
            <v>Việt Nam</v>
          </cell>
          <cell r="Q267" t="str">
            <v>9/12</v>
          </cell>
          <cell r="S267" t="str">
            <v>Xã Dân Lực, huyện Triệu Sơn, tỉnh Thanh Hoá</v>
          </cell>
          <cell r="T267" t="str">
            <v>Xã Dân Lực, huyện Triệu Sơn, tỉnh Thanh Hoá</v>
          </cell>
          <cell r="U267" t="str">
            <v>Thôn Thiện Chính, xã Dân Lực, huyện Triệu Sơn, tỉnh Thanh Hoá</v>
          </cell>
          <cell r="V267" t="str">
            <v>0394751680</v>
          </cell>
          <cell r="AE267">
            <v>44481</v>
          </cell>
          <cell r="AH267">
            <v>44562</v>
          </cell>
          <cell r="AK267" t="str">
            <v>Công nhân vận hành máy may công nghiệp</v>
          </cell>
          <cell r="AO267">
            <v>3470000</v>
          </cell>
        </row>
        <row r="268">
          <cell r="E268">
            <v>50618</v>
          </cell>
          <cell r="F268" t="str">
            <v>Lương Thị Minh</v>
          </cell>
          <cell r="G268">
            <v>32487</v>
          </cell>
          <cell r="K268" t="str">
            <v>038188047089</v>
          </cell>
          <cell r="L268" t="str">
            <v>'01/08/2021</v>
          </cell>
          <cell r="M268" t="str">
            <v>Công an Thanh Hoá</v>
          </cell>
          <cell r="O268" t="str">
            <v>Không</v>
          </cell>
          <cell r="P268" t="str">
            <v>Việt Nam</v>
          </cell>
          <cell r="Q268" t="str">
            <v>trung cấp</v>
          </cell>
          <cell r="R268" t="str">
            <v>Y sỹ đa khoa</v>
          </cell>
          <cell r="S268" t="str">
            <v>Xã Xuân Thắng, huyện Thường Xuân, tỉnh Thanh Hoá</v>
          </cell>
          <cell r="T268" t="str">
            <v>Xã Xuân Thắng, huyện Thường Xuân, tỉnh Thanh Hoá</v>
          </cell>
          <cell r="U268" t="str">
            <v>Thôn Văn Đôi, xã Hoàng Giang, huyện Nông Cống, tỉnh Thanh Hoá</v>
          </cell>
          <cell r="V268" t="str">
            <v>0968870098</v>
          </cell>
          <cell r="AD268" t="str">
            <v>104874882387</v>
          </cell>
          <cell r="AE268">
            <v>44480</v>
          </cell>
          <cell r="AH268">
            <v>44562</v>
          </cell>
          <cell r="AK268" t="str">
            <v>Nhân viên phòng TCHC</v>
          </cell>
          <cell r="AO268">
            <v>3470000</v>
          </cell>
        </row>
        <row r="269">
          <cell r="E269">
            <v>50628</v>
          </cell>
          <cell r="F269" t="str">
            <v>Lê Thị Hạnh</v>
          </cell>
          <cell r="G269">
            <v>32300</v>
          </cell>
          <cell r="H269">
            <v>33</v>
          </cell>
          <cell r="J269" t="str">
            <v>x</v>
          </cell>
          <cell r="K269" t="str">
            <v>038188032573</v>
          </cell>
          <cell r="L269" t="str">
            <v>10/11/2015</v>
          </cell>
          <cell r="M269" t="str">
            <v>Công an Thanh Hoá</v>
          </cell>
          <cell r="N269" t="str">
            <v>kinh</v>
          </cell>
          <cell r="O269" t="str">
            <v>Không</v>
          </cell>
          <cell r="P269" t="str">
            <v>Việt Nam</v>
          </cell>
          <cell r="Q269" t="str">
            <v>9/12</v>
          </cell>
          <cell r="S269" t="str">
            <v>Xã Hợp Thắng, huyện Triệu Sơn, tỉnh Thanh Hoá</v>
          </cell>
          <cell r="T269" t="str">
            <v>Xã Hợp Thắng, huyện Triệu Sơn, tỉnh Thanh Hoá</v>
          </cell>
          <cell r="U269" t="str">
            <v>Xã Hợp Thắng, huyện Triệu Sơn, tỉnh Thanh Hóa</v>
          </cell>
          <cell r="V269" t="str">
            <v>0966146078</v>
          </cell>
          <cell r="AE269">
            <v>44476</v>
          </cell>
          <cell r="AH269">
            <v>44531</v>
          </cell>
          <cell r="AK269" t="str">
            <v>Công nhân vận hành máy may công nghiệp</v>
          </cell>
          <cell r="AO269">
            <v>3470000</v>
          </cell>
        </row>
        <row r="270">
          <cell r="E270">
            <v>50631</v>
          </cell>
          <cell r="F270" t="str">
            <v>Đặng Văn Quang</v>
          </cell>
          <cell r="G270" t="str">
            <v>06/03/2003</v>
          </cell>
          <cell r="H270">
            <v>18</v>
          </cell>
          <cell r="I270" t="str">
            <v>x</v>
          </cell>
          <cell r="K270" t="str">
            <v>038203011966</v>
          </cell>
          <cell r="L270" t="str">
            <v>22/01/2020</v>
          </cell>
          <cell r="M270" t="str">
            <v>Cục quản lý dân cư</v>
          </cell>
          <cell r="N270" t="str">
            <v>kinh</v>
          </cell>
          <cell r="O270" t="str">
            <v>Không</v>
          </cell>
          <cell r="P270" t="str">
            <v>Việt Nam</v>
          </cell>
          <cell r="Q270" t="str">
            <v>12/12</v>
          </cell>
          <cell r="S270" t="str">
            <v>Xã An nông, huyện Triệu Sơn, tỉnh Thanh Hoá</v>
          </cell>
          <cell r="T270" t="str">
            <v>Xã An nông, huyện Triệu Sơn, tỉnh Thanh Hoá</v>
          </cell>
          <cell r="U270" t="str">
            <v>Xã An nông, huyện Triệu Sơn, tỉnh Thanh Hoá</v>
          </cell>
          <cell r="V270" t="str">
            <v>0705964163</v>
          </cell>
          <cell r="AE270">
            <v>44489</v>
          </cell>
          <cell r="AH270">
            <v>44531</v>
          </cell>
          <cell r="AK270" t="str">
            <v>Công nhân vận hành máy may công nghiệp</v>
          </cell>
          <cell r="AM270">
            <v>3470000</v>
          </cell>
          <cell r="AO270">
            <v>3470000</v>
          </cell>
        </row>
        <row r="271">
          <cell r="E271">
            <v>50636</v>
          </cell>
          <cell r="F271" t="str">
            <v>Trịnh Thị Lan</v>
          </cell>
          <cell r="G271" t="str">
            <v>25/07/1994</v>
          </cell>
          <cell r="H271" t="e">
            <v>#VALUE!</v>
          </cell>
          <cell r="J271" t="str">
            <v>x</v>
          </cell>
          <cell r="K271">
            <v>174785708</v>
          </cell>
          <cell r="L271" t="str">
            <v>13/08/2012</v>
          </cell>
          <cell r="M271" t="str">
            <v>Công an Thanh Hoá</v>
          </cell>
          <cell r="N271" t="str">
            <v>kinh</v>
          </cell>
          <cell r="O271" t="str">
            <v>Không</v>
          </cell>
          <cell r="P271" t="str">
            <v>Việt Nam</v>
          </cell>
          <cell r="Q271" t="str">
            <v>12/12</v>
          </cell>
          <cell r="S271" t="str">
            <v>Xã Dân Lực, huyện Triệu Sơn, tỉnh Thanh Hoá</v>
          </cell>
          <cell r="T271" t="str">
            <v>Xã Dân Lực, huyện Triệu Sơn, tỉnh Thanh Hoá</v>
          </cell>
          <cell r="U271" t="str">
            <v>Xã Minh Sơn, huyện Triệu Sơn, tỉnh Thanh Hoá</v>
          </cell>
          <cell r="V271" t="str">
            <v>0983177594</v>
          </cell>
          <cell r="W271">
            <v>3823644207</v>
          </cell>
          <cell r="AE271">
            <v>44489</v>
          </cell>
          <cell r="AH271">
            <v>44531</v>
          </cell>
          <cell r="AK271" t="str">
            <v>Công nhân vận hành máy may công nghiệp</v>
          </cell>
          <cell r="AO271">
            <v>3470000</v>
          </cell>
        </row>
        <row r="272">
          <cell r="E272">
            <v>50637</v>
          </cell>
          <cell r="F272" t="str">
            <v>Dương Thị Quỳnh</v>
          </cell>
          <cell r="G272" t="str">
            <v>01/01/1998</v>
          </cell>
          <cell r="H272">
            <v>24</v>
          </cell>
          <cell r="J272" t="str">
            <v>x</v>
          </cell>
          <cell r="K272">
            <v>245470477</v>
          </cell>
          <cell r="L272">
            <v>43778</v>
          </cell>
          <cell r="M272" t="str">
            <v>Công an tỉnh Đắk Nông</v>
          </cell>
          <cell r="N272" t="str">
            <v>kinh</v>
          </cell>
          <cell r="O272" t="str">
            <v>Không</v>
          </cell>
          <cell r="P272" t="str">
            <v>Việt Nam</v>
          </cell>
          <cell r="Q272" t="str">
            <v>12/12</v>
          </cell>
          <cell r="S272" t="str">
            <v>Xã Thiệu Hoà, huyện Thiệu Hoá, tỉnh Thanh Hoá</v>
          </cell>
          <cell r="T272" t="str">
            <v>Xã Thiệu Hoà, huyện Thiệu Hoá, tỉnh Thanh Hoá</v>
          </cell>
          <cell r="U272" t="str">
            <v>Xã Thiệu Hoà, huyện Thiệu Hoá, tỉnh Thanh Hoá</v>
          </cell>
          <cell r="V272" t="str">
            <v>0834409795</v>
          </cell>
          <cell r="W272">
            <v>3816035064</v>
          </cell>
          <cell r="AE272">
            <v>44489</v>
          </cell>
          <cell r="AH272">
            <v>44531</v>
          </cell>
          <cell r="AK272" t="str">
            <v>Công nhân vận hành máy may công nghiệp</v>
          </cell>
          <cell r="AO272">
            <v>3470000</v>
          </cell>
        </row>
        <row r="273">
          <cell r="E273">
            <v>50639</v>
          </cell>
          <cell r="F273" t="str">
            <v>Lê Thị Ngọc</v>
          </cell>
          <cell r="G273" t="str">
            <v>18/04/1999</v>
          </cell>
          <cell r="H273" t="e">
            <v>#VALUE!</v>
          </cell>
          <cell r="J273" t="str">
            <v>x</v>
          </cell>
          <cell r="K273" t="str">
            <v>038199003559</v>
          </cell>
          <cell r="L273">
            <v>44535</v>
          </cell>
          <cell r="M273" t="str">
            <v>Cục quản lý dân cư</v>
          </cell>
          <cell r="N273" t="str">
            <v>kinh</v>
          </cell>
          <cell r="O273" t="str">
            <v>Không</v>
          </cell>
          <cell r="P273" t="str">
            <v>Việt Nam</v>
          </cell>
          <cell r="Q273" t="str">
            <v>Đai Học</v>
          </cell>
          <cell r="R273" t="str">
            <v>Chuẩn bị sản xuất</v>
          </cell>
          <cell r="S273" t="str">
            <v>Xã Thọ Thê, huyện Triệu Sơn, tỉnh Thanh hoá</v>
          </cell>
          <cell r="T273" t="str">
            <v>Xã Thọ Thê, huyện Triệu Sơn, tỉnh Thanh hoá</v>
          </cell>
          <cell r="U273" t="str">
            <v>Xã Thọ Thê, huyện Triệu Sơn, tỉnh Thanh hoá</v>
          </cell>
          <cell r="V273" t="str">
            <v>0388416813</v>
          </cell>
          <cell r="W273">
            <v>3821953258</v>
          </cell>
          <cell r="AE273">
            <v>44489</v>
          </cell>
          <cell r="AH273">
            <v>44531</v>
          </cell>
          <cell r="AK273" t="str">
            <v>Nhân viên kỹ thuật</v>
          </cell>
          <cell r="AO273">
            <v>3470000</v>
          </cell>
        </row>
        <row r="274">
          <cell r="E274">
            <v>50640</v>
          </cell>
          <cell r="F274" t="str">
            <v>Nguyễn Tăng Tiến</v>
          </cell>
          <cell r="G274" t="str">
            <v>18/08/1993</v>
          </cell>
          <cell r="H274" t="e">
            <v>#VALUE!</v>
          </cell>
          <cell r="I274" t="str">
            <v>x</v>
          </cell>
          <cell r="K274" t="str">
            <v>038093024309</v>
          </cell>
          <cell r="L274" t="str">
            <v>20/0802021</v>
          </cell>
          <cell r="M274" t="str">
            <v>Cục quản lý dan cư</v>
          </cell>
          <cell r="N274" t="str">
            <v>Kinh</v>
          </cell>
          <cell r="O274" t="str">
            <v>không</v>
          </cell>
          <cell r="P274" t="str">
            <v>Việt Nam</v>
          </cell>
          <cell r="S274" t="str">
            <v>Xã Dân Lực, huyện Triệu Sơn, tỉnh Thanh Hoá</v>
          </cell>
          <cell r="T274" t="str">
            <v>Xã Dân Lực, huyện Triệu Sơn, tỉnh Thanh Hoá</v>
          </cell>
          <cell r="U274" t="str">
            <v>Xã Dân Lực, huyện Triệu Sơn, tỉnh Thanh Hoá</v>
          </cell>
          <cell r="V274" t="str">
            <v>0986521863</v>
          </cell>
          <cell r="AD274">
            <v>109874470851</v>
          </cell>
          <cell r="AE274">
            <v>44491</v>
          </cell>
          <cell r="AF274" t="str">
            <v>0 năm 4 tháng 12 ngày</v>
          </cell>
          <cell r="AH274">
            <v>44531</v>
          </cell>
          <cell r="AK274" t="str">
            <v>Công nhân cắt công nghiệp</v>
          </cell>
          <cell r="AO274">
            <v>3470000</v>
          </cell>
        </row>
        <row r="275">
          <cell r="E275">
            <v>50641</v>
          </cell>
          <cell r="F275" t="str">
            <v>Nguyễn Thị Hà Phương</v>
          </cell>
          <cell r="G275">
            <v>37850</v>
          </cell>
          <cell r="H275">
            <v>18</v>
          </cell>
          <cell r="J275" t="str">
            <v>x</v>
          </cell>
          <cell r="K275" t="str">
            <v>038303018174</v>
          </cell>
          <cell r="L275">
            <v>44311</v>
          </cell>
          <cell r="M275" t="str">
            <v>Cục quản lý dân cư</v>
          </cell>
          <cell r="N275" t="str">
            <v>Kinh</v>
          </cell>
          <cell r="O275" t="str">
            <v>Không</v>
          </cell>
          <cell r="P275" t="str">
            <v>Việt Nam</v>
          </cell>
          <cell r="Q275" t="str">
            <v>12/12</v>
          </cell>
          <cell r="S275" t="str">
            <v>Xã Thọ Thế, huyện Triệu Sơn, tỉnh Thanh Hoá</v>
          </cell>
          <cell r="T275" t="str">
            <v>Xã Thọ Thế, huyện Triệu Sơn, tỉnh Thanh Hoá</v>
          </cell>
          <cell r="U275" t="str">
            <v>Thôn 6, Xã Thọ Thế, huyện Triệu Sơn, tỉnh Thanh Hoá</v>
          </cell>
          <cell r="V275" t="str">
            <v>0375504962</v>
          </cell>
          <cell r="AD275">
            <v>103873664530</v>
          </cell>
          <cell r="AE275">
            <v>44397</v>
          </cell>
          <cell r="AG275">
            <v>44501</v>
          </cell>
          <cell r="AH275">
            <v>44531</v>
          </cell>
          <cell r="AK275" t="str">
            <v>Công nhân ép mex công nghiệp</v>
          </cell>
          <cell r="AO275">
            <v>3470000</v>
          </cell>
        </row>
        <row r="276">
          <cell r="E276">
            <v>50642</v>
          </cell>
          <cell r="F276" t="str">
            <v>Trần Thị Hoa</v>
          </cell>
          <cell r="G276">
            <v>37870</v>
          </cell>
          <cell r="H276">
            <v>18</v>
          </cell>
          <cell r="J276" t="str">
            <v>x</v>
          </cell>
          <cell r="K276" t="str">
            <v>038303018171</v>
          </cell>
          <cell r="L276">
            <v>44311</v>
          </cell>
          <cell r="M276" t="str">
            <v>Cục quản lý dân cư</v>
          </cell>
          <cell r="N276" t="str">
            <v>Kinh</v>
          </cell>
          <cell r="O276" t="str">
            <v>Không</v>
          </cell>
          <cell r="P276" t="str">
            <v>Việt Nam</v>
          </cell>
          <cell r="Q276" t="str">
            <v>12/12</v>
          </cell>
          <cell r="S276" t="str">
            <v>Xã Thọ Thế,  Huyện Triệu Sơn, tỉnh Thanh Hóa</v>
          </cell>
          <cell r="T276" t="str">
            <v>Xã Thọ Thế,  Huyện Triệu Sơn, tỉnh Thanh Hóa</v>
          </cell>
          <cell r="U276" t="str">
            <v>Thôn 3,  Xã Thọ Thế,  Huyện Triệu Sơn, tỉnh Thanh Hóa</v>
          </cell>
          <cell r="V276" t="str">
            <v>0353052967</v>
          </cell>
          <cell r="AD276">
            <v>101873664532</v>
          </cell>
          <cell r="AE276">
            <v>44403</v>
          </cell>
          <cell r="AG276">
            <v>44470</v>
          </cell>
          <cell r="AH276">
            <v>44531</v>
          </cell>
          <cell r="AK276" t="str">
            <v>Công nhân đóng gói công nghiệp</v>
          </cell>
          <cell r="AO276">
            <v>3470000</v>
          </cell>
        </row>
        <row r="277">
          <cell r="E277">
            <v>50644</v>
          </cell>
          <cell r="F277" t="str">
            <v>Lê Thị Thảo</v>
          </cell>
          <cell r="G277">
            <v>37872</v>
          </cell>
          <cell r="H277">
            <v>18</v>
          </cell>
          <cell r="J277" t="str">
            <v>x</v>
          </cell>
          <cell r="K277" t="str">
            <v>03830302337</v>
          </cell>
          <cell r="L277">
            <v>44269</v>
          </cell>
          <cell r="M277" t="str">
            <v>Cục quản lý dân cư</v>
          </cell>
          <cell r="N277" t="str">
            <v>Kinh</v>
          </cell>
          <cell r="O277" t="str">
            <v>Không</v>
          </cell>
          <cell r="P277" t="str">
            <v>Việt Nam</v>
          </cell>
          <cell r="Q277" t="str">
            <v>12/12</v>
          </cell>
          <cell r="S277" t="str">
            <v>Xã Thọ Tân, huyện Triệu Sơn, tỉnh Thanh Hoá</v>
          </cell>
          <cell r="T277" t="str">
            <v>Xã Thọ Tân, huyện Triệu Sơn, tỉnh Thanh Hoá</v>
          </cell>
          <cell r="U277" t="str">
            <v>Thôn 2, Xã Thọ Tân, huyện-Triệu Sơn- tỉnh Thanh Hoá</v>
          </cell>
          <cell r="V277" t="str">
            <v>0383695715</v>
          </cell>
          <cell r="W277">
            <v>3822009114</v>
          </cell>
          <cell r="AD277">
            <v>106873664537</v>
          </cell>
          <cell r="AE277">
            <v>44406</v>
          </cell>
          <cell r="AG277">
            <v>44470</v>
          </cell>
          <cell r="AH277">
            <v>44531</v>
          </cell>
          <cell r="AK277" t="str">
            <v>Công nhân vận hành máy may công nghiệp</v>
          </cell>
          <cell r="AO277">
            <v>3470000</v>
          </cell>
        </row>
        <row r="278">
          <cell r="E278">
            <v>50645</v>
          </cell>
          <cell r="F278" t="str">
            <v>Phạm Thị Trang</v>
          </cell>
          <cell r="G278">
            <v>37888</v>
          </cell>
          <cell r="H278">
            <v>18</v>
          </cell>
          <cell r="J278" t="str">
            <v>x</v>
          </cell>
          <cell r="K278" t="str">
            <v>038303019793</v>
          </cell>
          <cell r="L278">
            <v>44181</v>
          </cell>
          <cell r="M278" t="str">
            <v>Cục quản lý dân cư</v>
          </cell>
          <cell r="N278" t="str">
            <v>Kinh</v>
          </cell>
          <cell r="O278" t="str">
            <v>Không</v>
          </cell>
          <cell r="P278" t="str">
            <v>Việt Nam</v>
          </cell>
          <cell r="Q278" t="str">
            <v>12/12</v>
          </cell>
          <cell r="S278" t="str">
            <v>Xã Thọ Lộc, Huyện Thọ Xuân, tỉnh Thanh Hóa</v>
          </cell>
          <cell r="T278" t="str">
            <v>Xã Thọ Lộc, Huyện Thọ Xuân, tỉnh Thanh Hóa</v>
          </cell>
          <cell r="U278" t="str">
            <v>Xã Thọ Lộc-Huyện Thọ Xuân- tỉnh Thanh Hóa</v>
          </cell>
          <cell r="V278" t="str">
            <v>0344332749</v>
          </cell>
          <cell r="AD278" t="str">
            <v>107873754652</v>
          </cell>
          <cell r="AE278">
            <v>44410</v>
          </cell>
          <cell r="AF278" t="str">
            <v/>
          </cell>
          <cell r="AG278">
            <v>44470</v>
          </cell>
          <cell r="AO278">
            <v>3285000</v>
          </cell>
        </row>
        <row r="279">
          <cell r="E279">
            <v>50647</v>
          </cell>
          <cell r="F279" t="str">
            <v>Lê Thị Xuyến</v>
          </cell>
          <cell r="G279">
            <v>37885</v>
          </cell>
          <cell r="H279">
            <v>18</v>
          </cell>
          <cell r="J279" t="str">
            <v>x</v>
          </cell>
          <cell r="K279" t="str">
            <v>038303012775</v>
          </cell>
          <cell r="L279">
            <v>44308</v>
          </cell>
          <cell r="M279" t="str">
            <v>Cục quản lý dân cư</v>
          </cell>
          <cell r="N279" t="str">
            <v>Kinh</v>
          </cell>
          <cell r="O279" t="str">
            <v>Không</v>
          </cell>
          <cell r="P279" t="str">
            <v>Việt Nam</v>
          </cell>
          <cell r="Q279" t="str">
            <v>12/12</v>
          </cell>
          <cell r="S279" t="str">
            <v>Thị Trấn Triệu Sơn, huyện Triệu Sơn, tỉnh Thanh Hoá</v>
          </cell>
          <cell r="T279" t="str">
            <v>Thị Trấn Triệu Sơn, huyện Triệu Sơn, tỉnh Thanh Hoá</v>
          </cell>
          <cell r="U279" t="str">
            <v>Thị Trấn Triệu Sơn-huyện Triệu Sơn- tỉnh Thanh Hoá</v>
          </cell>
          <cell r="V279" t="str">
            <v>0368624025</v>
          </cell>
          <cell r="AD279" t="str">
            <v>101873754633</v>
          </cell>
          <cell r="AE279">
            <v>44418</v>
          </cell>
          <cell r="AG279">
            <v>44470</v>
          </cell>
          <cell r="AH279">
            <v>44531</v>
          </cell>
          <cell r="AK279" t="str">
            <v>Công nhân vận hành máy may công nghiệp</v>
          </cell>
          <cell r="AO279">
            <v>3470000</v>
          </cell>
        </row>
        <row r="280">
          <cell r="E280">
            <v>50650</v>
          </cell>
          <cell r="F280" t="str">
            <v>Hà Thị Trang</v>
          </cell>
          <cell r="G280">
            <v>37878</v>
          </cell>
          <cell r="H280">
            <v>18</v>
          </cell>
          <cell r="J280" t="str">
            <v>x</v>
          </cell>
          <cell r="K280" t="str">
            <v>038303013629</v>
          </cell>
          <cell r="L280">
            <v>44311</v>
          </cell>
          <cell r="M280" t="str">
            <v>Cục quản lý dân cư</v>
          </cell>
          <cell r="N280" t="str">
            <v>Kinh</v>
          </cell>
          <cell r="O280" t="str">
            <v>Không</v>
          </cell>
          <cell r="P280" t="str">
            <v>Việt Nam</v>
          </cell>
          <cell r="Q280" t="str">
            <v>12/12</v>
          </cell>
          <cell r="S280" t="str">
            <v>Thị Trấn Triệu Sơn, huyện Triệu Sơn, tỉnh Thanh Hoá</v>
          </cell>
          <cell r="T280" t="str">
            <v>Thị Trấn Triệu Sơn, huyện Triệu Sơn, tỉnh Thanh Hoá</v>
          </cell>
          <cell r="U280" t="str">
            <v>tổ dân phố 2- Thị Trấn Triệu Sơn- huyện Triệu Sơn- tỉnh Thanh Hoá</v>
          </cell>
          <cell r="V280" t="str">
            <v>0365045344</v>
          </cell>
          <cell r="AE280">
            <v>44421</v>
          </cell>
          <cell r="AG280">
            <v>44470</v>
          </cell>
          <cell r="AO280">
            <v>3285000</v>
          </cell>
        </row>
        <row r="281">
          <cell r="E281">
            <v>50654</v>
          </cell>
          <cell r="F281" t="str">
            <v>Nguyễn Thị Khánh Linh</v>
          </cell>
          <cell r="G281">
            <v>37834</v>
          </cell>
          <cell r="H281">
            <v>18</v>
          </cell>
          <cell r="J281" t="str">
            <v>x</v>
          </cell>
          <cell r="K281" t="str">
            <v>028303003820</v>
          </cell>
          <cell r="L281" t="str">
            <v>08/04/2021</v>
          </cell>
          <cell r="M281" t="str">
            <v>Cục quản lý dân cư</v>
          </cell>
          <cell r="N281" t="str">
            <v>Kinh</v>
          </cell>
          <cell r="O281" t="str">
            <v>không</v>
          </cell>
          <cell r="P281" t="str">
            <v>Việt Nam</v>
          </cell>
          <cell r="Q281" t="str">
            <v>12/12</v>
          </cell>
          <cell r="S281" t="str">
            <v>Xã Dân Lực, huyện Triệu Sơn, tỉnh Thanh Hoá</v>
          </cell>
          <cell r="T281" t="str">
            <v>Xã Dân Lực, huyện Triệu Sơn, tỉnh Thanh Hoá</v>
          </cell>
          <cell r="U281" t="str">
            <v>Xã Dân Lực, huyện Triệu Sơn, tỉnh Thanh Hoá</v>
          </cell>
          <cell r="V281" t="str">
            <v>0382267916</v>
          </cell>
          <cell r="AE281">
            <v>44442</v>
          </cell>
          <cell r="AG281">
            <v>44470</v>
          </cell>
          <cell r="AH281">
            <v>44562</v>
          </cell>
          <cell r="AK281" t="str">
            <v>Công nhân vận hành máy may công nghiệp</v>
          </cell>
          <cell r="AO281">
            <v>3470000</v>
          </cell>
        </row>
        <row r="282">
          <cell r="E282">
            <v>50655</v>
          </cell>
          <cell r="F282" t="str">
            <v>Nguyễn Thị Hà</v>
          </cell>
          <cell r="G282">
            <v>36656</v>
          </cell>
          <cell r="H282">
            <v>21</v>
          </cell>
          <cell r="J282" t="str">
            <v>x</v>
          </cell>
          <cell r="K282" t="str">
            <v>038300003411</v>
          </cell>
          <cell r="L282" t="str">
            <v>05012017</v>
          </cell>
          <cell r="M282" t="str">
            <v>Cuc quản lý dân cư</v>
          </cell>
          <cell r="N282" t="str">
            <v>kinh</v>
          </cell>
          <cell r="O282" t="str">
            <v>không</v>
          </cell>
          <cell r="P282" t="str">
            <v>việt   nam</v>
          </cell>
          <cell r="Q282" t="str">
            <v>12/12</v>
          </cell>
          <cell r="S282" t="str">
            <v>Thôn Đồng lợi -Xã Triệu sơn - Tỉnh Thanh hoá</v>
          </cell>
          <cell r="T282" t="str">
            <v>Thôn Đồng lợi -Xã Triệu sơn - Tỉnh Thanh hoá</v>
          </cell>
          <cell r="U282" t="str">
            <v>Thôn Đồng lợi -Xã Triệu sơn - Tỉnh Thanh hoá</v>
          </cell>
          <cell r="V282" t="str">
            <v>0362166509</v>
          </cell>
          <cell r="W282">
            <v>3821957552</v>
          </cell>
          <cell r="AD282" t="str">
            <v>102874879380</v>
          </cell>
          <cell r="AE282">
            <v>44496</v>
          </cell>
          <cell r="AH282">
            <v>44531</v>
          </cell>
          <cell r="AK282" t="str">
            <v>Công nhân vận hành máy may công nghiệp</v>
          </cell>
          <cell r="AM282">
            <v>3470000</v>
          </cell>
          <cell r="AO282">
            <v>3470000</v>
          </cell>
        </row>
        <row r="283">
          <cell r="E283">
            <v>50656</v>
          </cell>
          <cell r="F283" t="str">
            <v>Lê Thị Thuỷ</v>
          </cell>
          <cell r="G283">
            <v>35241</v>
          </cell>
          <cell r="H283">
            <v>25</v>
          </cell>
          <cell r="J283" t="str">
            <v>x</v>
          </cell>
          <cell r="K283" t="str">
            <v>038196000116</v>
          </cell>
          <cell r="L283" t="str">
            <v>29/05/2021</v>
          </cell>
          <cell r="M283" t="str">
            <v>Cục quản lý dân cư</v>
          </cell>
          <cell r="N283" t="str">
            <v>kinh</v>
          </cell>
          <cell r="O283" t="str">
            <v>không</v>
          </cell>
          <cell r="P283" t="str">
            <v>việt nam</v>
          </cell>
          <cell r="Q283" t="str">
            <v>12/12</v>
          </cell>
          <cell r="S283" t="str">
            <v>Thôn Đồng lợi -Xã Triệu sơn - Tỉnh Thanh hoá</v>
          </cell>
          <cell r="T283" t="str">
            <v>Thôn Đồng lợi -Xã Triệu sơn - Tỉnh Thanh hoá</v>
          </cell>
          <cell r="U283" t="str">
            <v>Xóm 1 -Xã Thọ Thế - Huyện Triệu Sơn -Tỉnh Thanh Hoá</v>
          </cell>
          <cell r="V283" t="str">
            <v>0337681718</v>
          </cell>
          <cell r="W283">
            <v>3822012794</v>
          </cell>
          <cell r="AE283">
            <v>44496</v>
          </cell>
          <cell r="AH283">
            <v>44531</v>
          </cell>
          <cell r="AK283" t="str">
            <v>Công nhân vận hành máy may công nghiệp</v>
          </cell>
          <cell r="AM283">
            <v>3470000</v>
          </cell>
          <cell r="AO283">
            <v>3470000</v>
          </cell>
        </row>
        <row r="284">
          <cell r="E284">
            <v>50658</v>
          </cell>
          <cell r="F284" t="str">
            <v>Lê Thị Hợp</v>
          </cell>
          <cell r="G284">
            <v>30018</v>
          </cell>
          <cell r="H284">
            <v>39</v>
          </cell>
          <cell r="J284" t="str">
            <v>x</v>
          </cell>
          <cell r="K284" t="str">
            <v>038182003639</v>
          </cell>
          <cell r="L284" t="str">
            <v>08/03//1982</v>
          </cell>
          <cell r="M284" t="str">
            <v>Cục trưởng cục c.sát</v>
          </cell>
          <cell r="N284" t="str">
            <v>kinh</v>
          </cell>
          <cell r="O284" t="str">
            <v>không</v>
          </cell>
          <cell r="P284" t="str">
            <v>Việt nam</v>
          </cell>
          <cell r="Q284" t="str">
            <v>12/12</v>
          </cell>
          <cell r="S284" t="str">
            <v>Thôn 3 -XãDân Quyền - Triệu Sơn- TỉnhThanh Hóa</v>
          </cell>
          <cell r="T284" t="str">
            <v>Thôn 3 -XãDân Quyền - Triệu Sơn- TỉnhThanh Hóa</v>
          </cell>
          <cell r="U284" t="str">
            <v>Thôn 3 -XãDân Quyền - Triệu Sơn- TỉnhThanh Hóa</v>
          </cell>
          <cell r="V284" t="str">
            <v>0979391797</v>
          </cell>
          <cell r="AD284" t="str">
            <v>106874879277</v>
          </cell>
          <cell r="AE284">
            <v>44495</v>
          </cell>
          <cell r="AO284">
            <v>3285000</v>
          </cell>
        </row>
        <row r="285">
          <cell r="E285">
            <v>50659</v>
          </cell>
          <cell r="F285" t="str">
            <v>Đào Thị Loan</v>
          </cell>
          <cell r="G285">
            <v>35832</v>
          </cell>
          <cell r="H285">
            <v>24</v>
          </cell>
          <cell r="J285" t="str">
            <v>x</v>
          </cell>
          <cell r="K285" t="str">
            <v>038188022407</v>
          </cell>
          <cell r="L285" t="str">
            <v>06/02/1988</v>
          </cell>
          <cell r="M285" t="str">
            <v>Cục quản lý dân cư</v>
          </cell>
          <cell r="N285" t="str">
            <v>kinh</v>
          </cell>
          <cell r="O285" t="str">
            <v>không</v>
          </cell>
          <cell r="P285" t="str">
            <v>việt nam</v>
          </cell>
          <cell r="Q285" t="str">
            <v>12/12</v>
          </cell>
          <cell r="S285" t="str">
            <v>Thôn Ân Mộc - Xã Dân Lực - Huyện Triệu Sơn - Tỉnh Thanh Hoá</v>
          </cell>
          <cell r="T285" t="str">
            <v>Thôn Ân Mộc - Xã Dân Lực - Huyện Triệu Sơn - Tỉnh Thanh Hoá</v>
          </cell>
          <cell r="U285" t="str">
            <v>Thôn Ân Mộc - Xã Dân Lực - Huyện Triệu Sơn - Tỉnh Thanh Hoá</v>
          </cell>
          <cell r="V285" t="str">
            <v>0973415361</v>
          </cell>
          <cell r="AE285">
            <v>44495</v>
          </cell>
          <cell r="AH285">
            <v>44531</v>
          </cell>
          <cell r="AK285" t="str">
            <v>Nhân viên nấu ăn</v>
          </cell>
          <cell r="AO285">
            <v>3285000</v>
          </cell>
        </row>
        <row r="286">
          <cell r="E286">
            <v>50681</v>
          </cell>
          <cell r="F286" t="str">
            <v>Đào Thị Tâm</v>
          </cell>
          <cell r="G286" t="str">
            <v>21/07/1985</v>
          </cell>
          <cell r="H286" t="e">
            <v>#VALUE!</v>
          </cell>
          <cell r="J286" t="str">
            <v>x</v>
          </cell>
          <cell r="K286" t="str">
            <v>172318407</v>
          </cell>
          <cell r="L286" t="str">
            <v>20/07/2015</v>
          </cell>
          <cell r="M286" t="str">
            <v>Cục quản lý dân cư</v>
          </cell>
          <cell r="N286" t="str">
            <v>kinh</v>
          </cell>
          <cell r="O286" t="str">
            <v>Không</v>
          </cell>
          <cell r="P286" t="str">
            <v>Việt Nam</v>
          </cell>
          <cell r="Q286" t="str">
            <v>12/12</v>
          </cell>
          <cell r="S286" t="str">
            <v>Xã Dân Lý, huyện Triệu Sơn, tỉnh Thanh Hoá</v>
          </cell>
          <cell r="T286" t="str">
            <v>Xã Dân Lý, huyện Triệu Sơn, tỉnh Thanh Hoá</v>
          </cell>
          <cell r="U286" t="str">
            <v>Xã Dân Lý, huyện Triệu Sơn, tỉnh Thanh Hoá</v>
          </cell>
          <cell r="V286" t="str">
            <v>038248168</v>
          </cell>
          <cell r="AE286">
            <v>44503</v>
          </cell>
          <cell r="AO286">
            <v>3285000</v>
          </cell>
        </row>
        <row r="287">
          <cell r="E287">
            <v>50686</v>
          </cell>
          <cell r="F287" t="str">
            <v>Chu Kim Hùng</v>
          </cell>
          <cell r="G287" t="str">
            <v>10/10/1995</v>
          </cell>
          <cell r="H287">
            <v>26</v>
          </cell>
          <cell r="I287" t="str">
            <v>x</v>
          </cell>
          <cell r="K287">
            <v>174757348</v>
          </cell>
          <cell r="L287" t="str">
            <v>13/102012</v>
          </cell>
          <cell r="M287" t="str">
            <v>Cục quản lý dân cư</v>
          </cell>
          <cell r="N287" t="str">
            <v>kinh</v>
          </cell>
          <cell r="O287" t="str">
            <v>Không</v>
          </cell>
          <cell r="P287" t="str">
            <v>Việt Nam</v>
          </cell>
          <cell r="Q287" t="str">
            <v>12/12</v>
          </cell>
          <cell r="S287" t="str">
            <v>Xã Dân Lự-huyện Triệu Sơn-tỉnh Thanh Hoá</v>
          </cell>
          <cell r="T287" t="str">
            <v>Xã Dân Lự-huyện Triệu Sơn-tỉnh Thanh Hoá</v>
          </cell>
          <cell r="U287" t="str">
            <v>Xã Dân Lự-huyện Triệu Sơn-tỉnh Thanh Hoá</v>
          </cell>
          <cell r="V287" t="str">
            <v>0336276995</v>
          </cell>
          <cell r="AE287">
            <v>44503</v>
          </cell>
          <cell r="AO287">
            <v>3285000</v>
          </cell>
        </row>
        <row r="288">
          <cell r="E288">
            <v>50688</v>
          </cell>
          <cell r="F288" t="str">
            <v>Bùi Thị Tú Anh</v>
          </cell>
          <cell r="G288" t="str">
            <v>14/09/2001</v>
          </cell>
          <cell r="H288" t="e">
            <v>#VALUE!</v>
          </cell>
          <cell r="J288" t="str">
            <v>x</v>
          </cell>
          <cell r="K288" t="str">
            <v>03830106276</v>
          </cell>
          <cell r="L288" t="str">
            <v>14/09/2001</v>
          </cell>
          <cell r="M288" t="str">
            <v>Cục quản lý dân cư</v>
          </cell>
          <cell r="N288" t="str">
            <v>kinh</v>
          </cell>
          <cell r="O288" t="str">
            <v>Không</v>
          </cell>
          <cell r="P288" t="str">
            <v>Việt Nam</v>
          </cell>
          <cell r="Q288" t="str">
            <v>12/12</v>
          </cell>
          <cell r="S288" t="str">
            <v>Xã Dân Lý- Huyện Triệu Sơn -Tỉnh Thanh Hoá</v>
          </cell>
          <cell r="T288" t="str">
            <v>Xã Dân Lý- Huyện Triệu Sơn -Tỉnh Thanh Hoá</v>
          </cell>
          <cell r="U288" t="str">
            <v>Xã Dân Lý- Huyện Triệu Sơn -Tỉnh Thanh Hoá</v>
          </cell>
          <cell r="V288" t="str">
            <v>0335631323</v>
          </cell>
          <cell r="W288">
            <v>3821869338</v>
          </cell>
          <cell r="AE288">
            <v>44504</v>
          </cell>
          <cell r="AH288">
            <v>44531</v>
          </cell>
          <cell r="AK288" t="str">
            <v>Công nhân ép mex công nghiệp</v>
          </cell>
          <cell r="AO288">
            <v>3470000</v>
          </cell>
        </row>
        <row r="289">
          <cell r="E289">
            <v>50689</v>
          </cell>
          <cell r="F289" t="str">
            <v>Lê Thị Hồng</v>
          </cell>
          <cell r="G289">
            <v>33901</v>
          </cell>
          <cell r="H289">
            <v>29</v>
          </cell>
          <cell r="J289" t="str">
            <v>x</v>
          </cell>
          <cell r="K289">
            <v>173553413</v>
          </cell>
          <cell r="L289">
            <v>39947</v>
          </cell>
          <cell r="M289" t="str">
            <v>Cục quản lý dân cư</v>
          </cell>
          <cell r="N289" t="str">
            <v>kinh</v>
          </cell>
          <cell r="O289" t="str">
            <v>Không</v>
          </cell>
          <cell r="P289" t="str">
            <v>Việt Nam</v>
          </cell>
          <cell r="Q289" t="str">
            <v>12/12</v>
          </cell>
          <cell r="S289" t="str">
            <v>Xã Dân Quyền - Huyện Triệu Sơn - Tỉnh Thanh Hoá</v>
          </cell>
          <cell r="T289" t="str">
            <v>Xã Dân Quyền - Huyện Triệu Sơn - Tỉnh Thanh Hoá</v>
          </cell>
          <cell r="U289" t="str">
            <v>Xã Dân Quyền - Huyện Triệu Sơn - Tỉnh Thanh Hoá</v>
          </cell>
          <cell r="V289" t="str">
            <v>0329523365</v>
          </cell>
          <cell r="W289">
            <v>7414043471</v>
          </cell>
          <cell r="AE289">
            <v>44504</v>
          </cell>
          <cell r="AH289">
            <v>44531</v>
          </cell>
          <cell r="AK289" t="str">
            <v>Công nhân ép mex công nghiệp</v>
          </cell>
          <cell r="AO289">
            <v>3470000</v>
          </cell>
        </row>
        <row r="290">
          <cell r="E290">
            <v>50693</v>
          </cell>
          <cell r="F290" t="str">
            <v>Đào Thị Huyền</v>
          </cell>
          <cell r="G290">
            <v>36834</v>
          </cell>
          <cell r="H290">
            <v>21</v>
          </cell>
          <cell r="J290" t="str">
            <v>x</v>
          </cell>
          <cell r="K290" t="str">
            <v>038300018265</v>
          </cell>
          <cell r="L290">
            <v>44432</v>
          </cell>
          <cell r="M290" t="str">
            <v>Cục quản lý dân cư</v>
          </cell>
          <cell r="N290" t="str">
            <v>kinh</v>
          </cell>
          <cell r="O290" t="str">
            <v>Không</v>
          </cell>
          <cell r="P290" t="str">
            <v>Việt Nam</v>
          </cell>
          <cell r="Q290" t="str">
            <v>12/12</v>
          </cell>
          <cell r="S290" t="str">
            <v>Xã Triệu Thành - Huyện Triệu Sơn - Tỉnh Thanh Hoá</v>
          </cell>
          <cell r="T290" t="str">
            <v>Xã Triệu Thành - Huyện Triệu Sơn - Tỉnh Thanh Hoá</v>
          </cell>
          <cell r="U290" t="str">
            <v>Xã Triệu Thành - Huyện Triệu Sơn - Tỉnh Thanh Hoá</v>
          </cell>
          <cell r="V290" t="str">
            <v>0344764247</v>
          </cell>
          <cell r="AD290" t="str">
            <v>106875003529</v>
          </cell>
          <cell r="AE290">
            <v>44506</v>
          </cell>
          <cell r="AO290">
            <v>3285000</v>
          </cell>
        </row>
        <row r="291">
          <cell r="E291">
            <v>50694</v>
          </cell>
          <cell r="F291" t="str">
            <v>Nguyễn Thị Thảo</v>
          </cell>
          <cell r="G291">
            <v>37868</v>
          </cell>
          <cell r="H291">
            <v>18</v>
          </cell>
          <cell r="J291" t="str">
            <v>x</v>
          </cell>
          <cell r="K291" t="str">
            <v>038303021136</v>
          </cell>
          <cell r="L291">
            <v>44333</v>
          </cell>
          <cell r="M291" t="str">
            <v>Cục quản lý dân cư</v>
          </cell>
          <cell r="N291" t="str">
            <v>kinh</v>
          </cell>
          <cell r="O291" t="str">
            <v>Không</v>
          </cell>
          <cell r="P291" t="str">
            <v>Việt Nam</v>
          </cell>
          <cell r="Q291" t="str">
            <v>12/12</v>
          </cell>
          <cell r="S291" t="str">
            <v>Xã Nông Trường - Huyện Triệu Sơn - Tỉnh Thanh Hoá</v>
          </cell>
          <cell r="T291" t="str">
            <v>Xã Nông Trường - Huyện Triệu Sơn - Tỉnh Thanh Hoá</v>
          </cell>
          <cell r="U291" t="str">
            <v>Xã Nông Trường - Huyện Triệu Sơn - Tỉnh Thanh Hoá</v>
          </cell>
          <cell r="V291" t="str">
            <v>0394865021</v>
          </cell>
          <cell r="AE291">
            <v>44506</v>
          </cell>
          <cell r="AH291">
            <v>44562</v>
          </cell>
          <cell r="AK291" t="str">
            <v>Công nhân vận hành máy may công nghiệp</v>
          </cell>
          <cell r="AO291">
            <v>3470000</v>
          </cell>
        </row>
        <row r="292">
          <cell r="E292">
            <v>50695</v>
          </cell>
          <cell r="F292" t="str">
            <v>Nguyễn   Thị Liên</v>
          </cell>
          <cell r="G292">
            <v>30106</v>
          </cell>
          <cell r="H292">
            <v>39</v>
          </cell>
          <cell r="J292" t="str">
            <v>x</v>
          </cell>
          <cell r="K292">
            <v>172310922</v>
          </cell>
          <cell r="L292">
            <v>36238</v>
          </cell>
          <cell r="M292" t="str">
            <v>Cục quản lý dân cư</v>
          </cell>
          <cell r="N292" t="str">
            <v>kinh</v>
          </cell>
          <cell r="O292" t="str">
            <v>Không</v>
          </cell>
          <cell r="P292" t="str">
            <v>Việt Nam</v>
          </cell>
          <cell r="Q292" t="str">
            <v>12/12</v>
          </cell>
          <cell r="S292" t="str">
            <v>Xã Dân Quyền - Huyện Triệu Sơn - Tỉnh Thanh Hoá</v>
          </cell>
          <cell r="T292" t="str">
            <v>Xã Dân Quyền - Huyện Triệu Sơn - Tỉnh Thanh Hoá</v>
          </cell>
          <cell r="U292" t="str">
            <v>Xã Dân Quyền - Huyện Triệu Sơn - Tỉnh Thanh Hoá</v>
          </cell>
          <cell r="V292" t="str">
            <v>0378388258</v>
          </cell>
          <cell r="AE292">
            <v>44509</v>
          </cell>
          <cell r="AH292">
            <v>44562</v>
          </cell>
          <cell r="AK292" t="str">
            <v>Công nhân vận hành máy may công nghiệp</v>
          </cell>
          <cell r="AO292">
            <v>3470000</v>
          </cell>
        </row>
        <row r="293">
          <cell r="E293">
            <v>50697</v>
          </cell>
          <cell r="F293" t="str">
            <v>Nguyễn Thị Nguyệt</v>
          </cell>
          <cell r="G293" t="str">
            <v>01/10/1980</v>
          </cell>
          <cell r="H293">
            <v>42</v>
          </cell>
          <cell r="J293" t="str">
            <v>x</v>
          </cell>
          <cell r="K293" t="str">
            <v>038180011215</v>
          </cell>
          <cell r="L293" t="str">
            <v>28/062021</v>
          </cell>
          <cell r="M293" t="str">
            <v>Cục quản lý dân cư</v>
          </cell>
          <cell r="N293" t="str">
            <v>kinh</v>
          </cell>
          <cell r="O293" t="str">
            <v>Không</v>
          </cell>
          <cell r="P293" t="str">
            <v>Việt Nam</v>
          </cell>
          <cell r="Q293" t="str">
            <v>12/12</v>
          </cell>
          <cell r="S293" t="str">
            <v>Thôn Ân Mộc - Xã Dân Lực - Huyện Triệu sơn -Tỉnh Thanh Hoá</v>
          </cell>
          <cell r="T293" t="str">
            <v>Thôn Ân Mộc - Xã Dân Lực - Huyện Triệu sơn -Tỉnh Thanh Hoá</v>
          </cell>
          <cell r="U293" t="str">
            <v>Thôn Ân Mộc - Xã Dân Lực - Huyện Triệu sơn -Tỉnh Thanh Hoá</v>
          </cell>
          <cell r="V293" t="str">
            <v>0337208867</v>
          </cell>
          <cell r="AE293">
            <v>44513</v>
          </cell>
          <cell r="AG293">
            <v>44612</v>
          </cell>
          <cell r="AH293">
            <v>44562</v>
          </cell>
          <cell r="AK293" t="str">
            <v>Công nhân vận hành máy may công nghiệp</v>
          </cell>
          <cell r="AO293">
            <v>3470000</v>
          </cell>
        </row>
        <row r="294">
          <cell r="E294">
            <v>50698</v>
          </cell>
          <cell r="F294" t="str">
            <v>Lê Văn Tú</v>
          </cell>
          <cell r="G294">
            <v>36665</v>
          </cell>
          <cell r="H294">
            <v>21</v>
          </cell>
          <cell r="I294" t="str">
            <v>x</v>
          </cell>
          <cell r="K294" t="str">
            <v>038200000333</v>
          </cell>
          <cell r="L294">
            <v>43532</v>
          </cell>
          <cell r="M294" t="str">
            <v>Cục quản lý dân cư</v>
          </cell>
          <cell r="N294" t="str">
            <v>Kinh</v>
          </cell>
          <cell r="O294" t="str">
            <v>Không</v>
          </cell>
          <cell r="P294" t="str">
            <v>Việt Nam</v>
          </cell>
          <cell r="Q294" t="str">
            <v>9/12</v>
          </cell>
          <cell r="S294" t="str">
            <v>Xã Hợp Lý,  Huyện Triệu Sơn, tỉnh Thanh Hóa</v>
          </cell>
          <cell r="T294" t="str">
            <v>Thôn Đông Thành, Xã Hợp Lý,  Huyện Triệu Sơn, tỉnh Thanh Hóa</v>
          </cell>
          <cell r="U294" t="str">
            <v>Thôn Đông Thành, Xã Hợp Lý,  Huyện Triệu Sơn, tỉnh Thanh Hóa</v>
          </cell>
          <cell r="V294" t="str">
            <v>0368309108</v>
          </cell>
          <cell r="W294" t="str">
            <v>3821940547</v>
          </cell>
          <cell r="AE294">
            <v>44513</v>
          </cell>
          <cell r="AF294" t="str">
            <v>0 năm 3 tháng 21 ngày</v>
          </cell>
          <cell r="AH294">
            <v>44562</v>
          </cell>
          <cell r="AK294" t="str">
            <v>Công nhân vận hành máy may công nghiệp</v>
          </cell>
          <cell r="AO294">
            <v>3470000</v>
          </cell>
        </row>
        <row r="295">
          <cell r="E295">
            <v>50700</v>
          </cell>
          <cell r="F295" t="str">
            <v>Nguyễn Văn Đức</v>
          </cell>
          <cell r="G295">
            <v>36933</v>
          </cell>
          <cell r="H295">
            <v>21</v>
          </cell>
          <cell r="I295" t="str">
            <v>x</v>
          </cell>
          <cell r="K295" t="str">
            <v>038201015790</v>
          </cell>
          <cell r="L295">
            <v>43391</v>
          </cell>
          <cell r="M295" t="str">
            <v>Cục quản lý dân cư</v>
          </cell>
          <cell r="N295" t="str">
            <v>Kinh</v>
          </cell>
          <cell r="O295" t="str">
            <v>Không</v>
          </cell>
          <cell r="P295" t="str">
            <v>Việt Nam</v>
          </cell>
          <cell r="Q295" t="str">
            <v>9/12</v>
          </cell>
          <cell r="T295" t="str">
            <v>Xã Dân Quyền - Huyện Triệu Sơn - Tỉnh Thanh Hoá</v>
          </cell>
          <cell r="U295" t="str">
            <v>Xã Dân Quyền - Huyện Triệu Sơn - Tỉnh Thanh Hoá</v>
          </cell>
          <cell r="V295" t="str">
            <v>0337500152</v>
          </cell>
          <cell r="AE295">
            <v>44515</v>
          </cell>
          <cell r="AO295">
            <v>3285000</v>
          </cell>
        </row>
        <row r="296">
          <cell r="E296">
            <v>50703</v>
          </cell>
          <cell r="F296" t="str">
            <v>Lương Thị Phượng</v>
          </cell>
          <cell r="G296">
            <v>37924</v>
          </cell>
          <cell r="H296">
            <v>18</v>
          </cell>
          <cell r="J296" t="str">
            <v>x</v>
          </cell>
          <cell r="K296" t="str">
            <v>038303001081</v>
          </cell>
          <cell r="L296">
            <v>43234</v>
          </cell>
          <cell r="M296" t="str">
            <v>Cục quản lý dân cư</v>
          </cell>
          <cell r="N296" t="str">
            <v>Mường</v>
          </cell>
          <cell r="O296" t="str">
            <v>Không</v>
          </cell>
          <cell r="P296" t="str">
            <v>Việt Nam</v>
          </cell>
          <cell r="Q296" t="str">
            <v>11/12</v>
          </cell>
          <cell r="S296" t="str">
            <v>Xã Sơn Lư, huyện Quan Sơn, tỉnh Thanh Hoá</v>
          </cell>
          <cell r="T296" t="str">
            <v>Xã Sơn Lư, huyện Quan Sơn, tỉnh Thanh Hoá</v>
          </cell>
          <cell r="U296" t="str">
            <v>Khu Hao, thị trấn Sơn Lư, huyện Quan Sơn, tỉnh Thanh Hoá</v>
          </cell>
          <cell r="V296" t="str">
            <v>0376551971</v>
          </cell>
          <cell r="AD296">
            <v>105873664608</v>
          </cell>
          <cell r="AE296">
            <v>44379</v>
          </cell>
          <cell r="AG296">
            <v>44501</v>
          </cell>
          <cell r="AH296">
            <v>44531</v>
          </cell>
          <cell r="AK296" t="str">
            <v>Công nhân vận hành máy may công nghiệp</v>
          </cell>
          <cell r="AO296">
            <v>3470000</v>
          </cell>
        </row>
        <row r="297">
          <cell r="E297">
            <v>50705</v>
          </cell>
          <cell r="F297" t="str">
            <v>Lê Văn Tiến</v>
          </cell>
          <cell r="G297" t="str">
            <v>19/10/2003</v>
          </cell>
          <cell r="H297" t="e">
            <v>#VALUE!</v>
          </cell>
          <cell r="I297" t="str">
            <v>x</v>
          </cell>
          <cell r="K297" t="str">
            <v>038203012275</v>
          </cell>
          <cell r="L297">
            <v>44106</v>
          </cell>
          <cell r="M297" t="str">
            <v>Cục quản lý dân cư</v>
          </cell>
          <cell r="N297" t="str">
            <v>Kinh</v>
          </cell>
          <cell r="O297" t="str">
            <v>Không</v>
          </cell>
          <cell r="P297" t="str">
            <v>Việt Nam</v>
          </cell>
          <cell r="Q297" t="str">
            <v>12/12</v>
          </cell>
          <cell r="S297" t="str">
            <v>Xã Thọ Phú, huyện Triệu Sơn, tỉnh Thanh Hoá</v>
          </cell>
          <cell r="T297" t="str">
            <v>Xã Thọ Phú, huyện Triệu Sơn, tỉnh Thanh Hoá</v>
          </cell>
          <cell r="U297" t="str">
            <v>Thôn 3, xã Thọ Phú, huyện Triệu Sơn, tỉnh Thanh Hoá</v>
          </cell>
          <cell r="V297" t="str">
            <v>0336671908</v>
          </cell>
          <cell r="AE297">
            <v>44473</v>
          </cell>
          <cell r="AG297">
            <v>44501</v>
          </cell>
          <cell r="AO297">
            <v>3285000</v>
          </cell>
        </row>
        <row r="298">
          <cell r="E298">
            <v>50714</v>
          </cell>
          <cell r="F298" t="str">
            <v>Lê Xuân Thọ</v>
          </cell>
          <cell r="G298" t="str">
            <v>17/07/2001</v>
          </cell>
          <cell r="H298" t="e">
            <v>#VALUE!</v>
          </cell>
          <cell r="I298" t="str">
            <v>x</v>
          </cell>
          <cell r="K298" t="str">
            <v>038201005581</v>
          </cell>
          <cell r="L298" t="str">
            <v>22/04/2021</v>
          </cell>
          <cell r="M298" t="str">
            <v>Cục quản lý dân cư</v>
          </cell>
          <cell r="N298" t="str">
            <v>kinh</v>
          </cell>
          <cell r="O298" t="str">
            <v>Không</v>
          </cell>
          <cell r="P298" t="str">
            <v>Việt Nam</v>
          </cell>
          <cell r="Q298" t="str">
            <v>12/12</v>
          </cell>
          <cell r="S298" t="str">
            <v>Xã Dân Quyền - Huyện Triệu Sơn - Tỉnh Thanh Hoá</v>
          </cell>
          <cell r="T298" t="str">
            <v>Xã Dân Quyền - Huyện Triệu Sơn - Tỉnh Thanh Hoá</v>
          </cell>
          <cell r="U298" t="str">
            <v>Xã Dân Quyền - Huyện Triệu Sơn - Tỉnh Thanh Hoá</v>
          </cell>
          <cell r="V298" t="str">
            <v>0374092551</v>
          </cell>
          <cell r="AE298">
            <v>44517</v>
          </cell>
          <cell r="AH298">
            <v>44562</v>
          </cell>
          <cell r="AK298" t="str">
            <v>Công nhân vận hành máy may công nghiệp</v>
          </cell>
          <cell r="AO298">
            <v>3470000</v>
          </cell>
        </row>
        <row r="299">
          <cell r="E299">
            <v>50717</v>
          </cell>
          <cell r="F299" t="str">
            <v>Nguyễn Văn Quân</v>
          </cell>
          <cell r="G299">
            <v>36685</v>
          </cell>
          <cell r="H299">
            <v>21</v>
          </cell>
          <cell r="I299" t="str">
            <v>x</v>
          </cell>
          <cell r="K299" t="str">
            <v>038200013579</v>
          </cell>
          <cell r="L299">
            <v>44375</v>
          </cell>
          <cell r="M299" t="str">
            <v>Cục quản lý dân cư</v>
          </cell>
          <cell r="N299" t="str">
            <v>Kinh</v>
          </cell>
          <cell r="O299" t="str">
            <v>Không</v>
          </cell>
          <cell r="P299" t="str">
            <v>Việt Nam</v>
          </cell>
          <cell r="Q299" t="str">
            <v>12/12</v>
          </cell>
          <cell r="S299" t="str">
            <v>Xã Dân Lực, huyện Triệu Sơn, tỉnh Thanh Hoá</v>
          </cell>
          <cell r="T299" t="str">
            <v>Xã Dân Lực, huyện Triệu Sơn, tỉnh Thanh Hoá</v>
          </cell>
          <cell r="U299" t="str">
            <v>Đô Trang, Xã Dân Lực, huyện Triệu Sơn, tỉnh Thanh Hoá</v>
          </cell>
          <cell r="V299" t="str">
            <v>0904124407</v>
          </cell>
          <cell r="AE299">
            <v>44519</v>
          </cell>
          <cell r="AF299" t="str">
            <v>0 năm 3 tháng 15 ngày</v>
          </cell>
          <cell r="AO299">
            <v>3285000</v>
          </cell>
        </row>
        <row r="300">
          <cell r="E300">
            <v>50719</v>
          </cell>
          <cell r="F300" t="str">
            <v>Nguyễn Xuân Dũng</v>
          </cell>
          <cell r="G300" t="str">
            <v>28/09/1982</v>
          </cell>
          <cell r="H300" t="e">
            <v>#VALUE!</v>
          </cell>
          <cell r="I300" t="str">
            <v>x</v>
          </cell>
          <cell r="K300" t="str">
            <v>183968435</v>
          </cell>
          <cell r="L300" t="str">
            <v>28/08/2020</v>
          </cell>
          <cell r="M300" t="str">
            <v>Cục Quản Lý dân cư</v>
          </cell>
          <cell r="N300" t="str">
            <v>Kinh</v>
          </cell>
          <cell r="O300" t="str">
            <v>Không</v>
          </cell>
          <cell r="P300" t="str">
            <v>Việt nam</v>
          </cell>
          <cell r="Q300" t="str">
            <v>9/12</v>
          </cell>
          <cell r="S300" t="str">
            <v>Xã Hương Thuỷ- Huyện Hương khê - Tỉnh Hà Tĩnh</v>
          </cell>
          <cell r="T300" t="str">
            <v>Xã Hương Thuỷ -Huyện Hương Khê-Tỉnh Hà Tĩnh</v>
          </cell>
          <cell r="U300" t="str">
            <v>Xã Hương Thuỷ -Huyện Hương Khê-Tỉnh Hà Tĩnh</v>
          </cell>
          <cell r="V300" t="str">
            <v>0921128340</v>
          </cell>
          <cell r="AD300" t="str">
            <v>109874989858</v>
          </cell>
          <cell r="AE300">
            <v>44526</v>
          </cell>
          <cell r="AO300">
            <v>3285000</v>
          </cell>
        </row>
        <row r="301">
          <cell r="E301">
            <v>50723</v>
          </cell>
          <cell r="F301" t="str">
            <v>Trần Thị Tiệp</v>
          </cell>
          <cell r="G301" t="str">
            <v>19/05/1987</v>
          </cell>
          <cell r="H301" t="e">
            <v>#VALUE!</v>
          </cell>
          <cell r="J301" t="str">
            <v>x</v>
          </cell>
          <cell r="K301" t="str">
            <v>038187003962</v>
          </cell>
          <cell r="L301" t="str">
            <v>08/05/2021</v>
          </cell>
          <cell r="M301" t="str">
            <v>Cục quản lý dân cư</v>
          </cell>
          <cell r="N301" t="str">
            <v>kinh</v>
          </cell>
          <cell r="O301" t="str">
            <v>Không</v>
          </cell>
          <cell r="P301" t="str">
            <v>Việt Nam</v>
          </cell>
          <cell r="Q301" t="str">
            <v>9/12</v>
          </cell>
          <cell r="S301" t="str">
            <v>Thôn Phúc Hải - Xã Dân Lực -Huyện Triệu Sơn -Tỉnh Thanh Hoá</v>
          </cell>
          <cell r="T301" t="str">
            <v>Thôn Phúc Hải - Xã Dân Lực -Huyện Triệu Sơn -Tỉnh Thanh Hoá</v>
          </cell>
          <cell r="U301" t="str">
            <v>Thôn Phúc Hải - Xã Dân Lực -Huyện Triệu Sơn -Tỉnh Thanh Hoá</v>
          </cell>
          <cell r="V301" t="str">
            <v>0966419880</v>
          </cell>
          <cell r="AD301" t="str">
            <v>100875018714</v>
          </cell>
          <cell r="AE301">
            <v>44531</v>
          </cell>
          <cell r="AG301">
            <v>44612</v>
          </cell>
          <cell r="AH301">
            <v>44562</v>
          </cell>
          <cell r="AK301" t="str">
            <v>Công nhân vận hành máy may công nghiệp</v>
          </cell>
          <cell r="AO301">
            <v>3470000</v>
          </cell>
        </row>
        <row r="302">
          <cell r="E302">
            <v>50724</v>
          </cell>
          <cell r="F302" t="str">
            <v>Nguyễn Thị Nga</v>
          </cell>
          <cell r="G302" t="str">
            <v>08/05/1993</v>
          </cell>
          <cell r="H302">
            <v>28</v>
          </cell>
          <cell r="J302" t="str">
            <v>x</v>
          </cell>
          <cell r="K302" t="str">
            <v>038193006528</v>
          </cell>
          <cell r="L302" t="str">
            <v>28/062021</v>
          </cell>
          <cell r="M302" t="str">
            <v>Cục quản lý dân cư</v>
          </cell>
          <cell r="N302" t="str">
            <v>kinh</v>
          </cell>
          <cell r="O302" t="str">
            <v>Không</v>
          </cell>
          <cell r="P302" t="str">
            <v>Việt Nam</v>
          </cell>
          <cell r="Q302" t="str">
            <v>12/12</v>
          </cell>
          <cell r="S302" t="str">
            <v>Xã Thiệu Hoà - Huyện Thiệu Hoá-Tỉnh  Thanh Hoá</v>
          </cell>
          <cell r="T302" t="str">
            <v>Xã Thiệu Hoà - Huyện Thiệu Hoá-Tỉnh  Thanh Hoá</v>
          </cell>
          <cell r="U302" t="str">
            <v>Xã Thiệu Hoà - Huyện Thiệu Hoá-Tỉnh  Thanh Hoá</v>
          </cell>
          <cell r="V302" t="str">
            <v>0327731434</v>
          </cell>
          <cell r="AD302" t="str">
            <v>100874996467</v>
          </cell>
          <cell r="AE302">
            <v>44531</v>
          </cell>
          <cell r="AO302">
            <v>3285000</v>
          </cell>
        </row>
        <row r="303">
          <cell r="E303">
            <v>50725</v>
          </cell>
          <cell r="F303" t="str">
            <v>Trần Thị Dung</v>
          </cell>
          <cell r="G303" t="str">
            <v>16/11/1997</v>
          </cell>
          <cell r="H303" t="e">
            <v>#VALUE!</v>
          </cell>
          <cell r="J303" t="str">
            <v>x</v>
          </cell>
          <cell r="K303" t="str">
            <v>175003678</v>
          </cell>
          <cell r="L303">
            <v>42258</v>
          </cell>
          <cell r="M303" t="str">
            <v>Cục quản lý dân cư</v>
          </cell>
          <cell r="N303" t="str">
            <v>kinh</v>
          </cell>
          <cell r="O303" t="str">
            <v>Không</v>
          </cell>
          <cell r="P303" t="str">
            <v>Việt Nam</v>
          </cell>
          <cell r="Q303" t="str">
            <v>9/12</v>
          </cell>
          <cell r="S303" t="str">
            <v>Xã An Nông, huyện Triệu Sơn, tỉnh Thanh Hoá</v>
          </cell>
          <cell r="T303" t="str">
            <v>Xã An Nông, huyện Triệu Sơn, tỉnh Thanh Hoá</v>
          </cell>
          <cell r="U303" t="str">
            <v>Xã An Nông, huyện Triệu Sơn, tỉnh Thanh Hoá</v>
          </cell>
          <cell r="V303" t="str">
            <v>0396927289</v>
          </cell>
          <cell r="AD303" t="str">
            <v>103874996507</v>
          </cell>
          <cell r="AE303">
            <v>44531</v>
          </cell>
          <cell r="AO303">
            <v>3285000</v>
          </cell>
        </row>
        <row r="304">
          <cell r="E304">
            <v>50728</v>
          </cell>
          <cell r="F304" t="str">
            <v>Mai Thị Hạnh</v>
          </cell>
          <cell r="G304" t="str">
            <v>18/08/1982</v>
          </cell>
          <cell r="H304" t="e">
            <v>#VALUE!</v>
          </cell>
          <cell r="J304" t="str">
            <v>x</v>
          </cell>
          <cell r="K304" t="str">
            <v>173543913</v>
          </cell>
          <cell r="L304">
            <v>40977</v>
          </cell>
          <cell r="M304" t="str">
            <v>Cục quản lý dân cư</v>
          </cell>
          <cell r="N304" t="str">
            <v>kinh</v>
          </cell>
          <cell r="O304" t="str">
            <v>Không</v>
          </cell>
          <cell r="P304" t="str">
            <v>Việt Nam</v>
          </cell>
          <cell r="Q304" t="str">
            <v>9/12</v>
          </cell>
          <cell r="S304" t="str">
            <v>Xã Thọ Tân - Huyện Triệu Sơn -Tinh Thanh Hoá</v>
          </cell>
          <cell r="T304" t="str">
            <v>Xã Thọ Tân - Huyện Triệu Sơn -Tinh Thanh Hoá</v>
          </cell>
          <cell r="U304" t="str">
            <v>Xã Thọ Tân - Huyện Triệu Sơn -Tinh Thanh Hoá</v>
          </cell>
          <cell r="V304" t="str">
            <v>0966349547</v>
          </cell>
          <cell r="AE304">
            <v>44533</v>
          </cell>
          <cell r="AO304">
            <v>3285000</v>
          </cell>
        </row>
        <row r="305">
          <cell r="E305">
            <v>50730</v>
          </cell>
          <cell r="F305" t="str">
            <v>Phạm Khắc Quỳnh</v>
          </cell>
          <cell r="G305">
            <v>37862</v>
          </cell>
          <cell r="H305">
            <v>18</v>
          </cell>
          <cell r="I305" t="str">
            <v>x</v>
          </cell>
          <cell r="K305" t="str">
            <v>038203004552</v>
          </cell>
          <cell r="L305">
            <v>43518</v>
          </cell>
          <cell r="M305" t="str">
            <v>Cục quản lý dân cư</v>
          </cell>
          <cell r="N305" t="str">
            <v>kinh</v>
          </cell>
          <cell r="O305" t="str">
            <v>Không</v>
          </cell>
          <cell r="P305" t="str">
            <v>Việt Nam</v>
          </cell>
          <cell r="Q305" t="str">
            <v>12/12</v>
          </cell>
          <cell r="S305" t="str">
            <v>Xã Dân Quyền -Huyện  Triệu Sơn  -Tỉnh Thanh Hoá</v>
          </cell>
          <cell r="T305" t="str">
            <v>Xã Dân Quyền -Huyện  Triệu Sơn  -Tỉnh Thanh Hoá</v>
          </cell>
          <cell r="U305" t="str">
            <v>Xã Dân Quyền -Huyện  Triệu Sơn  -Tỉnh Thanh Hoá</v>
          </cell>
          <cell r="V305" t="str">
            <v>0354666499</v>
          </cell>
          <cell r="AD305" t="str">
            <v>106874881525</v>
          </cell>
          <cell r="AE305">
            <v>44529</v>
          </cell>
          <cell r="AO305">
            <v>3285000</v>
          </cell>
        </row>
        <row r="306">
          <cell r="E306">
            <v>50734</v>
          </cell>
          <cell r="F306" t="str">
            <v>Đoàn Hoàng Anh</v>
          </cell>
          <cell r="G306">
            <v>32926</v>
          </cell>
          <cell r="H306">
            <v>32</v>
          </cell>
          <cell r="J306" t="str">
            <v>x</v>
          </cell>
          <cell r="K306" t="str">
            <v>2080931975</v>
          </cell>
          <cell r="L306">
            <v>42299</v>
          </cell>
          <cell r="M306" t="str">
            <v>Cục quản lý dân cư</v>
          </cell>
          <cell r="N306" t="str">
            <v>kinh</v>
          </cell>
          <cell r="O306" t="str">
            <v>Không</v>
          </cell>
          <cell r="P306" t="str">
            <v>Việt Nam</v>
          </cell>
          <cell r="Q306" t="str">
            <v>9/12</v>
          </cell>
          <cell r="S306" t="str">
            <v>Ấp 1-Xã Uyên Hưng-Huyện Tân Uyên -Tỉnh Sông Bé</v>
          </cell>
          <cell r="T306" t="str">
            <v>Ấp 1-Xã Uyên Hưng-Huyện Tân Uyên -Tỉnh Sông Bé</v>
          </cell>
          <cell r="U306" t="str">
            <v>Xã Dân Lực - Huyện Triệu Sơn -Tỉnh Thanh Hoá</v>
          </cell>
          <cell r="V306" t="str">
            <v>0869650401</v>
          </cell>
          <cell r="AE306">
            <v>44538</v>
          </cell>
          <cell r="AO306">
            <v>3285000</v>
          </cell>
        </row>
        <row r="307">
          <cell r="E307">
            <v>50735</v>
          </cell>
          <cell r="F307" t="str">
            <v>Lê Thị Thuỳ Anh</v>
          </cell>
          <cell r="G307" t="str">
            <v>06/10/2002</v>
          </cell>
          <cell r="H307">
            <v>19</v>
          </cell>
          <cell r="K307" t="str">
            <v>038302002573</v>
          </cell>
          <cell r="L307" t="str">
            <v>16/04/2021</v>
          </cell>
          <cell r="M307" t="str">
            <v>Cục quản lý dân cư</v>
          </cell>
          <cell r="N307" t="str">
            <v>kinh</v>
          </cell>
          <cell r="O307" t="str">
            <v>Không</v>
          </cell>
          <cell r="P307" t="str">
            <v>Việt Nam</v>
          </cell>
          <cell r="Q307" t="str">
            <v>9/12</v>
          </cell>
          <cell r="S307" t="str">
            <v>Phố Giắt - Huyện Triệu Sơn -Tỉnh Thanh Hoá</v>
          </cell>
          <cell r="T307" t="str">
            <v>Phố Giắt - Huyện Triệu Sơn -Tỉnh Thanh Hoá</v>
          </cell>
          <cell r="U307" t="str">
            <v>Phố Giắt - Huyện Triệu Sơn -Tỉnh Thanh Hoá</v>
          </cell>
          <cell r="V307" t="str">
            <v>0964844038</v>
          </cell>
          <cell r="AD307" t="str">
            <v>10874880604</v>
          </cell>
          <cell r="AE307">
            <v>44538</v>
          </cell>
          <cell r="AO307">
            <v>3285000</v>
          </cell>
        </row>
        <row r="308">
          <cell r="E308">
            <v>50736</v>
          </cell>
          <cell r="F308" t="str">
            <v>Lê Xuân Minh</v>
          </cell>
          <cell r="G308" t="str">
            <v>06/02/1978</v>
          </cell>
          <cell r="H308">
            <v>43</v>
          </cell>
          <cell r="I308">
            <v>43</v>
          </cell>
          <cell r="J308" t="str">
            <v>x</v>
          </cell>
          <cell r="K308" t="str">
            <v>038078033649</v>
          </cell>
          <cell r="L308">
            <v>44389</v>
          </cell>
          <cell r="M308" t="str">
            <v>Cục quản lý dân cư</v>
          </cell>
          <cell r="N308" t="str">
            <v>kinh</v>
          </cell>
          <cell r="O308" t="str">
            <v>Không</v>
          </cell>
          <cell r="P308" t="str">
            <v>Việt Nam</v>
          </cell>
          <cell r="Q308" t="str">
            <v>9/12</v>
          </cell>
          <cell r="S308" t="str">
            <v>Xã Thọ Vực -Huyện Triệu Sơn -Tỉnh Thanh Hoá</v>
          </cell>
          <cell r="T308" t="str">
            <v>Xã Thọ Vực -Huyện Triệu Sơn -Tỉnh Thanh Hoá</v>
          </cell>
          <cell r="U308" t="str">
            <v>Xã Thọ Vực -Huyện Triệu Sơn -Tỉnh Thanh Hoá</v>
          </cell>
          <cell r="V308" t="str">
            <v>0906598640</v>
          </cell>
          <cell r="AD308" t="str">
            <v>100875005511</v>
          </cell>
          <cell r="AE308">
            <v>44539</v>
          </cell>
          <cell r="AH308">
            <v>44562</v>
          </cell>
          <cell r="AK308" t="str">
            <v>Nhân viên bảo vệ</v>
          </cell>
          <cell r="AO308">
            <v>3285000</v>
          </cell>
        </row>
        <row r="309">
          <cell r="E309">
            <v>50737</v>
          </cell>
          <cell r="F309" t="str">
            <v>Võ Trần Phú</v>
          </cell>
          <cell r="G309" t="str">
            <v>10/09/1995</v>
          </cell>
          <cell r="H309">
            <v>26</v>
          </cell>
          <cell r="I309" t="str">
            <v>x</v>
          </cell>
          <cell r="K309" t="str">
            <v>0837580071</v>
          </cell>
          <cell r="L309" t="str">
            <v>12/08/2011</v>
          </cell>
          <cell r="M309" t="str">
            <v>Cục quản lý dân cư</v>
          </cell>
          <cell r="N309" t="str">
            <v>kinh</v>
          </cell>
          <cell r="O309" t="str">
            <v>Không</v>
          </cell>
          <cell r="P309" t="str">
            <v>Việt Nam</v>
          </cell>
          <cell r="Q309" t="str">
            <v>9/12</v>
          </cell>
          <cell r="S309" t="str">
            <v>Thôn Đô Trang -Xã Dân Lực -Huyện Triệu Sơn -Tỉnh Thanh Hoá</v>
          </cell>
          <cell r="T309" t="str">
            <v>Thôn Đô Trang -Xã Dân Lực -Huyện Triệu Sơn -Tỉnh Thanh Hoá</v>
          </cell>
          <cell r="U309" t="str">
            <v>Thôn Đô Trang -Xã Dân Lực -Huyện Triệu Sơn -Tỉnh Thanh Hoá</v>
          </cell>
          <cell r="V309" t="str">
            <v>083780071</v>
          </cell>
          <cell r="AE309">
            <v>44538</v>
          </cell>
          <cell r="AO309">
            <v>3285000</v>
          </cell>
        </row>
        <row r="310">
          <cell r="E310">
            <v>50738</v>
          </cell>
          <cell r="F310" t="str">
            <v>Nguyễn Viết Hà</v>
          </cell>
          <cell r="G310" t="str">
            <v>05/03/1997</v>
          </cell>
          <cell r="H310">
            <v>24</v>
          </cell>
          <cell r="I310" t="str">
            <v>x</v>
          </cell>
          <cell r="K310" t="str">
            <v>038097000551</v>
          </cell>
          <cell r="L310" t="str">
            <v>19/08/2021</v>
          </cell>
          <cell r="M310" t="str">
            <v>Cục quản lý dân cư</v>
          </cell>
          <cell r="N310" t="str">
            <v>kinh</v>
          </cell>
          <cell r="O310" t="str">
            <v>Không</v>
          </cell>
          <cell r="P310" t="str">
            <v>Việt Nam</v>
          </cell>
          <cell r="Q310" t="str">
            <v>12/12</v>
          </cell>
          <cell r="S310" t="str">
            <v>Thôn 5 Xã Thọ Phú -Huyện Triệu Sơn -Tỉnh Thanh Hoá</v>
          </cell>
          <cell r="T310" t="str">
            <v>Thôn 5 Xã Thọ Phú -Huyện Triệu Sơn -Tỉnh Thanh Hoá</v>
          </cell>
          <cell r="U310" t="str">
            <v>Thôn 5 Xã Thọ Phú -Huyện Triệu Sơn -Tỉnh Thanh Hoá</v>
          </cell>
          <cell r="V310" t="str">
            <v>0342035653</v>
          </cell>
          <cell r="AD310">
            <v>107871870935</v>
          </cell>
          <cell r="AE310">
            <v>44540</v>
          </cell>
          <cell r="AO310">
            <v>3285000</v>
          </cell>
        </row>
        <row r="311">
          <cell r="E311">
            <v>50739</v>
          </cell>
          <cell r="F311" t="str">
            <v>Đỗ Thị Quyên</v>
          </cell>
          <cell r="G311">
            <v>32980</v>
          </cell>
          <cell r="H311">
            <v>31</v>
          </cell>
          <cell r="J311" t="str">
            <v>x</v>
          </cell>
          <cell r="K311" t="str">
            <v>038190013928</v>
          </cell>
          <cell r="L311" t="str">
            <v>16/072020</v>
          </cell>
          <cell r="M311" t="str">
            <v>Cục quản lý dân cư</v>
          </cell>
          <cell r="N311" t="str">
            <v>kinh</v>
          </cell>
          <cell r="O311" t="str">
            <v>Không</v>
          </cell>
          <cell r="P311" t="str">
            <v>Việt Nam</v>
          </cell>
          <cell r="Q311" t="str">
            <v>12/12</v>
          </cell>
          <cell r="S311" t="str">
            <v>Xã Thiệu Chính - Huyện Thiệu Hoá-Tỉnh Thanh Hoá</v>
          </cell>
          <cell r="T311" t="str">
            <v>Thôn 5 Xã Thọ Phú -Huyện Triệu Sơn -Tỉnh Thanh Hoá</v>
          </cell>
          <cell r="U311" t="str">
            <v>Thôn 5 Xã Thọ Phú -Huyện Triệu Sơn -Tỉnh Thanh Hoá</v>
          </cell>
          <cell r="V311" t="str">
            <v>0878808255</v>
          </cell>
          <cell r="AD311" t="str">
            <v>10874880507</v>
          </cell>
          <cell r="AE311">
            <v>44540</v>
          </cell>
          <cell r="AO311">
            <v>3285000</v>
          </cell>
        </row>
        <row r="312">
          <cell r="E312">
            <v>50740</v>
          </cell>
          <cell r="F312" t="str">
            <v>Lê Thị Thảo</v>
          </cell>
          <cell r="G312" t="str">
            <v>20/03/1994</v>
          </cell>
          <cell r="H312" t="e">
            <v>#VALUE!</v>
          </cell>
          <cell r="J312" t="str">
            <v>x</v>
          </cell>
          <cell r="K312" t="str">
            <v>018194005858</v>
          </cell>
          <cell r="L312" t="str">
            <v>01/06/2018</v>
          </cell>
          <cell r="M312" t="str">
            <v>Cục quản lý dân cư</v>
          </cell>
          <cell r="N312" t="str">
            <v>kinh</v>
          </cell>
          <cell r="O312" t="str">
            <v>Không</v>
          </cell>
          <cell r="P312" t="str">
            <v>Việt Nam</v>
          </cell>
          <cell r="Q312" t="str">
            <v>12/12</v>
          </cell>
          <cell r="S312" t="str">
            <v>Xã Thiệu Chính - Huyện Thiệu Hoá-Tỉnh Thanh Hoá</v>
          </cell>
          <cell r="T312" t="str">
            <v>Xã Thiệu Chính - Huyện Thiệu Hoá-Tỉnh Thanh Hoá</v>
          </cell>
          <cell r="U312" t="str">
            <v>Xã Thiệu Chính - Huyện Thiệu Hoá-Tỉnh Thanh Hoá</v>
          </cell>
          <cell r="V312" t="str">
            <v>0887880255</v>
          </cell>
          <cell r="AD312" t="str">
            <v>100874880898</v>
          </cell>
          <cell r="AE312">
            <v>44540</v>
          </cell>
          <cell r="AF312" t="str">
            <v/>
          </cell>
          <cell r="AO312">
            <v>3285000</v>
          </cell>
        </row>
        <row r="313">
          <cell r="E313">
            <v>50741</v>
          </cell>
          <cell r="F313" t="str">
            <v>Phan Văn Chinh</v>
          </cell>
          <cell r="G313" t="str">
            <v>10/10/1995</v>
          </cell>
          <cell r="H313">
            <v>26</v>
          </cell>
          <cell r="I313" t="str">
            <v>x</v>
          </cell>
          <cell r="K313" t="str">
            <v>038095033272</v>
          </cell>
          <cell r="L313" t="str">
            <v>08/12/2021</v>
          </cell>
          <cell r="M313" t="str">
            <v>Cục quản lý dân cư</v>
          </cell>
          <cell r="N313" t="str">
            <v>kinh</v>
          </cell>
          <cell r="O313" t="str">
            <v>Không</v>
          </cell>
          <cell r="P313" t="str">
            <v>Việt Nam</v>
          </cell>
          <cell r="Q313" t="str">
            <v>9/11</v>
          </cell>
          <cell r="S313" t="str">
            <v>Xã Dân Quyền -Huyện Triệu Sơn -Tỉnh Thanh Hoá</v>
          </cell>
          <cell r="T313" t="str">
            <v>Xã Dân Quyền -Huyện Triệu Sơn -Tỉnh Thanh Hoá</v>
          </cell>
          <cell r="U313" t="str">
            <v>Xã Dân Quyền -Huyện Triệu Sơn -Tỉnh Thanh Hoá</v>
          </cell>
          <cell r="V313" t="str">
            <v>0373280652</v>
          </cell>
          <cell r="AE313">
            <v>44543</v>
          </cell>
          <cell r="AO313">
            <v>3285000</v>
          </cell>
        </row>
        <row r="314">
          <cell r="E314">
            <v>50743</v>
          </cell>
          <cell r="F314" t="str">
            <v>Đàm Thị Duyên</v>
          </cell>
          <cell r="G314">
            <v>28912</v>
          </cell>
          <cell r="H314">
            <v>43</v>
          </cell>
          <cell r="I314" t="str">
            <v>x</v>
          </cell>
          <cell r="K314" t="str">
            <v>172306988</v>
          </cell>
          <cell r="L314">
            <v>44545</v>
          </cell>
          <cell r="M314" t="str">
            <v>Cục quản lý dân cư</v>
          </cell>
          <cell r="N314" t="str">
            <v>kinh</v>
          </cell>
          <cell r="O314" t="str">
            <v>Không</v>
          </cell>
          <cell r="P314" t="str">
            <v>Việt Nam</v>
          </cell>
          <cell r="Q314" t="str">
            <v>9/11</v>
          </cell>
          <cell r="S314" t="str">
            <v>Thôn 2 Xã Thọ Tân -Huyện Triệu Sơn -Tỉnh Thanh Hoá</v>
          </cell>
          <cell r="T314" t="str">
            <v>Thôn 2 Xã Thọ Tân -Huyện Triệu Sơn -Tỉnh Thanh Hoá</v>
          </cell>
          <cell r="U314" t="str">
            <v>Thôn 2 Xã Thọ Tân -Huyện Triệu Sơn -Tỉnh Thanh Hoá</v>
          </cell>
          <cell r="V314" t="str">
            <v>0348567368</v>
          </cell>
          <cell r="AE314">
            <v>44545</v>
          </cell>
          <cell r="AO314">
            <v>3285000</v>
          </cell>
        </row>
        <row r="315">
          <cell r="E315">
            <v>50746</v>
          </cell>
          <cell r="F315" t="str">
            <v>Nguyễn Văn Phương</v>
          </cell>
          <cell r="G315" t="str">
            <v/>
          </cell>
          <cell r="K315" t="str">
            <v>038097003085</v>
          </cell>
          <cell r="L315">
            <v>43161</v>
          </cell>
          <cell r="M315" t="str">
            <v>Cục quản lý dân cư</v>
          </cell>
          <cell r="Q315" t="str">
            <v>12/12</v>
          </cell>
          <cell r="S315" t="str">
            <v>Thôn Phúc Hải - Xã Dân Lực -Huyện Triệu Sơn -Tỉnh Thanh Hoá</v>
          </cell>
          <cell r="T315" t="str">
            <v>Thôn Phúc Hải - Xã Dân Lực -Huyện Triệu Sơn -Tỉnh Thanh Hoá</v>
          </cell>
          <cell r="U315" t="str">
            <v>Thôn Phúc Hải - Xã Dân Lực -Huyện Triệu Sơn -Tỉnh Thanh Hoá</v>
          </cell>
          <cell r="V315" t="str">
            <v>0987134740</v>
          </cell>
          <cell r="AE315">
            <v>44551</v>
          </cell>
        </row>
        <row r="316">
          <cell r="E316">
            <v>50749</v>
          </cell>
          <cell r="F316" t="str">
            <v>Hồ Thuỳ Trang</v>
          </cell>
          <cell r="G316">
            <v>37892</v>
          </cell>
          <cell r="H316">
            <v>18</v>
          </cell>
          <cell r="J316" t="str">
            <v>x</v>
          </cell>
          <cell r="K316" t="str">
            <v>038303000579</v>
          </cell>
          <cell r="L316" t="str">
            <v>12/07/2021</v>
          </cell>
          <cell r="M316" t="str">
            <v>Cục quản lý dân cư</v>
          </cell>
          <cell r="N316" t="str">
            <v>kinh</v>
          </cell>
          <cell r="O316" t="str">
            <v>Không</v>
          </cell>
          <cell r="P316" t="str">
            <v>Việt Nam</v>
          </cell>
          <cell r="Q316" t="str">
            <v>9/12</v>
          </cell>
          <cell r="S316" t="str">
            <v>Nông Trường - Triệu sơn - Thanh Hoá</v>
          </cell>
          <cell r="T316" t="str">
            <v>Nông Trường - Triệu sơn - Thanh Hoá</v>
          </cell>
          <cell r="U316" t="str">
            <v>Nông Trường - Triệu sơn - Thanh Hoá</v>
          </cell>
          <cell r="V316" t="str">
            <v>0338236003</v>
          </cell>
          <cell r="AE316">
            <v>44554</v>
          </cell>
          <cell r="AO316">
            <v>3285000</v>
          </cell>
        </row>
        <row r="317">
          <cell r="E317">
            <v>50750</v>
          </cell>
          <cell r="F317" t="str">
            <v>Lê Khắc Long Vũ</v>
          </cell>
          <cell r="G317" t="str">
            <v>17/07/2001</v>
          </cell>
          <cell r="H317" t="e">
            <v>#VALUE!</v>
          </cell>
          <cell r="I317" t="str">
            <v>x</v>
          </cell>
          <cell r="K317" t="str">
            <v>038201001668</v>
          </cell>
          <cell r="L317" t="str">
            <v>30/09/2016</v>
          </cell>
          <cell r="M317" t="str">
            <v>Cục quản lý dân cư</v>
          </cell>
          <cell r="N317" t="str">
            <v>kinh</v>
          </cell>
          <cell r="O317" t="str">
            <v>Không</v>
          </cell>
          <cell r="P317" t="str">
            <v>Việt Nam</v>
          </cell>
          <cell r="Q317" t="str">
            <v>9/12</v>
          </cell>
          <cell r="S317" t="str">
            <v>Xã Thiệu Hoà - Huyện Thiệu Hoá-Tỉnh  Thanh Hoá</v>
          </cell>
          <cell r="T317" t="str">
            <v>Xã Thiệu Hoà - Huyện Thiệu Hoá-Tỉnh  Thanh Hoá</v>
          </cell>
          <cell r="U317" t="str">
            <v>Xã Thiệu Hoà - Huyện Thiệu Hoá-Tỉnh  Thanh Hoá</v>
          </cell>
          <cell r="V317" t="str">
            <v>0868191384</v>
          </cell>
          <cell r="AE317">
            <v>44554</v>
          </cell>
          <cell r="AO317">
            <v>3285000</v>
          </cell>
        </row>
        <row r="318">
          <cell r="E318">
            <v>50601</v>
          </cell>
          <cell r="F318" t="str">
            <v>Tống Văn Hoà</v>
          </cell>
          <cell r="G318" t="str">
            <v>27/07/1990</v>
          </cell>
          <cell r="H318" t="e">
            <v>#VALUE!</v>
          </cell>
          <cell r="I318" t="str">
            <v>x</v>
          </cell>
          <cell r="K318" t="str">
            <v>038090007371</v>
          </cell>
          <cell r="L318">
            <v>43167</v>
          </cell>
          <cell r="M318" t="str">
            <v>Cục quản lý dân cư</v>
          </cell>
          <cell r="N318" t="str">
            <v>Kinh</v>
          </cell>
          <cell r="O318" t="str">
            <v>Không</v>
          </cell>
          <cell r="P318" t="str">
            <v>Việt Nam</v>
          </cell>
          <cell r="Q318" t="str">
            <v>12/12</v>
          </cell>
          <cell r="S318" t="str">
            <v>Xã Dân Lực, huyện Triệu Sơn, tỉnh Thanh Hoá</v>
          </cell>
          <cell r="T318" t="str">
            <v>Xã Dân Lực, huyện Triệu Sơn, tỉnh Thanh Hoá</v>
          </cell>
          <cell r="U318" t="str">
            <v>Xã Dân Lực, huyện Triệu Sơn, tỉnh Thanh Hoá</v>
          </cell>
          <cell r="V318" t="str">
            <v>0823501045</v>
          </cell>
          <cell r="AD318">
            <v>109874470836</v>
          </cell>
          <cell r="AE318">
            <v>44473</v>
          </cell>
          <cell r="AH318">
            <v>44562</v>
          </cell>
          <cell r="AK318" t="str">
            <v>Nhân viên cơ điện</v>
          </cell>
          <cell r="AO318">
            <v>3470000</v>
          </cell>
        </row>
        <row r="319">
          <cell r="E319">
            <v>50752</v>
          </cell>
          <cell r="F319" t="str">
            <v>Trịnh ĐÌnh Quân</v>
          </cell>
          <cell r="G319">
            <v>37935</v>
          </cell>
          <cell r="H319">
            <v>18</v>
          </cell>
          <cell r="I319" t="str">
            <v>x</v>
          </cell>
          <cell r="K319" t="str">
            <v>038203012255</v>
          </cell>
          <cell r="L319">
            <v>44326</v>
          </cell>
          <cell r="M319" t="str">
            <v>Cục quản lý dân cư</v>
          </cell>
          <cell r="N319" t="str">
            <v>Kinh</v>
          </cell>
          <cell r="O319" t="str">
            <v>Không</v>
          </cell>
          <cell r="P319" t="str">
            <v>Việt Nam</v>
          </cell>
          <cell r="Q319" t="str">
            <v>9/12</v>
          </cell>
          <cell r="S319" t="str">
            <v>Xã Dân Lực, huyện Triệu Sơn, tỉnh Thanh Hoá</v>
          </cell>
          <cell r="T319" t="str">
            <v>Xã Dân Lực, huyện Triệu Sơn, tỉnh Thanh Hoá</v>
          </cell>
          <cell r="U319" t="str">
            <v>Thôn Thiệu Chính, Xã Dân Lực, huyện Triệu Sơn, tỉnh Thanh Hoá</v>
          </cell>
          <cell r="V319" t="str">
            <v>0387233650</v>
          </cell>
          <cell r="AD319">
            <v>105873664538</v>
          </cell>
          <cell r="AE319">
            <v>44406</v>
          </cell>
          <cell r="AG319">
            <v>44531</v>
          </cell>
          <cell r="AO319">
            <v>3285000</v>
          </cell>
        </row>
        <row r="320">
          <cell r="E320">
            <v>50753</v>
          </cell>
          <cell r="F320" t="str">
            <v>Nguyễn Đăng Châu</v>
          </cell>
          <cell r="G320">
            <v>37945</v>
          </cell>
          <cell r="H320">
            <v>18</v>
          </cell>
          <cell r="I320" t="str">
            <v>x</v>
          </cell>
          <cell r="K320" t="str">
            <v>038203012007</v>
          </cell>
          <cell r="L320">
            <v>43852</v>
          </cell>
          <cell r="M320" t="str">
            <v>Cục quản lý dân cư</v>
          </cell>
          <cell r="N320" t="str">
            <v>Kinh</v>
          </cell>
          <cell r="O320" t="str">
            <v>Không</v>
          </cell>
          <cell r="P320" t="str">
            <v>Việt Nam</v>
          </cell>
          <cell r="Q320" t="str">
            <v>12/12</v>
          </cell>
          <cell r="S320" t="str">
            <v>Xã An Nông, huyện Triệu Sơn, tỉnh Thanh Hoá</v>
          </cell>
          <cell r="T320" t="str">
            <v>Xã An Nông, huyện Triệu Sơn, tỉnh Thanh Hoá</v>
          </cell>
          <cell r="U320" t="str">
            <v>Xã An Nông, huyện Triệu Sơn, tỉnh Thanh Hoá</v>
          </cell>
          <cell r="V320" t="str">
            <v>0342307121</v>
          </cell>
          <cell r="AD320">
            <v>104873664539</v>
          </cell>
          <cell r="AE320">
            <v>44406</v>
          </cell>
          <cell r="AG320">
            <v>44531</v>
          </cell>
          <cell r="AH320">
            <v>44562</v>
          </cell>
          <cell r="AK320" t="str">
            <v>Công nhân vận hành máy may công nghiệp</v>
          </cell>
          <cell r="AO320">
            <v>3470000</v>
          </cell>
        </row>
        <row r="321">
          <cell r="E321">
            <v>50756</v>
          </cell>
          <cell r="F321" t="str">
            <v>Lê Văn  Đức</v>
          </cell>
          <cell r="G321" t="str">
            <v>07/07/1996</v>
          </cell>
          <cell r="H321">
            <v>25</v>
          </cell>
          <cell r="K321" t="str">
            <v>038096002140</v>
          </cell>
          <cell r="L321" t="str">
            <v>14/09/2021</v>
          </cell>
          <cell r="M321" t="str">
            <v>Cục quản lý dân cư</v>
          </cell>
          <cell r="N321" t="str">
            <v>Kinh</v>
          </cell>
          <cell r="O321" t="str">
            <v>Không</v>
          </cell>
          <cell r="P321" t="str">
            <v>Việt Nam</v>
          </cell>
          <cell r="Q321" t="str">
            <v>12/12</v>
          </cell>
          <cell r="S321" t="str">
            <v>Thôn 3 Xã Thọ Phú -Huyện Triệu Sơn -Tỉnh Thanh Hoá</v>
          </cell>
          <cell r="T321" t="str">
            <v>Thôn 3 Xã Thọ Phú -Huyện Triệu Sơn -Tỉnh Thanh Hoá</v>
          </cell>
          <cell r="U321" t="str">
            <v>Thôn 3 Xã Thọ Phú -Huyện Triệu Sơn -Tỉnh Thanh Hoá</v>
          </cell>
          <cell r="V321" t="str">
            <v>0359922178</v>
          </cell>
          <cell r="AE321">
            <v>44559</v>
          </cell>
          <cell r="AO321">
            <v>3285000</v>
          </cell>
        </row>
        <row r="322">
          <cell r="E322">
            <v>50757</v>
          </cell>
          <cell r="F322" t="str">
            <v>Lê Thị Thanh</v>
          </cell>
          <cell r="G322" t="str">
            <v>20/02/1990</v>
          </cell>
          <cell r="H322" t="e">
            <v>#VALUE!</v>
          </cell>
          <cell r="K322" t="str">
            <v>038190020053</v>
          </cell>
          <cell r="L322" t="str">
            <v>24/02/2001</v>
          </cell>
          <cell r="M322" t="str">
            <v>Cục quản lý dân cư</v>
          </cell>
          <cell r="N322" t="str">
            <v>Kinh</v>
          </cell>
          <cell r="O322" t="str">
            <v>Không</v>
          </cell>
          <cell r="P322" t="str">
            <v>Việt Nam</v>
          </cell>
          <cell r="Q322" t="str">
            <v>12/12</v>
          </cell>
          <cell r="S322" t="str">
            <v>Xã Dân Lý - Huyện Triệu Sơn - Tỉnh Thanh hoá</v>
          </cell>
          <cell r="T322" t="str">
            <v>Xã Dân Lý - Huyện Triệu Sơn - Tỉnh Thanh hoá</v>
          </cell>
          <cell r="U322" t="str">
            <v>Xã Dân Lý - Huyện Triệu Sơn - Tỉnh Thanh hoá</v>
          </cell>
          <cell r="V322" t="str">
            <v>0383914065</v>
          </cell>
          <cell r="AE322">
            <v>44559</v>
          </cell>
          <cell r="AO322">
            <v>3285000</v>
          </cell>
        </row>
        <row r="323">
          <cell r="E323">
            <v>50760</v>
          </cell>
          <cell r="F323" t="str">
            <v>Nguyễn Thị Thương</v>
          </cell>
          <cell r="G323">
            <v>34163</v>
          </cell>
          <cell r="H323">
            <v>28</v>
          </cell>
          <cell r="K323" t="str">
            <v>001193018507</v>
          </cell>
          <cell r="L323">
            <v>44302</v>
          </cell>
          <cell r="M323" t="str">
            <v>Cục quản lý dân cư</v>
          </cell>
          <cell r="N323" t="str">
            <v>Kinh</v>
          </cell>
          <cell r="O323" t="str">
            <v>Không</v>
          </cell>
          <cell r="P323" t="str">
            <v>Việt Nam</v>
          </cell>
          <cell r="Q323" t="str">
            <v>12/12</v>
          </cell>
          <cell r="S323" t="str">
            <v>Xã Dân Quyền -Huyện  Triệu Sơn  -Tỉnh Thanh Hoá</v>
          </cell>
          <cell r="T323" t="str">
            <v>Xã Dân Quyền -Huyện  Triệu Sơn  -Tỉnh Thanh Hoá</v>
          </cell>
          <cell r="U323" t="str">
            <v>Xã Dân Quyền -Huyện  Triệu Sơn  -Tỉnh Thanh Hoá</v>
          </cell>
          <cell r="V323" t="str">
            <v>0986986241</v>
          </cell>
          <cell r="AE323">
            <v>44569</v>
          </cell>
          <cell r="AO323">
            <v>3285000</v>
          </cell>
        </row>
        <row r="324">
          <cell r="E324">
            <v>50761</v>
          </cell>
          <cell r="F324" t="str">
            <v>Mạch Văn Tuân</v>
          </cell>
          <cell r="G324">
            <v>32282</v>
          </cell>
          <cell r="H324">
            <v>33</v>
          </cell>
          <cell r="K324" t="str">
            <v>038088017740</v>
          </cell>
          <cell r="L324">
            <v>43860</v>
          </cell>
          <cell r="M324" t="str">
            <v>Cục quản lý dân cư</v>
          </cell>
          <cell r="N324" t="str">
            <v>Kinh</v>
          </cell>
          <cell r="O324" t="str">
            <v>Không</v>
          </cell>
          <cell r="P324" t="str">
            <v>Việt Nam</v>
          </cell>
          <cell r="Q324" t="str">
            <v>12/12</v>
          </cell>
          <cell r="S324" t="str">
            <v>Xã Công Liêm-Huyện Nông Cống-Tỉnh Thanh Hoá</v>
          </cell>
          <cell r="T324" t="str">
            <v>Xã Công Liêm -Huyện Nông Cống -Tỉnh Thanh Hoá</v>
          </cell>
          <cell r="U324" t="str">
            <v>Xã Công Liêm -Huyện Nông Cống -Tỉnh Thanh Hoá</v>
          </cell>
          <cell r="V324" t="str">
            <v>0984374900</v>
          </cell>
          <cell r="AE324">
            <v>44585</v>
          </cell>
          <cell r="AO324">
            <v>3285000</v>
          </cell>
        </row>
        <row r="325">
          <cell r="E325">
            <v>50762</v>
          </cell>
          <cell r="F325" t="str">
            <v>Ngô Thị Lan</v>
          </cell>
          <cell r="G325">
            <v>37963</v>
          </cell>
          <cell r="H325">
            <v>18</v>
          </cell>
          <cell r="J325" t="str">
            <v>x</v>
          </cell>
          <cell r="K325" t="str">
            <v>038303011278</v>
          </cell>
          <cell r="L325" t="str">
            <v>10/02/2020</v>
          </cell>
          <cell r="M325" t="str">
            <v>Cục quản lý dân cư</v>
          </cell>
          <cell r="N325" t="str">
            <v>kinh</v>
          </cell>
          <cell r="O325" t="str">
            <v>không</v>
          </cell>
          <cell r="P325" t="str">
            <v>Việt Nam</v>
          </cell>
          <cell r="Q325" t="str">
            <v>12/12</v>
          </cell>
          <cell r="V325" t="str">
            <v>0335419650</v>
          </cell>
          <cell r="AD325" t="str">
            <v>108874882631</v>
          </cell>
          <cell r="AE325">
            <v>44494</v>
          </cell>
          <cell r="AO325">
            <v>3285000</v>
          </cell>
        </row>
        <row r="326">
          <cell r="E326">
            <v>50763</v>
          </cell>
          <cell r="F326" t="str">
            <v>Trần Thị Loan</v>
          </cell>
          <cell r="G326">
            <v>37967</v>
          </cell>
          <cell r="H326">
            <v>18</v>
          </cell>
          <cell r="J326" t="str">
            <v>x</v>
          </cell>
          <cell r="K326" t="str">
            <v>038303014441</v>
          </cell>
          <cell r="L326" t="str">
            <v>13/05/2021</v>
          </cell>
          <cell r="M326" t="str">
            <v>Cục quản lý dân cư</v>
          </cell>
          <cell r="N326" t="str">
            <v>Kinh</v>
          </cell>
          <cell r="O326" t="str">
            <v>Không</v>
          </cell>
          <cell r="P326" t="str">
            <v>Việt Nam</v>
          </cell>
          <cell r="Q326" t="str">
            <v>12/12</v>
          </cell>
          <cell r="S326" t="str">
            <v>Xã Thiệu Hoà, huyện Thiệu Hoá, tỉnh Thanh Hoá</v>
          </cell>
          <cell r="T326" t="str">
            <v>Xã Thiệu Hoà, huyện Thiệu Hoá, tỉnh Thanh Hoá</v>
          </cell>
          <cell r="U326" t="str">
            <v>Thôn Thái Hoà, xã Thiệu Hoà, huyện Thiệu Hoá, tỉnh Thanh Hoá</v>
          </cell>
          <cell r="AD326" t="str">
            <v>101874050462</v>
          </cell>
          <cell r="AE326">
            <v>44466</v>
          </cell>
          <cell r="AO326">
            <v>3285000</v>
          </cell>
        </row>
        <row r="327">
          <cell r="E327">
            <v>50764</v>
          </cell>
          <cell r="F327" t="str">
            <v>Phạm Hồng Nhung</v>
          </cell>
          <cell r="G327">
            <v>37980</v>
          </cell>
          <cell r="H327">
            <v>18</v>
          </cell>
          <cell r="J327" t="str">
            <v>x</v>
          </cell>
          <cell r="K327" t="str">
            <v>'038303003819</v>
          </cell>
          <cell r="L327" t="str">
            <v>11/08/2021</v>
          </cell>
          <cell r="M327" t="str">
            <v>Cục quản lý dân cư</v>
          </cell>
          <cell r="N327" t="str">
            <v>kinh</v>
          </cell>
          <cell r="O327" t="str">
            <v>không</v>
          </cell>
          <cell r="V327" t="str">
            <v>0332996172</v>
          </cell>
          <cell r="AD327" t="str">
            <v>106874882509</v>
          </cell>
          <cell r="AE327">
            <v>44494</v>
          </cell>
          <cell r="AO327">
            <v>3285000</v>
          </cell>
        </row>
        <row r="328">
          <cell r="E328">
            <v>50767</v>
          </cell>
          <cell r="F328" t="str">
            <v>Vũ Thị Diễm</v>
          </cell>
          <cell r="G328">
            <v>26645</v>
          </cell>
          <cell r="H328">
            <v>49</v>
          </cell>
          <cell r="J328" t="str">
            <v>x</v>
          </cell>
          <cell r="K328" t="str">
            <v>038172026628</v>
          </cell>
          <cell r="L328">
            <v>44419</v>
          </cell>
          <cell r="M328" t="str">
            <v>Cục quản lý dân cư</v>
          </cell>
          <cell r="N328" t="str">
            <v>Kinh</v>
          </cell>
          <cell r="O328" t="str">
            <v>Không</v>
          </cell>
          <cell r="P328" t="str">
            <v>Việt Nam</v>
          </cell>
          <cell r="Q328" t="str">
            <v>12/12</v>
          </cell>
          <cell r="S328" t="str">
            <v>Xã Thọ Phú -Huyện Triệu Sơn -Tỉnh Thanh Hoá</v>
          </cell>
          <cell r="T328" t="str">
            <v>Xã Thọ Phú -Huyện Triệu Sơn -Tỉnh Thanh Hoá</v>
          </cell>
          <cell r="U328" t="str">
            <v>Xã Thọ Phú -Huyện Triệu Sơn -Tỉnh Thanh Hoá</v>
          </cell>
          <cell r="V328" t="str">
            <v>0376029383</v>
          </cell>
          <cell r="AE328">
            <v>44223</v>
          </cell>
          <cell r="AO328">
            <v>3224000</v>
          </cell>
        </row>
        <row r="329">
          <cell r="E329">
            <v>50768</v>
          </cell>
          <cell r="F329" t="str">
            <v>Lê Thị Sâm</v>
          </cell>
          <cell r="G329">
            <v>32387</v>
          </cell>
          <cell r="H329">
            <v>33</v>
          </cell>
          <cell r="K329" t="str">
            <v>038188015822</v>
          </cell>
          <cell r="L329" t="str">
            <v>14/02/2020</v>
          </cell>
          <cell r="M329" t="str">
            <v>Cục quản lý dân cư</v>
          </cell>
          <cell r="N329" t="str">
            <v>Kinh</v>
          </cell>
          <cell r="O329" t="str">
            <v>Không</v>
          </cell>
          <cell r="P329" t="str">
            <v>Việt Nam</v>
          </cell>
          <cell r="Q329" t="str">
            <v>12/12</v>
          </cell>
          <cell r="S329" t="str">
            <v>Xã Xuân Thịnh -HuyệnTriệu Sơn -Tỉnh Thanh Hoá</v>
          </cell>
          <cell r="T329" t="str">
            <v>Xã Xuân Thịnh -HuyệnTriệu Sơn -Tỉnh Thanh Hoá</v>
          </cell>
          <cell r="U329" t="str">
            <v>Xã Xuân Thịnh -HuyệnTriệu Sơn -Tỉnh Thanh Hoá</v>
          </cell>
          <cell r="V329" t="str">
            <v>0968990857</v>
          </cell>
          <cell r="AE329">
            <v>44601</v>
          </cell>
          <cell r="AO329">
            <v>3285000</v>
          </cell>
        </row>
        <row r="330">
          <cell r="E330">
            <v>50769</v>
          </cell>
          <cell r="F330" t="str">
            <v>Bùi Thị Dung</v>
          </cell>
          <cell r="G330" t="str">
            <v>09/02/1982</v>
          </cell>
          <cell r="H330">
            <v>39</v>
          </cell>
          <cell r="J330" t="str">
            <v>x</v>
          </cell>
          <cell r="K330" t="str">
            <v>027182013668</v>
          </cell>
          <cell r="L330">
            <v>44419</v>
          </cell>
          <cell r="M330" t="str">
            <v>Cục quản lý dân cư</v>
          </cell>
          <cell r="N330" t="str">
            <v>Kinh</v>
          </cell>
          <cell r="O330" t="str">
            <v>Không</v>
          </cell>
          <cell r="P330" t="str">
            <v>Việt Nam</v>
          </cell>
          <cell r="Q330" t="str">
            <v>12/12</v>
          </cell>
          <cell r="S330" t="str">
            <v>Xã Thọ Phú -Huyện Triệu Sơn -Tỉnh Thanh Hoá</v>
          </cell>
          <cell r="T330" t="str">
            <v>Xã Thọ Phú -Huyện Triệu Sơn -Tỉnh Thanh Hoá</v>
          </cell>
          <cell r="U330" t="str">
            <v>Xã Thọ Phú -Huyện Triệu Sơn -Tỉnh Thanh Hoá</v>
          </cell>
          <cell r="V330" t="str">
            <v>0356824530</v>
          </cell>
          <cell r="AE330">
            <v>44601</v>
          </cell>
          <cell r="AO330">
            <v>3285000</v>
          </cell>
        </row>
        <row r="331">
          <cell r="E331">
            <v>50770</v>
          </cell>
          <cell r="F331" t="str">
            <v>Quách Dương Tiến</v>
          </cell>
          <cell r="G331" t="str">
            <v>01/03/1995</v>
          </cell>
          <cell r="H331">
            <v>27</v>
          </cell>
          <cell r="I331" t="str">
            <v>x</v>
          </cell>
          <cell r="K331" t="str">
            <v>038095006947</v>
          </cell>
          <cell r="L331" t="str">
            <v>28/062021</v>
          </cell>
          <cell r="M331" t="str">
            <v>Cục quản lý dân cư</v>
          </cell>
          <cell r="N331" t="str">
            <v>Kinh</v>
          </cell>
          <cell r="O331" t="str">
            <v>Không</v>
          </cell>
          <cell r="P331" t="str">
            <v>Việt Nam</v>
          </cell>
          <cell r="Q331" t="str">
            <v>12/12</v>
          </cell>
          <cell r="S331" t="str">
            <v>Xã Can Khê -Huyện Như Thanh - Tỉnh Thanh Hoá</v>
          </cell>
          <cell r="T331" t="str">
            <v>Xã Can Khê -Huyện Như Thanh - Tỉnh Thanh Hoá</v>
          </cell>
          <cell r="U331" t="str">
            <v>Xã Can Khê -Huyện Như Thanh - Tỉnh Thanh Hoá</v>
          </cell>
          <cell r="V331" t="str">
            <v>0797869666</v>
          </cell>
          <cell r="AE331">
            <v>44601</v>
          </cell>
          <cell r="AO331">
            <v>3285000</v>
          </cell>
        </row>
        <row r="332">
          <cell r="E332">
            <v>50771</v>
          </cell>
          <cell r="F332" t="str">
            <v>Lê Thị Huyền</v>
          </cell>
          <cell r="G332">
            <v>36384</v>
          </cell>
          <cell r="H332">
            <v>22</v>
          </cell>
          <cell r="J332" t="str">
            <v>x</v>
          </cell>
          <cell r="K332" t="str">
            <v>038199006713</v>
          </cell>
          <cell r="L332">
            <v>42716</v>
          </cell>
          <cell r="M332" t="str">
            <v>Cục quản lý dân cư</v>
          </cell>
          <cell r="N332" t="str">
            <v>Kinh</v>
          </cell>
          <cell r="O332" t="str">
            <v>Không</v>
          </cell>
          <cell r="P332" t="str">
            <v>Việt Nam</v>
          </cell>
          <cell r="Q332" t="str">
            <v>12/12</v>
          </cell>
          <cell r="S332" t="str">
            <v>Thôn 9 Xã Dân Quyền Huyện Triệu Sơn -Tỉnh Thanh Hoá</v>
          </cell>
          <cell r="T332" t="str">
            <v>Thôn 9 Xã Dân Quyền Huyện Triệu Sơn -Tỉnh Thanh Hoá</v>
          </cell>
          <cell r="U332" t="str">
            <v>Thôn 9 Xã Dân Quyền Huyện Triệu Sơn -Tỉnh Thanh Hoá</v>
          </cell>
          <cell r="V332" t="str">
            <v>0326295918</v>
          </cell>
          <cell r="AE332">
            <v>44601</v>
          </cell>
          <cell r="AO332">
            <v>3285000</v>
          </cell>
        </row>
        <row r="333">
          <cell r="E333">
            <v>50772</v>
          </cell>
          <cell r="F333" t="str">
            <v>Vũ Thị Ngọc</v>
          </cell>
          <cell r="G333">
            <v>35379</v>
          </cell>
          <cell r="H333">
            <v>25</v>
          </cell>
          <cell r="J333" t="str">
            <v>x</v>
          </cell>
          <cell r="K333" t="str">
            <v>038196005285</v>
          </cell>
          <cell r="L333">
            <v>43454</v>
          </cell>
          <cell r="M333" t="str">
            <v>Cục quản lý dân cư</v>
          </cell>
          <cell r="N333" t="str">
            <v>Kinh</v>
          </cell>
          <cell r="O333" t="str">
            <v>Không</v>
          </cell>
          <cell r="P333" t="str">
            <v>Việt Nam</v>
          </cell>
          <cell r="Q333" t="str">
            <v>9/11</v>
          </cell>
          <cell r="S333" t="str">
            <v>Xã Dân Quyền -Huyện  Triệu Sơn  -Tỉnh Thanh Hoá</v>
          </cell>
          <cell r="T333" t="str">
            <v>Xã Dân Quyền -Huyện  Triệu Sơn  -Tỉnh Thanh Hoá</v>
          </cell>
          <cell r="U333" t="str">
            <v>Xã Dân Quyền -Huyện  Triệu Sơn  -Tỉnh Thanh Hoá</v>
          </cell>
          <cell r="V333" t="str">
            <v>0383125917</v>
          </cell>
          <cell r="AD333" t="str">
            <v>109868653835</v>
          </cell>
          <cell r="AE333">
            <v>44601</v>
          </cell>
          <cell r="AO333">
            <v>3285000</v>
          </cell>
        </row>
        <row r="334">
          <cell r="E334">
            <v>50773</v>
          </cell>
          <cell r="F334" t="str">
            <v>Lê Thị Hiên</v>
          </cell>
          <cell r="G334">
            <v>32186</v>
          </cell>
          <cell r="H334">
            <v>34</v>
          </cell>
          <cell r="J334" t="str">
            <v>x</v>
          </cell>
          <cell r="K334" t="str">
            <v>040188000731</v>
          </cell>
          <cell r="L334">
            <v>44427</v>
          </cell>
          <cell r="M334" t="str">
            <v>Cục quản lý dân cư</v>
          </cell>
          <cell r="N334" t="str">
            <v>Kinh</v>
          </cell>
          <cell r="O334" t="str">
            <v>Không</v>
          </cell>
          <cell r="P334" t="str">
            <v>Việt Nam</v>
          </cell>
          <cell r="Q334" t="str">
            <v>12/12</v>
          </cell>
          <cell r="S334" t="str">
            <v>Thiệu Lý-Thiệu Hoá -Thanh Hoá</v>
          </cell>
          <cell r="T334" t="str">
            <v>Thiệu Lý-Thiệu Hoá -Thanh Hoá</v>
          </cell>
          <cell r="U334" t="str">
            <v>Thiệu Lý-Thiệu Hoá -Thanh Hoá</v>
          </cell>
          <cell r="V334" t="str">
            <v>0355564127</v>
          </cell>
          <cell r="AE334">
            <v>44601</v>
          </cell>
          <cell r="AO334">
            <v>3285000</v>
          </cell>
        </row>
        <row r="335">
          <cell r="E335">
            <v>50774</v>
          </cell>
          <cell r="F335" t="str">
            <v>Trần Thị Chung</v>
          </cell>
          <cell r="G335" t="str">
            <v>28/12/1990</v>
          </cell>
          <cell r="H335" t="e">
            <v>#VALUE!</v>
          </cell>
          <cell r="J335" t="str">
            <v>x</v>
          </cell>
          <cell r="K335" t="str">
            <v>040190000617</v>
          </cell>
          <cell r="L335">
            <v>42794</v>
          </cell>
          <cell r="M335" t="str">
            <v>Cục quản lý dân cư</v>
          </cell>
          <cell r="N335" t="str">
            <v>Kinh</v>
          </cell>
          <cell r="O335" t="str">
            <v>Không</v>
          </cell>
          <cell r="P335" t="str">
            <v>Việt Nam</v>
          </cell>
          <cell r="Q335" t="str">
            <v>9/11</v>
          </cell>
          <cell r="S335" t="str">
            <v>Thôn Phúc Hải -Xã Dân Lực -Huyện Triệu Sơn -Tỉnh Thanh Hoá</v>
          </cell>
          <cell r="T335" t="str">
            <v>Thôn Phúc Hải -Xã Dân Lực -Huyện Triệu Sơn -Tỉnh Thanh Hoá</v>
          </cell>
          <cell r="U335" t="str">
            <v>Thôn Phúc Hải -Xã Dân Lực -Huyện Triệu Sơn -Tỉnh Thanh Hoá</v>
          </cell>
          <cell r="V335" t="str">
            <v>0972718243</v>
          </cell>
          <cell r="AE335">
            <v>44601</v>
          </cell>
          <cell r="AO335">
            <v>3285000</v>
          </cell>
        </row>
        <row r="336">
          <cell r="E336">
            <v>50775</v>
          </cell>
          <cell r="F336" t="str">
            <v>Đỗ Thị Hải Yến</v>
          </cell>
          <cell r="G336">
            <v>36001</v>
          </cell>
          <cell r="H336">
            <v>23</v>
          </cell>
          <cell r="J336" t="str">
            <v>x</v>
          </cell>
          <cell r="K336" t="str">
            <v>038198000136</v>
          </cell>
          <cell r="L336">
            <v>42429</v>
          </cell>
          <cell r="M336" t="str">
            <v>Cục quản lý dân cư</v>
          </cell>
          <cell r="N336" t="str">
            <v>Kinh</v>
          </cell>
          <cell r="O336" t="str">
            <v>Không</v>
          </cell>
          <cell r="P336" t="str">
            <v>Việt Nam</v>
          </cell>
          <cell r="Q336" t="str">
            <v>9/11</v>
          </cell>
          <cell r="S336" t="str">
            <v>Thôn Phúc Hải -Xã Dân Lực -Huyện Triệu Sơn -Tỉnh Thanh Hoá</v>
          </cell>
          <cell r="T336" t="str">
            <v>Thôn Phúc Hải -Xã Dân Lực -Huyện Triệu Sơn -Tỉnh Thanh Hoá</v>
          </cell>
          <cell r="U336" t="str">
            <v>Thôn Phúc Hải -Xã Dân Lực -Huyện Triệu Sơn -Tỉnh Thanh Hoá</v>
          </cell>
          <cell r="V336" t="str">
            <v>0981922458</v>
          </cell>
          <cell r="AE336">
            <v>44602</v>
          </cell>
          <cell r="AO336">
            <v>3285000</v>
          </cell>
        </row>
        <row r="337">
          <cell r="E337">
            <v>50777</v>
          </cell>
          <cell r="F337" t="str">
            <v>Đào Khả Long</v>
          </cell>
          <cell r="G337" t="str">
            <v>02/02/1995</v>
          </cell>
          <cell r="H337">
            <v>27</v>
          </cell>
          <cell r="I337" t="str">
            <v>x</v>
          </cell>
          <cell r="K337" t="str">
            <v>038095016541</v>
          </cell>
          <cell r="L337">
            <v>44268</v>
          </cell>
          <cell r="M337" t="str">
            <v>Cục quản lý dân cư</v>
          </cell>
          <cell r="N337" t="str">
            <v>Kinh</v>
          </cell>
          <cell r="O337" t="str">
            <v>Không</v>
          </cell>
          <cell r="P337" t="str">
            <v>Việt Nam</v>
          </cell>
          <cell r="Q337" t="str">
            <v>9/11</v>
          </cell>
          <cell r="S337" t="str">
            <v>Xã Dân Quyền -Huyện Triệu Sơn -Tỉnh Thanh Hoá</v>
          </cell>
          <cell r="T337" t="str">
            <v>Xã Dân Quyền -Huyện  Triệu Sơn  -Tỉnh Thanh Hoá</v>
          </cell>
          <cell r="U337" t="str">
            <v>Xã Dân Quyền -Huyện  Triệu Sơn  -Tỉnh Thanh Hoá</v>
          </cell>
          <cell r="V337" t="str">
            <v>0961491115</v>
          </cell>
          <cell r="AE337">
            <v>44602</v>
          </cell>
          <cell r="AO337">
            <v>3285000</v>
          </cell>
        </row>
        <row r="338">
          <cell r="E338">
            <v>50776</v>
          </cell>
          <cell r="F338" t="str">
            <v>Nguyễn Tài Tuấn</v>
          </cell>
          <cell r="G338">
            <v>34042</v>
          </cell>
          <cell r="H338">
            <v>28</v>
          </cell>
          <cell r="I338" t="str">
            <v>x</v>
          </cell>
          <cell r="K338" t="str">
            <v>038093001801</v>
          </cell>
          <cell r="L338">
            <v>44320</v>
          </cell>
          <cell r="M338" t="str">
            <v>Cục quản lý dân cư</v>
          </cell>
          <cell r="N338" t="str">
            <v>Kinh</v>
          </cell>
          <cell r="O338" t="str">
            <v>Không</v>
          </cell>
          <cell r="P338" t="str">
            <v>Việt Nam</v>
          </cell>
          <cell r="Q338" t="str">
            <v>12/12</v>
          </cell>
          <cell r="S338" t="str">
            <v>Xã Dân Quyền -Huyện  Triệu Sơn  -Tỉnh Thanh Hoá</v>
          </cell>
          <cell r="T338" t="str">
            <v>Xã Dân Quyền -Huyện  Triệu Sơn  -Tỉnh Thanh Hoá</v>
          </cell>
          <cell r="U338" t="str">
            <v>Xã Dân Quyền -Huyện  Triệu Sơn  -Tỉnh Thanh Hoá</v>
          </cell>
          <cell r="V338" t="str">
            <v>'0384656193</v>
          </cell>
          <cell r="AE338">
            <v>44602</v>
          </cell>
          <cell r="AO338">
            <v>3285000</v>
          </cell>
        </row>
        <row r="339">
          <cell r="E339">
            <v>50778</v>
          </cell>
          <cell r="F339" t="str">
            <v>Vũ Văn Định</v>
          </cell>
          <cell r="G339">
            <v>34135</v>
          </cell>
          <cell r="H339">
            <v>28</v>
          </cell>
          <cell r="I339" t="str">
            <v>x</v>
          </cell>
          <cell r="K339" t="str">
            <v>038093003564</v>
          </cell>
          <cell r="L339">
            <v>44545</v>
          </cell>
          <cell r="M339" t="str">
            <v>Cục quản lý dân cư</v>
          </cell>
          <cell r="N339" t="str">
            <v>Kinh</v>
          </cell>
          <cell r="O339" t="str">
            <v>Không</v>
          </cell>
          <cell r="P339" t="str">
            <v>Việt Nam</v>
          </cell>
          <cell r="Q339" t="str">
            <v>12/12</v>
          </cell>
          <cell r="S339" t="str">
            <v>Xã Dân Quyền -Huyện  Triệu Sơn  -Tỉnh Thanh Hoá</v>
          </cell>
          <cell r="T339" t="str">
            <v>Xã Dân Quyền -Huyện  Triệu Sơn  -Tỉnh Thanh Hoá</v>
          </cell>
          <cell r="U339" t="str">
            <v>Xã Dân Quyền -Huyện  Triệu Sơn  -Tỉnh Thanh Hoá</v>
          </cell>
          <cell r="V339" t="str">
            <v>0962788929</v>
          </cell>
          <cell r="AE339">
            <v>44602</v>
          </cell>
          <cell r="AO339">
            <v>3285000</v>
          </cell>
        </row>
        <row r="340">
          <cell r="E340">
            <v>50779</v>
          </cell>
          <cell r="F340" t="str">
            <v>Lê Duy Nhân</v>
          </cell>
          <cell r="G340">
            <v>29267</v>
          </cell>
          <cell r="H340">
            <v>42</v>
          </cell>
          <cell r="I340" t="str">
            <v>x</v>
          </cell>
          <cell r="K340" t="str">
            <v>038080003108</v>
          </cell>
          <cell r="L340" t="str">
            <v>05/01/2022</v>
          </cell>
          <cell r="M340" t="str">
            <v>Cục quản lý dân cư</v>
          </cell>
          <cell r="N340" t="str">
            <v>Kinh</v>
          </cell>
          <cell r="O340" t="str">
            <v>Không</v>
          </cell>
          <cell r="P340" t="str">
            <v>Việt Nam</v>
          </cell>
          <cell r="Q340" t="str">
            <v>12/12</v>
          </cell>
          <cell r="S340" t="str">
            <v>Xã Dân Quyền -Huyện  Triệu Sơn  -Tỉnh Thanh Hoá</v>
          </cell>
          <cell r="T340" t="str">
            <v>Xã Dân Quyền -Huyện  Triệu Sơn  -Tỉnh Thanh Hoá</v>
          </cell>
          <cell r="U340" t="str">
            <v>Xã Dân Quyền -Huyện  Triệu Sơn  -Tỉnh Thanh Hoá</v>
          </cell>
          <cell r="V340" t="str">
            <v>0969356807</v>
          </cell>
          <cell r="AE340">
            <v>44603</v>
          </cell>
          <cell r="AO340">
            <v>3285000</v>
          </cell>
        </row>
        <row r="341">
          <cell r="E341">
            <v>50780</v>
          </cell>
          <cell r="F341" t="str">
            <v>Hà Văn Bảy</v>
          </cell>
          <cell r="G341" t="str">
            <v>05/05/1985</v>
          </cell>
          <cell r="H341">
            <v>36</v>
          </cell>
          <cell r="I341" t="str">
            <v>x</v>
          </cell>
          <cell r="K341" t="str">
            <v>038085024699</v>
          </cell>
          <cell r="L341">
            <v>44308</v>
          </cell>
          <cell r="M341" t="str">
            <v>Cục quản lý dân cư</v>
          </cell>
          <cell r="N341" t="str">
            <v>Kinh</v>
          </cell>
          <cell r="O341" t="str">
            <v>Không</v>
          </cell>
          <cell r="P341" t="str">
            <v>Việt Nam</v>
          </cell>
          <cell r="Q341" t="str">
            <v>12/12</v>
          </cell>
          <cell r="S341" t="str">
            <v>Thị Trấn Triệu Sơn-Tỉnh Thanh Hoá</v>
          </cell>
          <cell r="T341" t="str">
            <v>Thị Trấn Triệu Sơn-Tỉnh Thanh Hoá</v>
          </cell>
          <cell r="U341" t="str">
            <v>Thị Trấn Triệu Sơn-Tỉnh Thanh Hoá</v>
          </cell>
          <cell r="V341" t="str">
            <v>0345606249</v>
          </cell>
          <cell r="AE341">
            <v>44603</v>
          </cell>
          <cell r="AO341">
            <v>3285000</v>
          </cell>
        </row>
        <row r="342">
          <cell r="E342">
            <v>50781</v>
          </cell>
          <cell r="F342" t="str">
            <v>Nguyễn Thị Dung</v>
          </cell>
          <cell r="G342" t="str">
            <v>20/02/1984</v>
          </cell>
          <cell r="H342" t="e">
            <v>#VALUE!</v>
          </cell>
          <cell r="J342" t="str">
            <v>x</v>
          </cell>
          <cell r="K342" t="str">
            <v>038184008316</v>
          </cell>
          <cell r="L342" t="str">
            <v>17/05//2021</v>
          </cell>
          <cell r="M342" t="str">
            <v>Cục quản lý dân cư</v>
          </cell>
          <cell r="N342" t="str">
            <v>Kinh</v>
          </cell>
          <cell r="O342" t="str">
            <v>Không</v>
          </cell>
          <cell r="P342" t="str">
            <v>Việt Nam</v>
          </cell>
          <cell r="Q342" t="str">
            <v>12/12</v>
          </cell>
          <cell r="S342" t="str">
            <v>Xã Dân Lực -Huyện Triệu Sơn-TỉnhThanh Hoá</v>
          </cell>
          <cell r="T342" t="str">
            <v>Xã Dân Lực -Huyện Triệu Sơn-TỉnhThanh Hoá</v>
          </cell>
          <cell r="U342" t="str">
            <v>Xã Dân Lực -Huyện Triệu Sơn-TỉnhThanh Hoá</v>
          </cell>
          <cell r="V342" t="str">
            <v>0866480557</v>
          </cell>
          <cell r="AE342">
            <v>44603</v>
          </cell>
          <cell r="AO342">
            <v>3285000</v>
          </cell>
        </row>
        <row r="343">
          <cell r="E343">
            <v>50782</v>
          </cell>
          <cell r="F343" t="str">
            <v>Phạm Thị Hiền</v>
          </cell>
          <cell r="G343">
            <v>34896</v>
          </cell>
          <cell r="H343">
            <v>26</v>
          </cell>
          <cell r="J343" t="str">
            <v>x</v>
          </cell>
          <cell r="K343" t="str">
            <v>038195036637</v>
          </cell>
          <cell r="L343">
            <v>44436</v>
          </cell>
          <cell r="M343" t="str">
            <v>Cục quản lý dân cư</v>
          </cell>
          <cell r="N343" t="str">
            <v>Kinh</v>
          </cell>
          <cell r="O343" t="str">
            <v>Không</v>
          </cell>
          <cell r="P343" t="str">
            <v>Việt Nam</v>
          </cell>
          <cell r="Q343" t="str">
            <v>12/12</v>
          </cell>
          <cell r="S343" t="str">
            <v>Xã Hợp Thắng, huyện Triệu Sơn, tỉnh Thanh Hóa</v>
          </cell>
          <cell r="T343" t="str">
            <v>Xã Hợp Thắng, huyện Triệu Sơn, tỉnh Thanh Hóa</v>
          </cell>
          <cell r="U343" t="str">
            <v>Xã Hợp Thắng, huyện Triệu Sơn, tỉnh Thanh Hóa</v>
          </cell>
          <cell r="V343" t="str">
            <v>0368528703</v>
          </cell>
          <cell r="AE343">
            <v>44603</v>
          </cell>
          <cell r="AO343">
            <v>3285000</v>
          </cell>
        </row>
        <row r="344">
          <cell r="E344">
            <v>50783</v>
          </cell>
          <cell r="F344" t="str">
            <v>Bùi Thị Hồng</v>
          </cell>
          <cell r="G344" t="str">
            <v>18/03/1990</v>
          </cell>
          <cell r="H344" t="e">
            <v>#VALUE!</v>
          </cell>
          <cell r="J344" t="str">
            <v>x</v>
          </cell>
          <cell r="K344" t="str">
            <v>038190011029</v>
          </cell>
          <cell r="L344">
            <v>44302</v>
          </cell>
          <cell r="M344" t="str">
            <v>Cục quản lý dân cư</v>
          </cell>
          <cell r="N344" t="str">
            <v>Kinh</v>
          </cell>
          <cell r="O344" t="str">
            <v>Không</v>
          </cell>
          <cell r="P344" t="str">
            <v>Việt Nam</v>
          </cell>
          <cell r="Q344" t="str">
            <v>12/12</v>
          </cell>
          <cell r="S344" t="str">
            <v>Xã Dân Quyền -Huyện  Triệu Sơn  -Tỉnh Thanh Hoá</v>
          </cell>
          <cell r="T344" t="str">
            <v>Xã Dân Quyền -Huyện  Triệu Sơn  -Tỉnh Thanh Hoá</v>
          </cell>
          <cell r="U344" t="str">
            <v>Xã Dân Quyền -Huyện  Triệu Sơn  -Tỉnh Thanh Hoá</v>
          </cell>
          <cell r="V344" t="str">
            <v>0921503419</v>
          </cell>
          <cell r="AE344">
            <v>44603</v>
          </cell>
          <cell r="AO344">
            <v>3285000</v>
          </cell>
        </row>
        <row r="345">
          <cell r="E345">
            <v>50784</v>
          </cell>
          <cell r="F345" t="str">
            <v>Nguyễn Thị Hương</v>
          </cell>
          <cell r="G345">
            <v>30481</v>
          </cell>
          <cell r="H345">
            <v>38</v>
          </cell>
          <cell r="J345" t="str">
            <v>x</v>
          </cell>
          <cell r="K345" t="str">
            <v>038183016183</v>
          </cell>
          <cell r="L345">
            <v>43642</v>
          </cell>
          <cell r="M345" t="str">
            <v>Cục quản lý dân cư</v>
          </cell>
          <cell r="N345" t="str">
            <v>Kinh</v>
          </cell>
          <cell r="O345" t="str">
            <v>Không</v>
          </cell>
          <cell r="P345" t="str">
            <v>Việt Nam</v>
          </cell>
          <cell r="Q345" t="str">
            <v>12/12</v>
          </cell>
          <cell r="S345" t="str">
            <v>Xã Yên Mỹ -Huyện Nông Cống -Tỉnh Thanh Hoá</v>
          </cell>
          <cell r="T345" t="str">
            <v>Xã Yên Mỹ -Huyện Nông Cống -Tỉnh Thanh Hoá</v>
          </cell>
          <cell r="U345" t="str">
            <v>Xã Yên Mỹ -Huyện Nông Cống -Tỉnh Thanh Hoá</v>
          </cell>
          <cell r="V345" t="str">
            <v>0865841136</v>
          </cell>
          <cell r="AE345">
            <v>44603</v>
          </cell>
          <cell r="AO345">
            <v>3285000</v>
          </cell>
        </row>
        <row r="346">
          <cell r="E346">
            <v>50785</v>
          </cell>
          <cell r="F346" t="str">
            <v>Lê Ngọc Linh</v>
          </cell>
          <cell r="G346" t="str">
            <v>05/05/1994</v>
          </cell>
          <cell r="H346">
            <v>27</v>
          </cell>
          <cell r="I346" t="str">
            <v>x</v>
          </cell>
          <cell r="K346" t="str">
            <v>0380940449965</v>
          </cell>
          <cell r="L346" t="str">
            <v>17/08/2021</v>
          </cell>
          <cell r="M346" t="str">
            <v>Cục quản lý dân cư</v>
          </cell>
          <cell r="N346" t="str">
            <v>Kinh</v>
          </cell>
          <cell r="O346" t="str">
            <v>Không</v>
          </cell>
          <cell r="P346" t="str">
            <v>Việt Nam</v>
          </cell>
          <cell r="Q346" t="str">
            <v>12/12</v>
          </cell>
          <cell r="S346" t="str">
            <v>Xã Dân Quyền -Huyện  Triệu Sơn  -Tỉnh Thanh Hoá</v>
          </cell>
          <cell r="T346" t="str">
            <v>Xã Dân Quyền -Huyện  Triệu Sơn  -Tỉnh Thanh Hoá</v>
          </cell>
          <cell r="U346" t="str">
            <v>Xã Dân Quyền -Huyện  Triệu Sơn  -Tỉnh Thanh Hoá</v>
          </cell>
          <cell r="V346" t="str">
            <v>0987453320</v>
          </cell>
          <cell r="AE346">
            <v>44606</v>
          </cell>
          <cell r="AO346">
            <v>3285000</v>
          </cell>
        </row>
        <row r="347">
          <cell r="E347">
            <v>50786</v>
          </cell>
          <cell r="F347" t="str">
            <v>Nguyễn Thị Xô</v>
          </cell>
          <cell r="G347" t="str">
            <v>07/11/1987</v>
          </cell>
          <cell r="H347">
            <v>34</v>
          </cell>
          <cell r="J347" t="str">
            <v>x</v>
          </cell>
          <cell r="K347" t="str">
            <v>038187012156</v>
          </cell>
          <cell r="L347" t="str">
            <v>16/08/2021</v>
          </cell>
          <cell r="M347" t="str">
            <v>Cục quản lý dân cư</v>
          </cell>
          <cell r="N347" t="str">
            <v>Kinh</v>
          </cell>
          <cell r="O347" t="str">
            <v>Không</v>
          </cell>
          <cell r="P347" t="str">
            <v>Việt Nam</v>
          </cell>
          <cell r="Q347" t="str">
            <v>12/12</v>
          </cell>
          <cell r="S347" t="str">
            <v>Xã Dân Lực -Huyện Triệu Sơn -Tỉnh Thanh Hoas</v>
          </cell>
          <cell r="T347" t="str">
            <v>Xã Dân Lực -Huyện Triệu Sơn -Tỉnh Thanh Hoas</v>
          </cell>
          <cell r="U347" t="str">
            <v>Xã Dân Lực -Huyện Triệu Sơn -Tỉnh Thanh Hoas</v>
          </cell>
          <cell r="V347" t="str">
            <v>0985408348</v>
          </cell>
          <cell r="AE347">
            <v>44604</v>
          </cell>
          <cell r="AO347">
            <v>3285000</v>
          </cell>
        </row>
        <row r="348">
          <cell r="E348">
            <v>50787</v>
          </cell>
          <cell r="F348" t="str">
            <v>Lê Thị Thuý</v>
          </cell>
          <cell r="G348" t="str">
            <v>03/01/2003</v>
          </cell>
          <cell r="H348">
            <v>19</v>
          </cell>
          <cell r="J348" t="str">
            <v>x</v>
          </cell>
          <cell r="K348" t="str">
            <v>038303009984</v>
          </cell>
          <cell r="L348" t="str">
            <v>05/01/2022</v>
          </cell>
          <cell r="M348" t="str">
            <v>Cục quản lý dân cư</v>
          </cell>
          <cell r="N348" t="str">
            <v>Kinh</v>
          </cell>
          <cell r="O348" t="str">
            <v>Không</v>
          </cell>
          <cell r="P348" t="str">
            <v>Việt Nam</v>
          </cell>
          <cell r="Q348" t="str">
            <v>12/12</v>
          </cell>
          <cell r="S348" t="str">
            <v>Thị Trấn Triệu Sơn -Thanh Hoá</v>
          </cell>
          <cell r="T348" t="str">
            <v>Thị Trấn Triệu Sơn -Thanh Hoá</v>
          </cell>
          <cell r="U348" t="str">
            <v>Thị Trấn Triệu Sơn -Thanh Hoá</v>
          </cell>
          <cell r="V348" t="str">
            <v>0386034944</v>
          </cell>
          <cell r="AE348">
            <v>44606</v>
          </cell>
          <cell r="AO348">
            <v>3285000</v>
          </cell>
        </row>
        <row r="349">
          <cell r="E349">
            <v>50788</v>
          </cell>
          <cell r="F349" t="str">
            <v>Trịnh Thị Trinh</v>
          </cell>
          <cell r="G349" t="str">
            <v>13/09/1997</v>
          </cell>
          <cell r="H349" t="e">
            <v>#VALUE!</v>
          </cell>
          <cell r="J349" t="str">
            <v>x</v>
          </cell>
          <cell r="K349" t="str">
            <v>03819701936</v>
          </cell>
          <cell r="L349">
            <v>44419</v>
          </cell>
          <cell r="M349" t="str">
            <v>Cục quản lý dân cư</v>
          </cell>
          <cell r="N349" t="str">
            <v>Kinh</v>
          </cell>
          <cell r="O349" t="str">
            <v>Không</v>
          </cell>
          <cell r="P349" t="str">
            <v>Việt Nam</v>
          </cell>
          <cell r="Q349" t="str">
            <v>12/12</v>
          </cell>
          <cell r="S349" t="str">
            <v>Xã Thọ Phú _Huyện Triệu Sơn -Tỉnh Thanh Hoá</v>
          </cell>
          <cell r="T349" t="str">
            <v>Xã Thọ Phú _Huyện Triệu Sơn -Tỉnh Thanh Hoá</v>
          </cell>
          <cell r="U349" t="str">
            <v>Xã Thọ Phú _Huyện Triệu Sơn -Tỉnh Thanh Hoá</v>
          </cell>
          <cell r="V349" t="str">
            <v>0338962226</v>
          </cell>
          <cell r="AE349">
            <v>44606</v>
          </cell>
          <cell r="AO349">
            <v>3285000</v>
          </cell>
        </row>
        <row r="350">
          <cell r="E350">
            <v>50790</v>
          </cell>
          <cell r="F350" t="str">
            <v>Phùng Thị Thuỷ</v>
          </cell>
          <cell r="G350" t="str">
            <v>10/01/2001</v>
          </cell>
          <cell r="H350">
            <v>20</v>
          </cell>
          <cell r="J350" t="str">
            <v>x</v>
          </cell>
          <cell r="K350" t="str">
            <v>038301022007</v>
          </cell>
          <cell r="L350">
            <v>43565</v>
          </cell>
          <cell r="M350" t="str">
            <v>Cục quản lý dân cư</v>
          </cell>
          <cell r="N350" t="str">
            <v>Kinh</v>
          </cell>
          <cell r="O350" t="str">
            <v>Không</v>
          </cell>
          <cell r="P350" t="str">
            <v>Việt Nam</v>
          </cell>
          <cell r="Q350" t="str">
            <v>12/12</v>
          </cell>
          <cell r="S350" t="str">
            <v>Thôn 3 -Xã Thọ Tân -Huyện Triệu Sơn -Tỉnh Thanh Hoá</v>
          </cell>
          <cell r="T350" t="str">
            <v>Thôn 3 -Xã Thọ Tân -Huyện Triệu Sơn -Tỉnh Thanh Hoá</v>
          </cell>
          <cell r="U350" t="str">
            <v>Thôn 3 -Xã Thọ Tân -Huyện Triệu Sơn -Tỉnh Thanh Hoá</v>
          </cell>
          <cell r="V350" t="str">
            <v>0336307210</v>
          </cell>
          <cell r="AE350">
            <v>44606</v>
          </cell>
          <cell r="AO350">
            <v>3285000</v>
          </cell>
        </row>
        <row r="351">
          <cell r="E351">
            <v>50791</v>
          </cell>
          <cell r="F351" t="str">
            <v>Phạm Minh Trí</v>
          </cell>
          <cell r="G351" t="str">
            <v>21/06/1994</v>
          </cell>
          <cell r="H351" t="e">
            <v>#VALUE!</v>
          </cell>
          <cell r="I351" t="str">
            <v>x</v>
          </cell>
          <cell r="K351" t="str">
            <v>174713220</v>
          </cell>
          <cell r="L351" t="str">
            <v>14/09/2014</v>
          </cell>
          <cell r="M351" t="str">
            <v>Cục quản lý dân cư</v>
          </cell>
          <cell r="N351" t="str">
            <v>Kinh</v>
          </cell>
          <cell r="O351" t="str">
            <v>Không</v>
          </cell>
          <cell r="P351" t="str">
            <v>Việt Nam</v>
          </cell>
          <cell r="Q351" t="str">
            <v>12/12</v>
          </cell>
          <cell r="S351" t="str">
            <v>Quoảng Bình -Quoảng Xương -Thanh Hoá</v>
          </cell>
          <cell r="T351" t="str">
            <v>Quoảng Bình -Quoảng Xương -Thanh Hoá</v>
          </cell>
          <cell r="U351" t="str">
            <v>Quoảng Bình -Quoảng Xương -Thanh Hoá</v>
          </cell>
          <cell r="V351" t="str">
            <v>0886919616</v>
          </cell>
          <cell r="AE351">
            <v>44606</v>
          </cell>
          <cell r="AO351">
            <v>3285000</v>
          </cell>
        </row>
        <row r="352">
          <cell r="E352">
            <v>50792</v>
          </cell>
          <cell r="F352" t="str">
            <v>Phạm Hồng Nam</v>
          </cell>
          <cell r="G352" t="str">
            <v>09/01/1990</v>
          </cell>
          <cell r="H352">
            <v>31</v>
          </cell>
          <cell r="I352" t="str">
            <v>x</v>
          </cell>
          <cell r="K352" t="str">
            <v>038090007126</v>
          </cell>
          <cell r="L352" t="str">
            <v>25/04/2021</v>
          </cell>
          <cell r="M352" t="str">
            <v>Cục quản lý dân cư</v>
          </cell>
          <cell r="N352" t="str">
            <v>Kinh</v>
          </cell>
          <cell r="O352" t="str">
            <v>Không</v>
          </cell>
          <cell r="P352" t="str">
            <v>Việt Nam</v>
          </cell>
          <cell r="Q352" t="str">
            <v>12/12</v>
          </cell>
          <cell r="S352" t="str">
            <v>Thôn 1 Thọ Thế - Triệu Sơn - Thanh Hoá</v>
          </cell>
          <cell r="T352" t="str">
            <v>Thôn 1 Thọ Thế - Triệu Sơn - Thanh Hoá</v>
          </cell>
          <cell r="U352" t="str">
            <v>Thôn 1 Thọ Thế - Triệu Sơn - Thanh Hoá</v>
          </cell>
          <cell r="V352" t="str">
            <v>0362907621</v>
          </cell>
          <cell r="AE352">
            <v>44606</v>
          </cell>
          <cell r="AO352">
            <v>3285000</v>
          </cell>
        </row>
        <row r="353">
          <cell r="E353">
            <v>50793</v>
          </cell>
          <cell r="F353" t="str">
            <v>Nguyễn Văn Cường</v>
          </cell>
          <cell r="G353" t="str">
            <v>20/08/1998</v>
          </cell>
          <cell r="H353" t="e">
            <v>#VALUE!</v>
          </cell>
          <cell r="I353" t="str">
            <v>x</v>
          </cell>
          <cell r="K353" t="str">
            <v>175004903</v>
          </cell>
          <cell r="L353" t="str">
            <v>17/11/2015</v>
          </cell>
          <cell r="M353" t="str">
            <v>Cục quản lý dân cư</v>
          </cell>
          <cell r="N353" t="str">
            <v>Kinh</v>
          </cell>
          <cell r="O353" t="str">
            <v>Không</v>
          </cell>
          <cell r="P353" t="str">
            <v>Việt Nam</v>
          </cell>
          <cell r="Q353" t="str">
            <v>12/12</v>
          </cell>
          <cell r="S353" t="str">
            <v>Xã Dân Lực -Huyện Triệu Sơn -Tỉnh Thanh Hoas</v>
          </cell>
          <cell r="T353" t="str">
            <v>Xã Dân Lực -Huyện Triệu Sơn -Tỉnh Thanh Hoas</v>
          </cell>
          <cell r="U353" t="str">
            <v>Xã Dân Lực -Huyện Triệu Sơn -Tỉnh Thanh Hoas</v>
          </cell>
          <cell r="V353" t="str">
            <v>0869151626</v>
          </cell>
          <cell r="AE353">
            <v>44606</v>
          </cell>
          <cell r="AO353">
            <v>3285000</v>
          </cell>
        </row>
        <row r="354">
          <cell r="E354">
            <v>50794</v>
          </cell>
          <cell r="F354" t="str">
            <v>Nguyễn Thị Quỳnh</v>
          </cell>
          <cell r="G354" t="str">
            <v>09/01/1990</v>
          </cell>
          <cell r="H354">
            <v>31</v>
          </cell>
          <cell r="J354" t="str">
            <v>x</v>
          </cell>
          <cell r="K354" t="str">
            <v>038190019464</v>
          </cell>
          <cell r="L354" t="str">
            <v>21/10/2020</v>
          </cell>
          <cell r="M354" t="str">
            <v>Cục quản lý dân cư</v>
          </cell>
          <cell r="N354" t="str">
            <v>Kinh</v>
          </cell>
          <cell r="O354" t="str">
            <v>Không</v>
          </cell>
          <cell r="P354" t="str">
            <v>Việt Nam</v>
          </cell>
          <cell r="Q354" t="str">
            <v>12/12</v>
          </cell>
          <cell r="S354" t="str">
            <v>Xã Quoảng Hợp -Huyện Quoảng Xương -Tỉnh Thanh Hoáh</v>
          </cell>
          <cell r="T354" t="str">
            <v>Xã Quoảng Hợp -Huyện Quoảng Xương -Tỉnh Thanh Hoáh</v>
          </cell>
          <cell r="U354" t="str">
            <v>Xã Quoảng Hợp -Huyện Quoảng Xương -Tỉnh Thanh Hoáh</v>
          </cell>
          <cell r="V354" t="str">
            <v>0977902925</v>
          </cell>
          <cell r="AE354">
            <v>44606</v>
          </cell>
          <cell r="AO354">
            <v>3285000</v>
          </cell>
        </row>
        <row r="355">
          <cell r="E355">
            <v>50796</v>
          </cell>
          <cell r="F355" t="str">
            <v>Nguyễn Thị Huệ</v>
          </cell>
          <cell r="G355" t="str">
            <v>12/10/1982</v>
          </cell>
          <cell r="H355">
            <v>39</v>
          </cell>
          <cell r="J355" t="str">
            <v>x</v>
          </cell>
          <cell r="K355" t="str">
            <v>038182002521</v>
          </cell>
          <cell r="L355">
            <v>42571</v>
          </cell>
          <cell r="M355" t="str">
            <v>Cục quản lý dân cư</v>
          </cell>
          <cell r="N355" t="str">
            <v>Kinh</v>
          </cell>
          <cell r="O355" t="str">
            <v>Không</v>
          </cell>
          <cell r="P355" t="str">
            <v>Việt Nam</v>
          </cell>
          <cell r="Q355" t="str">
            <v>12/12</v>
          </cell>
          <cell r="S355" t="str">
            <v>Xã Đông Hoàng -Huyện Đông Sơn -Tỉnh Thanh Hoá</v>
          </cell>
          <cell r="T355" t="str">
            <v>Xã Dan Lý Huyện Triệu Sơn -Tỉnh Thanh Hoá</v>
          </cell>
          <cell r="U355" t="str">
            <v>Xã Dan Lý Huyện Triệu Sơn -Tỉnh Thanh Hoá</v>
          </cell>
          <cell r="V355" t="str">
            <v>0962388415</v>
          </cell>
          <cell r="AE355">
            <v>44607</v>
          </cell>
          <cell r="AO355">
            <v>3285000</v>
          </cell>
        </row>
        <row r="356">
          <cell r="E356">
            <v>50797</v>
          </cell>
          <cell r="F356" t="str">
            <v>Nguyễn Văn Thân</v>
          </cell>
          <cell r="G356">
            <v>33734</v>
          </cell>
          <cell r="H356">
            <v>29</v>
          </cell>
          <cell r="I356" t="str">
            <v>x</v>
          </cell>
          <cell r="K356" t="str">
            <v>173543611</v>
          </cell>
          <cell r="L356">
            <v>41772</v>
          </cell>
          <cell r="M356" t="str">
            <v>Cục quản lý dân cư</v>
          </cell>
          <cell r="N356" t="str">
            <v>Kinh</v>
          </cell>
          <cell r="O356" t="str">
            <v>Không</v>
          </cell>
          <cell r="P356" t="str">
            <v>Việt Nam</v>
          </cell>
          <cell r="Q356" t="str">
            <v>12/12</v>
          </cell>
          <cell r="S356" t="str">
            <v>Xã Tiến Nông -Huyện Triệu Sơn -Tỉnh Thanh Hoá</v>
          </cell>
          <cell r="T356" t="str">
            <v>Xã Tiến Nông -Huyện Triệu Sơn -Tỉnh Thanh Hoá</v>
          </cell>
          <cell r="U356" t="str">
            <v>Xã Tiến Nông -Huyện Triệu Sơn -Tỉnh Thanh Hoá</v>
          </cell>
          <cell r="V356" t="str">
            <v>0988276806</v>
          </cell>
          <cell r="AE356">
            <v>44607</v>
          </cell>
          <cell r="AO356">
            <v>3285000</v>
          </cell>
        </row>
        <row r="357">
          <cell r="E357">
            <v>50798</v>
          </cell>
          <cell r="F357" t="str">
            <v>Nguyễn Văn Minh</v>
          </cell>
          <cell r="G357">
            <v>36685</v>
          </cell>
          <cell r="H357">
            <v>21</v>
          </cell>
          <cell r="I357" t="str">
            <v>x</v>
          </cell>
          <cell r="K357" t="str">
            <v>038200006766</v>
          </cell>
          <cell r="L357" t="str">
            <v>06/06/2017</v>
          </cell>
          <cell r="M357" t="str">
            <v>Cục quản lý dân cư</v>
          </cell>
          <cell r="N357" t="str">
            <v>Kinh</v>
          </cell>
          <cell r="O357" t="str">
            <v>Không</v>
          </cell>
          <cell r="P357" t="str">
            <v>Việt Nam</v>
          </cell>
          <cell r="Q357" t="str">
            <v>12/12</v>
          </cell>
          <cell r="T357" t="str">
            <v>Xã Dân Lý Huyện Triệu Sơn -Tỉnh Thanh Hoá</v>
          </cell>
          <cell r="U357" t="str">
            <v>Xã Dân Lý Huyện Triệu Sơn -Tỉnh Thanh Hoá</v>
          </cell>
          <cell r="V357" t="str">
            <v>0352443420</v>
          </cell>
          <cell r="AE357">
            <v>44608</v>
          </cell>
          <cell r="AO357">
            <v>3285000</v>
          </cell>
        </row>
        <row r="358">
          <cell r="E358">
            <v>50799</v>
          </cell>
          <cell r="F358" t="str">
            <v>Lê Thị Nhung</v>
          </cell>
          <cell r="G358">
            <v>34148</v>
          </cell>
          <cell r="H358">
            <v>28</v>
          </cell>
          <cell r="J358" t="str">
            <v>x</v>
          </cell>
          <cell r="K358" t="str">
            <v>038193014249</v>
          </cell>
          <cell r="L358" t="str">
            <v>30/07/2020</v>
          </cell>
          <cell r="M358" t="str">
            <v>Cục quản lý dân cư</v>
          </cell>
          <cell r="N358" t="str">
            <v>Kinh</v>
          </cell>
          <cell r="O358" t="str">
            <v>Không</v>
          </cell>
          <cell r="P358" t="str">
            <v>Việt Nam</v>
          </cell>
          <cell r="Q358" t="str">
            <v>12/12</v>
          </cell>
          <cell r="S358" t="str">
            <v>Thôn Đô Xá -Xã Dân Lực -Huyện Triệu sơn Tỉnh Thanh Hoá</v>
          </cell>
          <cell r="T358" t="str">
            <v>Thôn Đô Xá -Xã Dân Lực -Huyện Triệu sơn Tỉnh Thanh Hoá</v>
          </cell>
          <cell r="U358" t="str">
            <v>Thôn Đô Xá -Xã Dân Lực -Huyện Triệu sơn Tỉnh Thanh Hoá</v>
          </cell>
          <cell r="V358" t="str">
            <v>0979916769</v>
          </cell>
          <cell r="AE358">
            <v>44609</v>
          </cell>
          <cell r="AO358">
            <v>3285000</v>
          </cell>
        </row>
        <row r="359">
          <cell r="E359">
            <v>50800</v>
          </cell>
          <cell r="F359" t="str">
            <v>Lê Thị Giang</v>
          </cell>
          <cell r="G359" t="str">
            <v>07/04/2001</v>
          </cell>
          <cell r="H359">
            <v>20</v>
          </cell>
          <cell r="J359" t="str">
            <v>x</v>
          </cell>
          <cell r="K359" t="str">
            <v>038301012885</v>
          </cell>
          <cell r="L359" t="str">
            <v>17/01//2021</v>
          </cell>
          <cell r="M359" t="str">
            <v>Cục quản lý dân cư</v>
          </cell>
          <cell r="N359" t="str">
            <v>Kinh</v>
          </cell>
          <cell r="O359" t="str">
            <v>Không</v>
          </cell>
          <cell r="P359" t="str">
            <v>Việt Nam</v>
          </cell>
          <cell r="S359" t="str">
            <v>Xã Hợp Thắng -Huyện Triệu Sơn -Tỉnh Thanh Hoá</v>
          </cell>
          <cell r="T359" t="str">
            <v>Xã Hợp Thắng -Huyện Triệu Sơn -Tỉnh Thanh Hoá</v>
          </cell>
          <cell r="U359" t="str">
            <v>Xã Hợp Thắng -Huyện Triệu Sơn -Tỉnh Thanh Hoá</v>
          </cell>
          <cell r="V359" t="str">
            <v>09342376524</v>
          </cell>
          <cell r="AE359">
            <v>44609</v>
          </cell>
          <cell r="AO359">
            <v>3285000</v>
          </cell>
        </row>
        <row r="360">
          <cell r="E360">
            <v>50801</v>
          </cell>
          <cell r="F360" t="str">
            <v>Lê Thị Hợp</v>
          </cell>
          <cell r="G360">
            <v>31098</v>
          </cell>
          <cell r="H360">
            <v>37</v>
          </cell>
          <cell r="J360" t="str">
            <v>x</v>
          </cell>
          <cell r="K360" t="str">
            <v>038185005002</v>
          </cell>
          <cell r="L360" t="str">
            <v>24/01/2017</v>
          </cell>
          <cell r="M360" t="str">
            <v>Cục quản lý dân cư</v>
          </cell>
          <cell r="N360" t="str">
            <v>Kinh</v>
          </cell>
          <cell r="O360" t="str">
            <v>Không</v>
          </cell>
          <cell r="P360" t="str">
            <v>Việt Nam</v>
          </cell>
          <cell r="S360" t="str">
            <v>Xã Hợp Thắng -Huyện Triệu Sơn -Tỉnh Thanh Hoá</v>
          </cell>
          <cell r="T360" t="str">
            <v>Xã Dân Quyền -Huyện Triệu Sơn -Tỉnh Thanh Hoá</v>
          </cell>
          <cell r="U360" t="str">
            <v>Xã Dân Quyền -Huyện Triệu Sơn -Tỉnh Thanh Hoá</v>
          </cell>
          <cell r="V360" t="str">
            <v>0334894458</v>
          </cell>
          <cell r="AE360">
            <v>44609</v>
          </cell>
          <cell r="AO360">
            <v>3285000</v>
          </cell>
        </row>
        <row r="361">
          <cell r="E361">
            <v>50802</v>
          </cell>
          <cell r="F361" t="str">
            <v>Nguyễn Xuân Hải</v>
          </cell>
          <cell r="G361">
            <v>33257</v>
          </cell>
          <cell r="H361">
            <v>29</v>
          </cell>
          <cell r="J361" t="str">
            <v>x</v>
          </cell>
          <cell r="K361" t="str">
            <v>173534414</v>
          </cell>
          <cell r="L361" t="str">
            <v>17/01/2014</v>
          </cell>
          <cell r="M361" t="str">
            <v>Cục quản lý dân cư</v>
          </cell>
          <cell r="N361" t="str">
            <v>Kinh</v>
          </cell>
          <cell r="O361" t="str">
            <v>Không</v>
          </cell>
          <cell r="P361" t="str">
            <v>Việt Nam</v>
          </cell>
          <cell r="S361" t="str">
            <v>Thôn 4 Xã Dân Quyền- Huyện Triệu Sơn -Tỉnh Thanh Hoá</v>
          </cell>
          <cell r="T361" t="str">
            <v>Thôn 4 Xã Dân Quyền- Huyện Triệu Sơn -Tỉnh Thanh Hoá</v>
          </cell>
          <cell r="U361" t="str">
            <v>Thôn 4 Xã Dân Quyền- Huyện Triệu Sơn -Tỉnh Thanh Hoá</v>
          </cell>
          <cell r="V361" t="str">
            <v>0978579552</v>
          </cell>
          <cell r="AE361">
            <v>44610</v>
          </cell>
          <cell r="AO361">
            <v>3285000</v>
          </cell>
        </row>
        <row r="362">
          <cell r="E362">
            <v>50803</v>
          </cell>
          <cell r="F362" t="str">
            <v>Nguyễn Văn Nam</v>
          </cell>
          <cell r="G362">
            <v>36809</v>
          </cell>
          <cell r="H362">
            <v>22</v>
          </cell>
          <cell r="I362" t="str">
            <v>x</v>
          </cell>
          <cell r="K362" t="str">
            <v>038200003831</v>
          </cell>
          <cell r="L362" t="str">
            <v>26/06/2020</v>
          </cell>
          <cell r="M362" t="str">
            <v>Cục quản lý dân cư</v>
          </cell>
          <cell r="N362" t="str">
            <v>Kinh</v>
          </cell>
          <cell r="O362" t="str">
            <v>Không</v>
          </cell>
          <cell r="P362" t="str">
            <v>Việt Nam</v>
          </cell>
          <cell r="S362" t="str">
            <v>Xã Dân Lực -Huyện Triệu Sơn -Tỉnh Thanh Hoá</v>
          </cell>
          <cell r="T362" t="str">
            <v>Xã Dân Lực -Huyện Triệu Sơn -Tỉnh Thanh Hoá</v>
          </cell>
          <cell r="U362" t="str">
            <v>Xã Dân Lực -Huyện Triệu Sơn -Tỉnh Thanh Hoá</v>
          </cell>
          <cell r="V362" t="str">
            <v>0868432875</v>
          </cell>
          <cell r="AE362">
            <v>44609</v>
          </cell>
          <cell r="AO362">
            <v>3285000</v>
          </cell>
        </row>
        <row r="363">
          <cell r="E363">
            <v>50804</v>
          </cell>
          <cell r="F363" t="str">
            <v>Đặng Thị Tiến</v>
          </cell>
          <cell r="G363">
            <v>37838</v>
          </cell>
          <cell r="H363">
            <v>19</v>
          </cell>
          <cell r="I363" t="str">
            <v>x</v>
          </cell>
          <cell r="K363" t="str">
            <v>038303011294</v>
          </cell>
          <cell r="L363" t="str">
            <v>25/04/2021</v>
          </cell>
          <cell r="M363" t="str">
            <v>Cục quản lý dân cư</v>
          </cell>
          <cell r="N363" t="str">
            <v>Kinh</v>
          </cell>
          <cell r="O363" t="str">
            <v>Không</v>
          </cell>
          <cell r="P363" t="str">
            <v>Việt Nam</v>
          </cell>
          <cell r="S363" t="str">
            <v>Thôn 6 Xã Vân Sơn -Huyện Triệu Sơn -Tỉnh Thanh Hoá</v>
          </cell>
          <cell r="T363" t="str">
            <v>Thôn 6 Xã Vân Sơn -Huyện Triệu Sơn -Tỉnh Thanh Hoá</v>
          </cell>
          <cell r="U363" t="str">
            <v>Thôn 6 Xã Vân Sơn -Huyện Triệu Sơn -Tỉnh Thanh Hoá</v>
          </cell>
          <cell r="V363" t="str">
            <v>0384337859</v>
          </cell>
          <cell r="AE363">
            <v>44613</v>
          </cell>
          <cell r="AO363">
            <v>3285000</v>
          </cell>
        </row>
        <row r="364">
          <cell r="E364">
            <v>50805</v>
          </cell>
          <cell r="F364" t="str">
            <v>Lê Thị Thành</v>
          </cell>
          <cell r="G364">
            <v>33039</v>
          </cell>
          <cell r="H364">
            <v>32</v>
          </cell>
          <cell r="J364" t="str">
            <v>x</v>
          </cell>
          <cell r="K364" t="str">
            <v>03810002047</v>
          </cell>
          <cell r="L364" t="str">
            <v>01/09/2021</v>
          </cell>
          <cell r="M364" t="str">
            <v>Cục quản lý dân cư</v>
          </cell>
          <cell r="N364" t="str">
            <v>Kinh</v>
          </cell>
          <cell r="O364" t="str">
            <v>Không</v>
          </cell>
          <cell r="P364" t="str">
            <v>Việt Nam</v>
          </cell>
          <cell r="S364" t="str">
            <v>Xã Dân Lực -Huyện Triệu Sơn -Tỉnh Thanh Hoá</v>
          </cell>
          <cell r="T364" t="str">
            <v>Xã Dân Lực -Huyện Triệu Sơn -Tỉnh Thanh Hoá</v>
          </cell>
          <cell r="U364" t="str">
            <v>Xã Dân Lực -Huyện Triệu Sơn -Tỉnh Thanh Hoá</v>
          </cell>
          <cell r="V364" t="str">
            <v>0962533095</v>
          </cell>
          <cell r="AE364">
            <v>44609</v>
          </cell>
          <cell r="AO364">
            <v>3285000</v>
          </cell>
        </row>
        <row r="365">
          <cell r="E365">
            <v>50806</v>
          </cell>
          <cell r="F365" t="str">
            <v>Trần Thị Trang</v>
          </cell>
          <cell r="G365">
            <v>37249</v>
          </cell>
          <cell r="H365">
            <v>21</v>
          </cell>
          <cell r="J365" t="str">
            <v>x</v>
          </cell>
          <cell r="K365" t="str">
            <v>038301022180</v>
          </cell>
          <cell r="L365" t="str">
            <v>20/08/2021</v>
          </cell>
          <cell r="M365" t="str">
            <v>Cục quản lý dân cư</v>
          </cell>
          <cell r="N365" t="str">
            <v>Kinh</v>
          </cell>
          <cell r="O365" t="str">
            <v>Không</v>
          </cell>
          <cell r="P365" t="str">
            <v>Việt Nam</v>
          </cell>
          <cell r="S365" t="str">
            <v>Thôn Tân Thắng -Xã Hợp Thắng-Huyện Triệu Sơn -Tỉnh Thanh Hoá</v>
          </cell>
          <cell r="T365" t="str">
            <v>Thôn Tân Thắng -Xã Hợp Thắng-Huyện Triệu Sơn -Tỉnh Thanh Hoá</v>
          </cell>
          <cell r="U365" t="str">
            <v>Thôn Tân Thắng -Xã Hợp Thắng-Huyện Triệu Sơn -Tỉnh Thanh Hoá</v>
          </cell>
          <cell r="V365" t="str">
            <v>0378805363</v>
          </cell>
          <cell r="AE365">
            <v>44610</v>
          </cell>
          <cell r="AO365">
            <v>3285000</v>
          </cell>
        </row>
        <row r="366">
          <cell r="E366">
            <v>50807</v>
          </cell>
          <cell r="F366" t="str">
            <v>Nguyễn Thị Hà</v>
          </cell>
          <cell r="G366">
            <v>33521</v>
          </cell>
          <cell r="H366">
            <v>30</v>
          </cell>
          <cell r="J366" t="str">
            <v>x</v>
          </cell>
          <cell r="K366" t="str">
            <v>025618268</v>
          </cell>
          <cell r="L366" t="str">
            <v>15/02/2022</v>
          </cell>
          <cell r="M366" t="str">
            <v>Cục quản lý dân cư</v>
          </cell>
          <cell r="N366" t="str">
            <v>Kinh</v>
          </cell>
          <cell r="O366" t="str">
            <v>Không</v>
          </cell>
          <cell r="P366" t="str">
            <v>Việt Nam</v>
          </cell>
          <cell r="S366" t="str">
            <v>XÃ Xuân Hoà -Huyện Phước Ninh -Tỉnh Quoảng Nam</v>
          </cell>
          <cell r="T366" t="str">
            <v>Thôn Tân Thắng -Xã Hợp Thắng-Huyện Triệu Sơn -Tỉnh Thanh Hoá</v>
          </cell>
          <cell r="U366" t="str">
            <v>Thôn Tân Thắng -Xã Hợp Thắng-Huyện Triệu Sơn -Tỉnh Thanh Hoá</v>
          </cell>
          <cell r="V366" t="str">
            <v>0356184932</v>
          </cell>
          <cell r="AE366">
            <v>44614</v>
          </cell>
          <cell r="AO366">
            <v>3285000</v>
          </cell>
        </row>
        <row r="367">
          <cell r="E367">
            <v>50808</v>
          </cell>
          <cell r="F367" t="str">
            <v>Nguyễn Thị Phương</v>
          </cell>
          <cell r="G367">
            <v>34919</v>
          </cell>
          <cell r="H367">
            <v>26</v>
          </cell>
          <cell r="J367" t="str">
            <v>x</v>
          </cell>
          <cell r="K367" t="str">
            <v>174245610</v>
          </cell>
          <cell r="L367" t="str">
            <v>13/11/2022</v>
          </cell>
          <cell r="M367" t="str">
            <v>Cục quản lý dân cư</v>
          </cell>
          <cell r="N367" t="str">
            <v>Kinh</v>
          </cell>
          <cell r="O367" t="str">
            <v>Không</v>
          </cell>
          <cell r="P367" t="str">
            <v>Việt Nam</v>
          </cell>
          <cell r="S367" t="str">
            <v>Xã Dân Quyền -Huyện Triệu Sơn -Tỉnh Thanh Hoá</v>
          </cell>
          <cell r="T367" t="str">
            <v>Xã Dân Quyền -Huyện Triệu Sơn -Tỉnh Thanh Hoá</v>
          </cell>
          <cell r="U367" t="str">
            <v>Xã Dân Quyền -Huyện Triệu Sơn -Tỉnh Thanh Hoá</v>
          </cell>
          <cell r="V367" t="str">
            <v>0983340529</v>
          </cell>
          <cell r="AE367">
            <v>44613</v>
          </cell>
          <cell r="AO367">
            <v>3285000</v>
          </cell>
        </row>
        <row r="368">
          <cell r="E368">
            <v>50809</v>
          </cell>
          <cell r="F368" t="str">
            <v>Lê Thọ Dương</v>
          </cell>
          <cell r="G368">
            <v>34609</v>
          </cell>
          <cell r="H368">
            <v>29</v>
          </cell>
          <cell r="I368" t="str">
            <v>x</v>
          </cell>
          <cell r="K368" t="str">
            <v>038094037473</v>
          </cell>
          <cell r="L368" t="str">
            <v>19/08/2021</v>
          </cell>
          <cell r="M368" t="str">
            <v>Cục quản lý dân cư</v>
          </cell>
          <cell r="N368" t="str">
            <v>Kinh</v>
          </cell>
          <cell r="O368" t="str">
            <v>Không</v>
          </cell>
          <cell r="P368" t="str">
            <v>Việt Nam</v>
          </cell>
          <cell r="S368" t="str">
            <v>Thôn 2 Xã Thọ Tân -Huyện Triệu Sơn -Tỉnh Thanh Hoá</v>
          </cell>
          <cell r="T368" t="str">
            <v>Thôn 2 Xã Thọ Tân -Huyện Triệu Sơn -Tỉnh Thanh Hoá</v>
          </cell>
          <cell r="U368" t="str">
            <v>Thôn 2 Xã Thọ Tân -Huyện Triệu Sơn -Tỉnh Thanh Hoá</v>
          </cell>
          <cell r="V368" t="str">
            <v>0396902811</v>
          </cell>
          <cell r="AE368">
            <v>44610</v>
          </cell>
          <cell r="AO368">
            <v>3285000</v>
          </cell>
        </row>
        <row r="369">
          <cell r="E369">
            <v>50810</v>
          </cell>
          <cell r="F369" t="str">
            <v>Nguyễn Thị Thuận</v>
          </cell>
          <cell r="G369">
            <v>32878</v>
          </cell>
          <cell r="H369">
            <v>32</v>
          </cell>
          <cell r="J369" t="str">
            <v>x</v>
          </cell>
          <cell r="K369" t="str">
            <v>038190039579</v>
          </cell>
          <cell r="L369" t="str">
            <v>19/08/2021</v>
          </cell>
          <cell r="M369" t="str">
            <v>Cục quản lý dân cư</v>
          </cell>
          <cell r="N369" t="str">
            <v>Kinh</v>
          </cell>
          <cell r="O369" t="str">
            <v>Không</v>
          </cell>
          <cell r="P369" t="str">
            <v>Việt Nam</v>
          </cell>
          <cell r="S369" t="str">
            <v>Thôn 10 Xã Dân Quyền- Huyện Triệu Sơn -Tỉnh Thanh Hoá</v>
          </cell>
          <cell r="T369" t="str">
            <v>Thôn 10 Xã Dân Quyền- Huyện Triệu Sơn -Tỉnh Thanh Hoá</v>
          </cell>
          <cell r="U369" t="str">
            <v>Thôn 10 Xã Dân Quyền- Huyện Triệu Sơn -Tỉnh Thanh Hoá</v>
          </cell>
          <cell r="V369" t="str">
            <v>0979770312</v>
          </cell>
          <cell r="AE369">
            <v>44610</v>
          </cell>
          <cell r="AO369">
            <v>3285000</v>
          </cell>
        </row>
        <row r="370">
          <cell r="E370">
            <v>50811</v>
          </cell>
          <cell r="F370" t="str">
            <v>Trần Đức Sơn</v>
          </cell>
          <cell r="G370">
            <v>33761</v>
          </cell>
          <cell r="H370">
            <v>30</v>
          </cell>
          <cell r="I370" t="str">
            <v>x</v>
          </cell>
          <cell r="K370" t="str">
            <v>173790542</v>
          </cell>
          <cell r="L370">
            <v>40232</v>
          </cell>
          <cell r="M370" t="str">
            <v>Cục quản lý dân cư</v>
          </cell>
          <cell r="N370" t="str">
            <v>Kinh</v>
          </cell>
          <cell r="O370" t="str">
            <v>Không</v>
          </cell>
          <cell r="P370" t="str">
            <v>Việt Nam</v>
          </cell>
          <cell r="S370" t="str">
            <v>Xã Thiệu Hoà -Huyện Thiệu Hoá -Tỉnh Thanh Hoá</v>
          </cell>
          <cell r="T370" t="str">
            <v>Xã Thiệu Hoàng -Huyện Thiệu Hoá -Tỉnh Thanh Hoá</v>
          </cell>
          <cell r="U370" t="str">
            <v>Xã Thiệu Hoàng -Huyện Thiệu Hoá -Tỉnh Thanh Hoá</v>
          </cell>
          <cell r="V370" t="str">
            <v>0334591802</v>
          </cell>
          <cell r="AE370">
            <v>44614</v>
          </cell>
          <cell r="AO370">
            <v>3285000</v>
          </cell>
        </row>
        <row r="371">
          <cell r="E371">
            <v>50812</v>
          </cell>
          <cell r="F371" t="str">
            <v>Lê Xuân Đạt</v>
          </cell>
          <cell r="G371">
            <v>33920</v>
          </cell>
          <cell r="H371">
            <v>30</v>
          </cell>
          <cell r="I371" t="str">
            <v>x</v>
          </cell>
          <cell r="K371" t="str">
            <v>038098011651</v>
          </cell>
          <cell r="L371" t="str">
            <v>18/03/2020</v>
          </cell>
          <cell r="M371" t="str">
            <v>Cục quản lý dân cư</v>
          </cell>
          <cell r="N371" t="str">
            <v>Kinh</v>
          </cell>
          <cell r="O371" t="str">
            <v>Không</v>
          </cell>
          <cell r="P371" t="str">
            <v>Việt Nam</v>
          </cell>
          <cell r="S371" t="str">
            <v>Xã Thiệu Hoà -Huyện Thiệu Hoá -Tỉnh Thanh Hoá</v>
          </cell>
          <cell r="T371" t="str">
            <v>Xã Thiệu Hoà -Huyện Thiệu Hoá -Tỉnh Thanh Hoá</v>
          </cell>
          <cell r="U371" t="str">
            <v>Xã Thiệu Hoà -Huyện Thiệu Hoá -Tỉnh Thanh Hoá</v>
          </cell>
          <cell r="V371" t="str">
            <v>0335275135</v>
          </cell>
          <cell r="AE371">
            <v>44610</v>
          </cell>
          <cell r="AO371">
            <v>3285000</v>
          </cell>
        </row>
        <row r="372">
          <cell r="E372">
            <v>50813</v>
          </cell>
          <cell r="F372" t="str">
            <v>Phùng Xuân Yên</v>
          </cell>
          <cell r="G372">
            <v>28773</v>
          </cell>
          <cell r="H372">
            <v>44</v>
          </cell>
          <cell r="I372" t="str">
            <v>x</v>
          </cell>
          <cell r="K372" t="str">
            <v>038078027736</v>
          </cell>
          <cell r="L372" t="str">
            <v>12/02/2021</v>
          </cell>
          <cell r="M372" t="str">
            <v>Cục quản lý dân cư</v>
          </cell>
          <cell r="N372" t="str">
            <v>Kinh</v>
          </cell>
          <cell r="O372" t="str">
            <v>Không</v>
          </cell>
          <cell r="P372" t="str">
            <v>Việt Nam</v>
          </cell>
          <cell r="S372" t="str">
            <v>Đội 3 Thọ Xã Vực -Huyện Triệu Sơn -Tỉnh Thanh Hoá</v>
          </cell>
          <cell r="T372" t="str">
            <v>Đội 3 Thọ Xã Vực -Huyện Triệu Sơn -Tỉnh Thanh Hoá</v>
          </cell>
          <cell r="U372" t="str">
            <v>Đội 3 Thọ Xã Vực -Huyện Triệu Sơn -Tỉnh Thanh Hoá</v>
          </cell>
          <cell r="V372" t="str">
            <v>0986927200</v>
          </cell>
          <cell r="AE372">
            <v>44614</v>
          </cell>
          <cell r="AO372">
            <v>3285000</v>
          </cell>
        </row>
        <row r="373">
          <cell r="E373">
            <v>50814</v>
          </cell>
          <cell r="F373" t="str">
            <v>Nguyễn Lê Minh Thuý</v>
          </cell>
          <cell r="G373">
            <v>36495</v>
          </cell>
          <cell r="H373">
            <v>23</v>
          </cell>
          <cell r="I373" t="str">
            <v>x</v>
          </cell>
          <cell r="K373" t="str">
            <v>038199002129</v>
          </cell>
          <cell r="L373" t="str">
            <v>09/05/2021</v>
          </cell>
          <cell r="M373" t="str">
            <v>Cục quản lý dân cư</v>
          </cell>
          <cell r="N373" t="str">
            <v>Kinh</v>
          </cell>
          <cell r="O373" t="str">
            <v>Không</v>
          </cell>
          <cell r="P373" t="str">
            <v>Việt Nam</v>
          </cell>
          <cell r="S373" t="str">
            <v>Thôn Tân Đại -Xã Đông Hoà -Huyện Đông Sơn-Tỉnh Thanh Hoá</v>
          </cell>
          <cell r="T373" t="str">
            <v>Thôn Tân Đại -Xã Đông Hoà -Huyện Đông Sơn-Tỉnh Thanh Hoá</v>
          </cell>
          <cell r="U373" t="str">
            <v>Thôn Tân Đại -Xã Đông Hoà -Huyện Đông Sơn-Tỉnh Thanh Hoá</v>
          </cell>
          <cell r="V373" t="str">
            <v>0339921707</v>
          </cell>
          <cell r="AE373">
            <v>44610</v>
          </cell>
          <cell r="AO373">
            <v>3285000</v>
          </cell>
        </row>
        <row r="374">
          <cell r="E374">
            <v>50816</v>
          </cell>
          <cell r="F374" t="str">
            <v>Lê Xuân Tư</v>
          </cell>
          <cell r="G374">
            <v>34892</v>
          </cell>
          <cell r="H374">
            <v>26</v>
          </cell>
          <cell r="I374" t="str">
            <v>x</v>
          </cell>
          <cell r="K374" t="str">
            <v>038095003646</v>
          </cell>
          <cell r="L374" t="str">
            <v>10/05/2021</v>
          </cell>
          <cell r="M374" t="str">
            <v>Cục quản lý dân cư</v>
          </cell>
          <cell r="N374" t="str">
            <v>Kinh</v>
          </cell>
          <cell r="O374" t="str">
            <v>Không</v>
          </cell>
          <cell r="P374" t="str">
            <v>Việt Nam</v>
          </cell>
          <cell r="S374" t="str">
            <v>Xã Dân Lực -Huyện Triệu Sơn -Tỉnh Thanh Hoá</v>
          </cell>
          <cell r="T374" t="str">
            <v>Xã Dân Lực -Huyện Triệu Sơn -Tỉnh Thanh Hoá</v>
          </cell>
          <cell r="U374" t="str">
            <v>Xã Dân Lực -Huyện Triệu Sơn -Tỉnh Thanh Hoá</v>
          </cell>
          <cell r="V374" t="str">
            <v>0979916769</v>
          </cell>
          <cell r="AE374">
            <v>44615</v>
          </cell>
          <cell r="AO374">
            <v>3285000</v>
          </cell>
        </row>
        <row r="375">
          <cell r="E375">
            <v>50817</v>
          </cell>
          <cell r="F375" t="str">
            <v>Hoàng Trung Phong</v>
          </cell>
          <cell r="G375">
            <v>34738</v>
          </cell>
          <cell r="H375">
            <v>26</v>
          </cell>
          <cell r="I375" t="str">
            <v>x</v>
          </cell>
          <cell r="K375" t="str">
            <v>038095000597</v>
          </cell>
          <cell r="L375" t="str">
            <v>17/05/2021</v>
          </cell>
          <cell r="M375" t="str">
            <v>Cục quản lý dân cư</v>
          </cell>
          <cell r="N375" t="str">
            <v>Kinh</v>
          </cell>
          <cell r="O375" t="str">
            <v>Không</v>
          </cell>
          <cell r="P375" t="str">
            <v>Việt Nam</v>
          </cell>
          <cell r="S375" t="str">
            <v>Thôn Đô Xá -Xã Dân Lực -Huyện Triệu sơn Tỉnh Thanh Hoá</v>
          </cell>
          <cell r="T375" t="str">
            <v>Thôn Đô Xá -Xã Dân Lực -Huyện Triệu sơn Tỉnh Thanh Hoá</v>
          </cell>
          <cell r="U375" t="str">
            <v>Thôn Đô Xá -Xã Dân Lực -Huyện Triệu sơn Tỉnh Thanh Hoá</v>
          </cell>
          <cell r="V375" t="str">
            <v>0378170517</v>
          </cell>
          <cell r="AE375">
            <v>44615</v>
          </cell>
          <cell r="AO375">
            <v>3285000</v>
          </cell>
        </row>
        <row r="376">
          <cell r="E376">
            <v>50818</v>
          </cell>
          <cell r="F376" t="str">
            <v>Lê Thị Yến</v>
          </cell>
          <cell r="G376">
            <v>32299</v>
          </cell>
          <cell r="H376">
            <v>34</v>
          </cell>
          <cell r="J376" t="str">
            <v>x</v>
          </cell>
          <cell r="K376" t="str">
            <v>038188010363</v>
          </cell>
          <cell r="L376" t="str">
            <v>08/11/2018</v>
          </cell>
          <cell r="M376" t="str">
            <v>Cục quản lý dân cư</v>
          </cell>
          <cell r="N376" t="str">
            <v>Kinh</v>
          </cell>
          <cell r="O376" t="str">
            <v>Không</v>
          </cell>
          <cell r="P376" t="str">
            <v>Việt Nam</v>
          </cell>
          <cell r="S376" t="str">
            <v>Thôn 5 Xã Dân Quyền-Huyện Triệu Sơn -Tỉnh Thanh Hoá</v>
          </cell>
          <cell r="T376" t="str">
            <v>Thôn 5 Xã Dân Quyền-Huyện Triệu Sơn -Tỉnh Thanh Hoá</v>
          </cell>
          <cell r="U376" t="str">
            <v>Thôn 5 Xã Dân Quyền-Huyện Triệu Sơn -Tỉnh Thanh Hoá</v>
          </cell>
          <cell r="V376" t="str">
            <v>0338488930</v>
          </cell>
          <cell r="AE376">
            <v>44616</v>
          </cell>
          <cell r="AO376">
            <v>3285000</v>
          </cell>
        </row>
        <row r="377">
          <cell r="E377">
            <v>50819</v>
          </cell>
          <cell r="F377" t="str">
            <v>Nguyễn Ngọc Linh</v>
          </cell>
          <cell r="G377">
            <v>36761</v>
          </cell>
          <cell r="H377">
            <v>22</v>
          </cell>
          <cell r="I377" t="str">
            <v>x</v>
          </cell>
          <cell r="K377" t="str">
            <v>038200010217</v>
          </cell>
          <cell r="L377" t="str">
            <v>16/122021</v>
          </cell>
          <cell r="M377" t="str">
            <v>Cục quản lý dân cư</v>
          </cell>
          <cell r="N377" t="str">
            <v>Kinh</v>
          </cell>
          <cell r="O377" t="str">
            <v>Không</v>
          </cell>
          <cell r="P377" t="str">
            <v>Việt Nam</v>
          </cell>
          <cell r="S377" t="str">
            <v>Thôn Đô Trang -Xã Dân Lực -Huyện Triệu sơn Tỉnh Thanh Hoá</v>
          </cell>
          <cell r="T377" t="str">
            <v>Thôn Đô Trang -Xã Dân Lực -Huyện Triệu sơn Tỉnh Thanh Hoá</v>
          </cell>
          <cell r="U377" t="str">
            <v>Thôn Đô Trang -Xã Dân Lực -Huyện Triệu sơn Tỉnh Thanh Hoá</v>
          </cell>
          <cell r="V377" t="str">
            <v>0347861356</v>
          </cell>
          <cell r="AE377">
            <v>44615</v>
          </cell>
          <cell r="AO377">
            <v>3285000</v>
          </cell>
        </row>
        <row r="378">
          <cell r="E378">
            <v>50820</v>
          </cell>
          <cell r="F378" t="str">
            <v>Vũ Thị Thảo</v>
          </cell>
          <cell r="G378">
            <v>32135</v>
          </cell>
          <cell r="H378">
            <v>35</v>
          </cell>
          <cell r="J378" t="str">
            <v>x</v>
          </cell>
          <cell r="K378" t="str">
            <v>1729193348</v>
          </cell>
          <cell r="L378" t="str">
            <v>01/09/2021</v>
          </cell>
          <cell r="M378" t="str">
            <v>Cục quản lý dân cư</v>
          </cell>
          <cell r="N378" t="str">
            <v>Kinh</v>
          </cell>
          <cell r="O378" t="str">
            <v>Không</v>
          </cell>
          <cell r="P378" t="str">
            <v>Việt Nam</v>
          </cell>
          <cell r="S378" t="str">
            <v>Xóm 1 Xã Thọ Thế -Huyện Triệu Sơn -Tỉnh Thanh Hoá</v>
          </cell>
          <cell r="T378" t="str">
            <v>Xóm 1 Xã Thọ Thế -Huyện Triệu Sơn -Tỉnh Thanh Hoá</v>
          </cell>
          <cell r="U378" t="str">
            <v>Xóm 1 Xã Thọ Thế -Huyện Triệu Sơn -Tỉnh Thanh Hoá</v>
          </cell>
          <cell r="V378" t="str">
            <v>0971029334</v>
          </cell>
          <cell r="AE378">
            <v>44618</v>
          </cell>
          <cell r="AO378">
            <v>3285000</v>
          </cell>
        </row>
        <row r="379">
          <cell r="E379">
            <v>50821</v>
          </cell>
          <cell r="F379" t="str">
            <v>Nguyễn Văn Mạnh</v>
          </cell>
          <cell r="G379">
            <v>34162</v>
          </cell>
          <cell r="H379">
            <v>30</v>
          </cell>
          <cell r="I379" t="str">
            <v>x</v>
          </cell>
          <cell r="K379" t="str">
            <v>173544156</v>
          </cell>
          <cell r="L379" t="str">
            <v>06/11/214</v>
          </cell>
          <cell r="M379" t="str">
            <v>Cục quản lý dân cư</v>
          </cell>
          <cell r="N379" t="str">
            <v>Kinh</v>
          </cell>
          <cell r="O379" t="str">
            <v>Không</v>
          </cell>
          <cell r="P379" t="str">
            <v>Việt Nam</v>
          </cell>
          <cell r="S379" t="str">
            <v>Xóm 6 Xã Dân Quyền -Huyện Triệu Sơn -Tỉnh Thanh Hoá</v>
          </cell>
          <cell r="T379" t="str">
            <v>Xóm 6 Xã Dân Quyền -Huyện Triệu Sơn -Tỉnh Thanh Hoá</v>
          </cell>
          <cell r="U379" t="str">
            <v>Xóm 6 Xã Dân Quyền -Huyện Triệu Sơn -Tỉnh Thanh Hoá</v>
          </cell>
          <cell r="V379" t="str">
            <v>0355947935</v>
          </cell>
          <cell r="AE379">
            <v>44618</v>
          </cell>
          <cell r="AO379">
            <v>3285000</v>
          </cell>
        </row>
        <row r="380">
          <cell r="E380">
            <v>50822</v>
          </cell>
          <cell r="F380" t="str">
            <v>Lê Văn Đạo</v>
          </cell>
          <cell r="G380" t="str">
            <v>02/09/1987</v>
          </cell>
          <cell r="H380">
            <v>34</v>
          </cell>
          <cell r="I380" t="str">
            <v>x</v>
          </cell>
          <cell r="K380" t="str">
            <v>0380870066227</v>
          </cell>
          <cell r="L380" t="str">
            <v>15/12/2021</v>
          </cell>
          <cell r="M380" t="str">
            <v>Cục quản lý dân cư</v>
          </cell>
          <cell r="N380" t="str">
            <v>Kinh</v>
          </cell>
          <cell r="O380" t="str">
            <v>Không</v>
          </cell>
          <cell r="P380" t="str">
            <v>Việt Nam</v>
          </cell>
          <cell r="S380" t="str">
            <v>Phố Tân Dân, Thị Trấn Triệu Sơn, huyện Triệu Sơn, tỉnh Thanh Hóa</v>
          </cell>
          <cell r="T380" t="str">
            <v>Phố Tân Dân, Thị Trấn Triệu Sơn, huyện Triệu Sơn, tỉnh Thanh Hóa</v>
          </cell>
          <cell r="U380" t="str">
            <v>Phố Tân Dân, Thị Trấn Triệu Sơn, huyện Triệu Sơn, tỉnh Thanh Hóa</v>
          </cell>
          <cell r="V380" t="str">
            <v>0966488012</v>
          </cell>
          <cell r="AE380">
            <v>44614</v>
          </cell>
          <cell r="AO380">
            <v>3285000</v>
          </cell>
        </row>
        <row r="381">
          <cell r="E381">
            <v>50823</v>
          </cell>
          <cell r="F381" t="str">
            <v>Nguyễn Thi Lụa</v>
          </cell>
          <cell r="G381" t="str">
            <v>07/08/1985</v>
          </cell>
          <cell r="H381">
            <v>36</v>
          </cell>
          <cell r="J381" t="str">
            <v>x</v>
          </cell>
          <cell r="K381" t="str">
            <v>019185015529</v>
          </cell>
          <cell r="L381" t="str">
            <v>22/02/2022</v>
          </cell>
          <cell r="M381" t="str">
            <v>Cục quản lý dân cư</v>
          </cell>
          <cell r="N381" t="str">
            <v>Kinh</v>
          </cell>
          <cell r="O381" t="str">
            <v>Không</v>
          </cell>
          <cell r="P381" t="str">
            <v>Việt Nam</v>
          </cell>
          <cell r="S381" t="str">
            <v>Xã Phấn Mễ -Huyện Phú lương -Thái Nguyên</v>
          </cell>
          <cell r="T381" t="str">
            <v>Xã Thọ Vực -Huyện Triệu Sơn -Tỉnh Thanh Hoá</v>
          </cell>
          <cell r="U381" t="str">
            <v>Xã Thọ Vực -Huyện Triệu Sơn -Tỉnh Thanh Hoá</v>
          </cell>
          <cell r="V381" t="str">
            <v>0329517338</v>
          </cell>
          <cell r="AE381" t="str">
            <v>28/02/2022</v>
          </cell>
          <cell r="AO381">
            <v>3285000</v>
          </cell>
        </row>
        <row r="382">
          <cell r="E382">
            <v>50824</v>
          </cell>
          <cell r="F382" t="str">
            <v>Lê Văn Linh</v>
          </cell>
          <cell r="G382" t="str">
            <v>06/10/1986</v>
          </cell>
          <cell r="H382">
            <v>35</v>
          </cell>
          <cell r="I382" t="str">
            <v>x</v>
          </cell>
          <cell r="J382" t="str">
            <v>x</v>
          </cell>
          <cell r="K382" t="str">
            <v>038086000931</v>
          </cell>
          <cell r="L382" t="str">
            <v>13/05/2016</v>
          </cell>
          <cell r="M382" t="str">
            <v>Cục quản lý dân cư</v>
          </cell>
          <cell r="N382" t="str">
            <v>Kinh</v>
          </cell>
          <cell r="O382" t="str">
            <v>Không</v>
          </cell>
          <cell r="P382" t="str">
            <v>Việt Nam</v>
          </cell>
          <cell r="S382" t="str">
            <v>Xã Dân Quyền- Huyện Triệu Sơn- tỉnh Thanh Hoá</v>
          </cell>
          <cell r="T382" t="str">
            <v>Xã Dân Quyền- huyện Triệu Sơn- tỉnh Thanh Hoá</v>
          </cell>
          <cell r="U382" t="str">
            <v>Xã Dân Quyền- huyện Triệu Sơn- tỉnh Thanh Hoá</v>
          </cell>
          <cell r="V382" t="str">
            <v>0865474871</v>
          </cell>
          <cell r="AE382" t="str">
            <v>02/03/2022</v>
          </cell>
          <cell r="AO382">
            <v>3285000</v>
          </cell>
        </row>
        <row r="383">
          <cell r="E383">
            <v>50825</v>
          </cell>
          <cell r="F383" t="str">
            <v>Trần Thị Phương</v>
          </cell>
          <cell r="G383" t="str">
            <v>15/08/1986</v>
          </cell>
          <cell r="H383">
            <v>36</v>
          </cell>
          <cell r="J383" t="str">
            <v>x</v>
          </cell>
          <cell r="K383" t="str">
            <v>038186029768</v>
          </cell>
          <cell r="L383" t="str">
            <v>26/08/2021</v>
          </cell>
          <cell r="M383" t="str">
            <v>Cục quản lý dân cư</v>
          </cell>
          <cell r="N383" t="str">
            <v>Kinh</v>
          </cell>
          <cell r="O383" t="str">
            <v>Không</v>
          </cell>
          <cell r="P383" t="str">
            <v>Việt Nam</v>
          </cell>
          <cell r="S383" t="str">
            <v>Xã An Nông - Huyện Triệu Sơn -Tỉnh Thanh Hoá</v>
          </cell>
          <cell r="T383" t="str">
            <v>Xã An Nông - Huyện Triệu Sơn -Tỉnh Thanh Hoá</v>
          </cell>
          <cell r="U383" t="str">
            <v>Xã An Nông - Huyện Triệu Sơn -Tỉnh Thanh Hoá</v>
          </cell>
          <cell r="V383" t="str">
            <v>0979725138</v>
          </cell>
          <cell r="AE383" t="str">
            <v>02/03/2022</v>
          </cell>
          <cell r="AO383">
            <v>3285000</v>
          </cell>
        </row>
        <row r="384">
          <cell r="E384">
            <v>50826</v>
          </cell>
          <cell r="F384" t="str">
            <v>Trịnh Văn Hùng</v>
          </cell>
          <cell r="G384" t="str">
            <v>09/09/2001</v>
          </cell>
          <cell r="H384">
            <v>21</v>
          </cell>
          <cell r="I384" t="str">
            <v>x</v>
          </cell>
          <cell r="K384" t="str">
            <v>038201016228</v>
          </cell>
          <cell r="L384" t="str">
            <v>07/10//2019</v>
          </cell>
          <cell r="M384" t="str">
            <v>Cục quản lý dân cư</v>
          </cell>
          <cell r="N384" t="str">
            <v>Kinh</v>
          </cell>
          <cell r="O384" t="str">
            <v>Không</v>
          </cell>
          <cell r="P384" t="str">
            <v>Việt Nam</v>
          </cell>
          <cell r="S384" t="str">
            <v>Phố Thiều Dân Lý -Triệu Sơn -Tỉnh Thanh Hoá</v>
          </cell>
          <cell r="T384" t="str">
            <v>Phố Thiều Dân Lý -Triệu Sơn -Tỉnh Thanh Hoá</v>
          </cell>
          <cell r="U384" t="str">
            <v>Phố Thiều Dân Lý -Triệu Sơn -Tỉnh Thanh Hoá</v>
          </cell>
          <cell r="V384" t="str">
            <v>0961151149</v>
          </cell>
          <cell r="AE384">
            <v>44622</v>
          </cell>
          <cell r="AO384">
            <v>3285000</v>
          </cell>
        </row>
        <row r="385">
          <cell r="E385">
            <v>50827</v>
          </cell>
          <cell r="F385" t="str">
            <v>Nguyễn Thị Hiền</v>
          </cell>
          <cell r="G385" t="str">
            <v>17/07/1984</v>
          </cell>
          <cell r="H385">
            <v>38</v>
          </cell>
          <cell r="J385" t="str">
            <v>x</v>
          </cell>
          <cell r="K385" t="str">
            <v>038184003159</v>
          </cell>
          <cell r="L385" t="str">
            <v>12/03/2020</v>
          </cell>
          <cell r="M385" t="str">
            <v>Cục quản lý dân cư</v>
          </cell>
          <cell r="N385" t="str">
            <v>Kinh</v>
          </cell>
          <cell r="O385" t="str">
            <v>Không</v>
          </cell>
          <cell r="P385" t="str">
            <v>Việt Nam</v>
          </cell>
          <cell r="S385" t="str">
            <v>Khu Hoà Bình -Thị Trấn Hậu Lộc-Tỉnh Thanh Hoá</v>
          </cell>
          <cell r="T385" t="str">
            <v>Khu Hoà Bình -Thị Trấn Hậu Lộc-Tỉnh Thanh Hoá</v>
          </cell>
          <cell r="U385" t="str">
            <v>Khu Hoà Bình -Thị Trấn Hậu Lộc-Tỉnh Thanh Hoá</v>
          </cell>
          <cell r="V385" t="str">
            <v>0862502483</v>
          </cell>
          <cell r="AE385">
            <v>44623</v>
          </cell>
          <cell r="AO385">
            <v>3285000</v>
          </cell>
        </row>
        <row r="386">
          <cell r="E386">
            <v>50828</v>
          </cell>
          <cell r="F386" t="str">
            <v>Phan Văn Anh</v>
          </cell>
          <cell r="G386">
            <v>37953</v>
          </cell>
          <cell r="H386">
            <v>19</v>
          </cell>
          <cell r="I386" t="str">
            <v>x</v>
          </cell>
          <cell r="K386" t="str">
            <v>038203025691</v>
          </cell>
          <cell r="L386" t="str">
            <v>05/04/2021</v>
          </cell>
          <cell r="M386" t="str">
            <v>Cục quản lý dân cư</v>
          </cell>
          <cell r="N386" t="str">
            <v>Kinh</v>
          </cell>
          <cell r="O386" t="str">
            <v>Không</v>
          </cell>
          <cell r="P386" t="str">
            <v>Việt Nam</v>
          </cell>
          <cell r="S386" t="str">
            <v>Xã Dân Quyền- Huyện Triệu Sơn -Tỉnh Thanh Hoá</v>
          </cell>
          <cell r="T386" t="str">
            <v>Xã Dân Quyền- Huyện Triệu Sơn -Tỉnh Thanh Hoá</v>
          </cell>
          <cell r="U386" t="str">
            <v>Xã Dân Quyền- Huyện Triệu Sơn -Tỉnh Thanh Hoá</v>
          </cell>
          <cell r="V386" t="str">
            <v>0868010553</v>
          </cell>
          <cell r="AE386">
            <v>44611</v>
          </cell>
          <cell r="AO386">
            <v>3285000</v>
          </cell>
        </row>
        <row r="387">
          <cell r="E387">
            <v>50829</v>
          </cell>
          <cell r="F387" t="str">
            <v>Trịnh Thị Phương</v>
          </cell>
          <cell r="G387">
            <v>33272</v>
          </cell>
          <cell r="H387">
            <v>32</v>
          </cell>
          <cell r="J387" t="str">
            <v>x</v>
          </cell>
          <cell r="K387" t="str">
            <v>174748411</v>
          </cell>
          <cell r="L387" t="str">
            <v>26/07/2014</v>
          </cell>
          <cell r="M387" t="str">
            <v>Cục quản lý dân cư</v>
          </cell>
          <cell r="N387" t="str">
            <v>Kinh</v>
          </cell>
          <cell r="O387" t="str">
            <v>Không</v>
          </cell>
          <cell r="P387" t="str">
            <v>Việt Nam</v>
          </cell>
          <cell r="S387" t="str">
            <v>Xã Thiệu Hoà -Huyện Thiệu Hoá -Tỉnh Thanh Hoá</v>
          </cell>
          <cell r="T387" t="str">
            <v>Xã Thiệu Hoà -Huyện Thiệu Hoá -Tỉnh Thanh Hoá</v>
          </cell>
          <cell r="U387" t="str">
            <v>Xã Thiệu Hoà -Huyện Thiệu Hoá -Tỉnh Thanh Hoá</v>
          </cell>
          <cell r="V387" t="str">
            <v>0974167310</v>
          </cell>
          <cell r="AE387">
            <v>44610</v>
          </cell>
          <cell r="AO387">
            <v>3285000</v>
          </cell>
        </row>
        <row r="388">
          <cell r="E388">
            <v>50830</v>
          </cell>
          <cell r="F388" t="str">
            <v>Trịnh Văn Tiến</v>
          </cell>
          <cell r="G388" t="str">
            <v>06/10/1995</v>
          </cell>
          <cell r="H388">
            <v>26</v>
          </cell>
          <cell r="I388" t="str">
            <v>x</v>
          </cell>
          <cell r="K388" t="str">
            <v>038095025249</v>
          </cell>
          <cell r="L388" t="str">
            <v>16/02/2022</v>
          </cell>
          <cell r="M388" t="str">
            <v>Cục quản lý dân cư</v>
          </cell>
          <cell r="N388" t="str">
            <v>Kinh</v>
          </cell>
          <cell r="O388" t="str">
            <v>Không</v>
          </cell>
          <cell r="P388" t="str">
            <v>Việt Nam</v>
          </cell>
          <cell r="S388" t="str">
            <v>Thôn 4 Xa Minh Sơn -Huyện Triệu Sơn -Tỉnh Thanh Hoá</v>
          </cell>
          <cell r="U388" t="str">
            <v>Thôn 4 Xa Minh Sơn -Huyện Triệu Sơn -Tỉnh Thanh Hoá</v>
          </cell>
          <cell r="V388" t="str">
            <v>0981610017</v>
          </cell>
          <cell r="AE388">
            <v>44617</v>
          </cell>
          <cell r="AO388">
            <v>3285000</v>
          </cell>
        </row>
        <row r="389">
          <cell r="E389">
            <v>50831</v>
          </cell>
          <cell r="F389" t="str">
            <v>Đỗ Thị Nga</v>
          </cell>
          <cell r="G389" t="str">
            <v>06/06/1997</v>
          </cell>
          <cell r="H389">
            <v>25</v>
          </cell>
          <cell r="J389" t="str">
            <v>x</v>
          </cell>
          <cell r="K389" t="str">
            <v>038177008450</v>
          </cell>
          <cell r="L389" t="str">
            <v>05/06/2019</v>
          </cell>
          <cell r="M389" t="str">
            <v>Cục quản lý dân cư</v>
          </cell>
          <cell r="N389" t="str">
            <v>Kinh</v>
          </cell>
          <cell r="O389" t="str">
            <v>Không</v>
          </cell>
          <cell r="P389" t="str">
            <v>Việt Nam</v>
          </cell>
          <cell r="S389" t="str">
            <v>Thôn 6 Xã Vân Sơn -Huyện Triệu Sơn -Tỉnh Thanh Hoá</v>
          </cell>
          <cell r="U389" t="str">
            <v>Thôn 6 Xã Vân Sơn -Huyện Triệu Sơn -Tỉnh Thanh Hoá</v>
          </cell>
          <cell r="V389" t="str">
            <v>0968724009</v>
          </cell>
          <cell r="AE389">
            <v>44615</v>
          </cell>
          <cell r="AO389">
            <v>3285000</v>
          </cell>
        </row>
        <row r="390">
          <cell r="E390">
            <v>50832</v>
          </cell>
          <cell r="F390" t="str">
            <v>Lê Thị Thuỷ</v>
          </cell>
          <cell r="G390" t="str">
            <v>09/04/1992</v>
          </cell>
          <cell r="H390">
            <v>30</v>
          </cell>
          <cell r="K390" t="str">
            <v>038192044172</v>
          </cell>
          <cell r="L390" t="str">
            <v>01/09/2021</v>
          </cell>
          <cell r="M390" t="str">
            <v>Cục quản lý dân cư</v>
          </cell>
          <cell r="N390" t="str">
            <v>Kinh</v>
          </cell>
          <cell r="O390" t="str">
            <v>Không</v>
          </cell>
          <cell r="P390" t="str">
            <v>Việt Nam</v>
          </cell>
          <cell r="S390" t="str">
            <v>Thôn 2 Xã Thọ Tân -Huyện Triệu Sơn -Tỉnh Thanh Hoá</v>
          </cell>
          <cell r="U390" t="str">
            <v>Thôn 2 Xã Thọ Tân -Huyện Triệu Sơn -Tỉnh Thanh Hoá</v>
          </cell>
          <cell r="V390" t="str">
            <v>0984968092</v>
          </cell>
          <cell r="AE390">
            <v>44609</v>
          </cell>
          <cell r="AO390">
            <v>3285000</v>
          </cell>
        </row>
        <row r="391">
          <cell r="E391">
            <v>50833</v>
          </cell>
          <cell r="F391" t="str">
            <v>Nguyễn Thị Trang</v>
          </cell>
          <cell r="G391">
            <v>37330</v>
          </cell>
          <cell r="H391">
            <v>18</v>
          </cell>
          <cell r="J391" t="str">
            <v>x</v>
          </cell>
          <cell r="K391" t="str">
            <v>038302013300</v>
          </cell>
          <cell r="L391" t="str">
            <v>22/08/2019</v>
          </cell>
          <cell r="M391" t="str">
            <v>Cục quản lý dân cư</v>
          </cell>
          <cell r="N391" t="str">
            <v>Kinh</v>
          </cell>
          <cell r="O391" t="str">
            <v>Không</v>
          </cell>
          <cell r="P391" t="str">
            <v>Việt Nam</v>
          </cell>
          <cell r="S391" t="str">
            <v>Thôn 4 Dân Quyền -Huyện Triệ Sơn-Tỉnh ThanhHoá</v>
          </cell>
          <cell r="U391" t="str">
            <v>Thôn 4 Dân Quyền -Huyện Triệ Sơn-Tỉnh ThanhHoá</v>
          </cell>
          <cell r="V391" t="str">
            <v>0963866913</v>
          </cell>
          <cell r="AE391">
            <v>44620</v>
          </cell>
          <cell r="AO391">
            <v>3285000</v>
          </cell>
        </row>
        <row r="392">
          <cell r="F392" t="str">
            <v>Nguyễn Thế Sơn</v>
          </cell>
          <cell r="G392">
            <v>36231</v>
          </cell>
          <cell r="H392">
            <v>23</v>
          </cell>
          <cell r="I392" t="str">
            <v>x</v>
          </cell>
          <cell r="K392" t="str">
            <v>038099003964</v>
          </cell>
          <cell r="L392">
            <v>42641</v>
          </cell>
          <cell r="M392" t="str">
            <v>Cục quản lý dân cư</v>
          </cell>
          <cell r="N392" t="str">
            <v>Kinh</v>
          </cell>
          <cell r="O392" t="str">
            <v>Không</v>
          </cell>
          <cell r="P392" t="str">
            <v>Việt Nam</v>
          </cell>
          <cell r="Q392" t="str">
            <v>12/12</v>
          </cell>
          <cell r="S392" t="str">
            <v>Thôn 7 Xã Dân Quyền -Huyện Triệu Sơn -Tỉnh Thanh Hoá</v>
          </cell>
          <cell r="T392" t="str">
            <v>Thôn 7 Xã Dân Quyền -Huyện Triệu Sơn -Tỉnh Thanh Hoá</v>
          </cell>
          <cell r="U392" t="str">
            <v>Thôn 7 Xã Dân Quyền -Huyện Triệu Sơn -Tỉnh Thanh Hoá</v>
          </cell>
          <cell r="V392" t="str">
            <v>0379658136</v>
          </cell>
          <cell r="AE392" t="str">
            <v>05/03/2022</v>
          </cell>
        </row>
        <row r="393">
          <cell r="E393">
            <v>10049</v>
          </cell>
          <cell r="F393" t="str">
            <v>Lê Đức Hoà</v>
          </cell>
          <cell r="G393" t="str">
            <v/>
          </cell>
          <cell r="I393" t="str">
            <v>x</v>
          </cell>
          <cell r="J393" t="str">
            <v/>
          </cell>
          <cell r="M393" t="str">
            <v>Cục quản lý dân cư</v>
          </cell>
          <cell r="N393" t="str">
            <v>Kinh</v>
          </cell>
          <cell r="O393" t="str">
            <v>Không</v>
          </cell>
          <cell r="P393" t="str">
            <v>Việt Nam</v>
          </cell>
          <cell r="V393" t="str">
            <v>0328945436</v>
          </cell>
          <cell r="AE393">
            <v>44445</v>
          </cell>
          <cell r="AO393">
            <v>3285000</v>
          </cell>
        </row>
        <row r="394">
          <cell r="E394">
            <v>10057</v>
          </cell>
          <cell r="F394" t="str">
            <v>Nguyễn Thị Duyên</v>
          </cell>
          <cell r="G394" t="str">
            <v>21/01/2004</v>
          </cell>
          <cell r="H394" t="e">
            <v>#VALUE!</v>
          </cell>
          <cell r="J394" t="str">
            <v>x</v>
          </cell>
          <cell r="K394" t="str">
            <v/>
          </cell>
          <cell r="L394" t="str">
            <v>13/05/2021</v>
          </cell>
          <cell r="M394" t="str">
            <v>Cục quản lý dân cư</v>
          </cell>
          <cell r="N394" t="str">
            <v>Kinh</v>
          </cell>
          <cell r="O394" t="str">
            <v>Không</v>
          </cell>
          <cell r="P394" t="str">
            <v>Việt Nam</v>
          </cell>
          <cell r="Q394" t="str">
            <v>9/12</v>
          </cell>
          <cell r="S394" t="str">
            <v>Xã Dân Quyền, huyện Triệu Sơn, tỉnh Thanh Hoá</v>
          </cell>
          <cell r="T394" t="str">
            <v/>
          </cell>
          <cell r="U394" t="str">
            <v>Thôn 1, xã Dân Quyền, huyện Triệu Sơn, tỉnh Thanh Hoá</v>
          </cell>
          <cell r="V394" t="str">
            <v>0353958895</v>
          </cell>
          <cell r="AD394">
            <v>107874470826</v>
          </cell>
          <cell r="AE394">
            <v>44476</v>
          </cell>
          <cell r="AF394" t="str">
            <v>l</v>
          </cell>
          <cell r="AO394">
            <v>3285000</v>
          </cell>
        </row>
        <row r="395">
          <cell r="E395">
            <v>10031</v>
          </cell>
          <cell r="F395" t="str">
            <v>Nhữ Thị Hải</v>
          </cell>
          <cell r="G395">
            <v>38250</v>
          </cell>
          <cell r="H395">
            <v>17</v>
          </cell>
          <cell r="J395" t="str">
            <v>x</v>
          </cell>
          <cell r="K395" t="str">
            <v>038304030070</v>
          </cell>
          <cell r="L395" t="str">
            <v/>
          </cell>
          <cell r="M395" t="str">
            <v>Cục quản lý dân cư</v>
          </cell>
          <cell r="N395" t="str">
            <v>Kinh</v>
          </cell>
          <cell r="O395" t="str">
            <v>Không</v>
          </cell>
          <cell r="P395" t="str">
            <v>Việt Nam</v>
          </cell>
          <cell r="Q395" t="str">
            <v>12/12</v>
          </cell>
          <cell r="S395" t="str">
            <v>Thị Trấn Triệu Sơn, huyện Triệu Sơn, tỉnh Thanh Hoá</v>
          </cell>
          <cell r="T395" t="str">
            <v>Thị Trấn Triệu Sơn, huyện Triệu Sơn, tỉnh Thanh Hoá</v>
          </cell>
          <cell r="U395" t="str">
            <v>Thị Trấn Triệu Sơn, huyện Triệu Sơn, tỉnh Thanh Hoá</v>
          </cell>
          <cell r="V395" t="str">
            <v>0563666289</v>
          </cell>
          <cell r="AD395" t="str">
            <v>106873754638</v>
          </cell>
          <cell r="AE395">
            <v>44418</v>
          </cell>
          <cell r="AO395">
            <v>3285000</v>
          </cell>
        </row>
        <row r="396">
          <cell r="E396">
            <v>10070</v>
          </cell>
          <cell r="F396" t="str">
            <v>Nguyễn Hữu Thanh</v>
          </cell>
          <cell r="G396" t="str">
            <v>07/12/2004</v>
          </cell>
          <cell r="H396">
            <v>17</v>
          </cell>
          <cell r="I396" t="str">
            <v>x</v>
          </cell>
          <cell r="K396" t="str">
            <v>038204000476</v>
          </cell>
          <cell r="L396">
            <v>44425</v>
          </cell>
          <cell r="M396" t="str">
            <v>Cục quản lý dân cư</v>
          </cell>
          <cell r="N396" t="str">
            <v>Kinh</v>
          </cell>
          <cell r="O396" t="str">
            <v>Không</v>
          </cell>
          <cell r="P396" t="str">
            <v>Việt Nam</v>
          </cell>
          <cell r="Q396" t="str">
            <v>12/12</v>
          </cell>
          <cell r="S396" t="str">
            <v>Thôn Phúc Hải -Xã Dân Lực -Huyện Triệu Sơn -Tỉnh Thanh Hoá</v>
          </cell>
          <cell r="U396" t="str">
            <v>Thôn Phúc Hải -Xã Dân Lực -Huyện Triệu Sơn -Tỉnh Thanh Hoá</v>
          </cell>
          <cell r="V396" t="str">
            <v>0382631924</v>
          </cell>
          <cell r="AE396">
            <v>44607</v>
          </cell>
          <cell r="AO396">
            <v>3285000</v>
          </cell>
        </row>
        <row r="397">
          <cell r="E397">
            <v>10071</v>
          </cell>
          <cell r="F397" t="str">
            <v>Lê Đức Phúc</v>
          </cell>
          <cell r="G397" t="str">
            <v>02/11/2004</v>
          </cell>
          <cell r="H397">
            <v>18</v>
          </cell>
          <cell r="I397" t="str">
            <v>x</v>
          </cell>
          <cell r="K397" t="str">
            <v>038204007802</v>
          </cell>
          <cell r="L397" t="str">
            <v>16/09/2021</v>
          </cell>
          <cell r="M397" t="str">
            <v>Cục quản lý dân cư</v>
          </cell>
          <cell r="N397" t="str">
            <v>Kinh</v>
          </cell>
          <cell r="O397" t="str">
            <v>Không</v>
          </cell>
          <cell r="P397" t="str">
            <v>Việt Nam</v>
          </cell>
          <cell r="Q397" t="str">
            <v>12/12</v>
          </cell>
          <cell r="S397" t="str">
            <v>Thái  Khang-Xã Thiệu Hoà -Huyện Thiệu Hoá-Tỉnh Thanh Hoá</v>
          </cell>
          <cell r="U397" t="str">
            <v>Thái  Khang-Xã Thiệu Hoà -Huyện Thiệu Hoá-Tỉnh Thanh Hoá</v>
          </cell>
          <cell r="V397" t="str">
            <v>0353759618</v>
          </cell>
          <cell r="AE397">
            <v>44607</v>
          </cell>
          <cell r="AO397">
            <v>3285000</v>
          </cell>
        </row>
        <row r="398">
          <cell r="E398">
            <v>10072</v>
          </cell>
          <cell r="F398" t="str">
            <v>Lê Thị Hạnh</v>
          </cell>
          <cell r="G398" t="str">
            <v>04/11/2005</v>
          </cell>
          <cell r="H398">
            <v>16</v>
          </cell>
          <cell r="J398" t="str">
            <v>x</v>
          </cell>
          <cell r="K398" t="str">
            <v>038305007540</v>
          </cell>
          <cell r="L398" t="str">
            <v>22/04/2021</v>
          </cell>
          <cell r="M398" t="str">
            <v>Cục quản lý dân cư</v>
          </cell>
          <cell r="N398" t="str">
            <v>Kinh</v>
          </cell>
          <cell r="O398" t="str">
            <v>Không</v>
          </cell>
          <cell r="P398" t="str">
            <v>Việt Nam</v>
          </cell>
          <cell r="S398" t="str">
            <v>Xã Hợp Thắng -Huyện Triệu Sơn -Tỉnh Thanh Hoá</v>
          </cell>
          <cell r="U398" t="str">
            <v>Xã Hợp Thắng -Huyện Triệu Sơn -Tỉnh Thanh Hoá</v>
          </cell>
          <cell r="V398" t="str">
            <v>0836192026</v>
          </cell>
          <cell r="AE398">
            <v>44609</v>
          </cell>
          <cell r="AO398">
            <v>3285000</v>
          </cell>
        </row>
        <row r="399">
          <cell r="E399">
            <v>10073</v>
          </cell>
          <cell r="F399" t="str">
            <v>Nguyễn Thị Thuỷ</v>
          </cell>
          <cell r="G399">
            <v>38678</v>
          </cell>
          <cell r="H399">
            <v>16</v>
          </cell>
          <cell r="J399" t="str">
            <v>x</v>
          </cell>
          <cell r="K399" t="str">
            <v>038305017281</v>
          </cell>
          <cell r="L399" t="str">
            <v>22/05/2021</v>
          </cell>
          <cell r="M399" t="str">
            <v>Cục quản lý dân cư</v>
          </cell>
          <cell r="N399" t="str">
            <v>Kinh</v>
          </cell>
          <cell r="O399" t="str">
            <v>Không</v>
          </cell>
          <cell r="P399" t="str">
            <v>Việt Nam</v>
          </cell>
          <cell r="S399" t="str">
            <v>Xã Thọ Tân -Huyện Triệu Sơn -Tỉnh Thanh Hoá</v>
          </cell>
          <cell r="U399" t="str">
            <v>Xã Thọ Tân - Huyện Triệu Sơn -Tinh Thanh Hoá</v>
          </cell>
          <cell r="V399" t="str">
            <v>0392447598</v>
          </cell>
          <cell r="AE399">
            <v>44609</v>
          </cell>
          <cell r="AO399">
            <v>3285000</v>
          </cell>
        </row>
        <row r="400">
          <cell r="E400">
            <v>10074</v>
          </cell>
          <cell r="F400" t="str">
            <v>Nguyễn Thị Trang</v>
          </cell>
          <cell r="G400" t="str">
            <v>24/07/2005</v>
          </cell>
          <cell r="H400">
            <v>16</v>
          </cell>
          <cell r="J400" t="str">
            <v>x</v>
          </cell>
          <cell r="K400" t="str">
            <v>038305005884</v>
          </cell>
          <cell r="L400" t="str">
            <v>04/08/2001</v>
          </cell>
          <cell r="M400" t="str">
            <v>Cục quản lý dân cư</v>
          </cell>
          <cell r="N400" t="str">
            <v>Kinh</v>
          </cell>
          <cell r="O400" t="str">
            <v>Không</v>
          </cell>
          <cell r="P400" t="str">
            <v>Việt Nam</v>
          </cell>
          <cell r="S400" t="str">
            <v>Thôn Ân Mộc -Xã Dân Lực -Huyện Triệu Sơn  -Tỉnh Thanh Hoá</v>
          </cell>
          <cell r="U400" t="str">
            <v>Thôn Ân Mộc -Xã Dân Lực -Huyện Triệu Sơn  -Tỉnh Thanh Hoá</v>
          </cell>
          <cell r="V400" t="str">
            <v>0396576536</v>
          </cell>
          <cell r="AE400">
            <v>44620</v>
          </cell>
          <cell r="AO400">
            <v>3285000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D"/>
      <sheetName val="S&amp;D (2)"/>
      <sheetName val="Lop 1"/>
      <sheetName val="Lớp 2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T13"/>
      <sheetName val="Nghỉ việc"/>
      <sheetName val="Cơ điện"/>
      <sheetName val="Quản trị"/>
      <sheetName val="K.thuật"/>
      <sheetName val="K.hoạch"/>
      <sheetName val="VP+ Qtri"/>
      <sheetName val="Bếp +CV"/>
      <sheetName val="H.thiện"/>
      <sheetName val="Cắt"/>
      <sheetName val="K.hoá"/>
      <sheetName val="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7">
          <cell r="AH7">
            <v>50011</v>
          </cell>
          <cell r="AI7">
            <v>14</v>
          </cell>
          <cell r="AJ7">
            <v>4</v>
          </cell>
          <cell r="AK7">
            <v>1</v>
          </cell>
          <cell r="AL7">
            <v>0</v>
          </cell>
          <cell r="AM7">
            <v>0</v>
          </cell>
          <cell r="AN7">
            <v>4</v>
          </cell>
          <cell r="AO7">
            <v>0</v>
          </cell>
        </row>
        <row r="8">
          <cell r="AH8">
            <v>50024</v>
          </cell>
          <cell r="AI8">
            <v>16.5</v>
          </cell>
          <cell r="AJ8">
            <v>4</v>
          </cell>
          <cell r="AK8">
            <v>3.5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</row>
        <row r="9">
          <cell r="AH9">
            <v>50035</v>
          </cell>
          <cell r="AI9">
            <v>18</v>
          </cell>
          <cell r="AJ9">
            <v>4</v>
          </cell>
          <cell r="AK9">
            <v>1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</row>
        <row r="10">
          <cell r="AH10">
            <v>50075</v>
          </cell>
          <cell r="AI10">
            <v>16</v>
          </cell>
          <cell r="AJ10">
            <v>4</v>
          </cell>
          <cell r="AK10">
            <v>2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</row>
        <row r="11">
          <cell r="AH11">
            <v>50097</v>
          </cell>
          <cell r="AI11">
            <v>18</v>
          </cell>
          <cell r="AJ11">
            <v>4</v>
          </cell>
          <cell r="AK11">
            <v>1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</row>
        <row r="12">
          <cell r="AH12">
            <v>50138</v>
          </cell>
          <cell r="AI12">
            <v>16</v>
          </cell>
          <cell r="AJ12">
            <v>4</v>
          </cell>
          <cell r="AK12">
            <v>3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</row>
        <row r="13">
          <cell r="AH13">
            <v>50141</v>
          </cell>
          <cell r="AI13">
            <v>16</v>
          </cell>
          <cell r="AJ13">
            <v>4</v>
          </cell>
          <cell r="AK13">
            <v>3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</row>
        <row r="14">
          <cell r="AH14">
            <v>50161</v>
          </cell>
          <cell r="AI14">
            <v>17</v>
          </cell>
          <cell r="AJ14">
            <v>4</v>
          </cell>
          <cell r="AK14">
            <v>1</v>
          </cell>
          <cell r="AL14">
            <v>0</v>
          </cell>
          <cell r="AM14">
            <v>0</v>
          </cell>
          <cell r="AN14">
            <v>1</v>
          </cell>
          <cell r="AO14">
            <v>0</v>
          </cell>
        </row>
        <row r="15">
          <cell r="AH15">
            <v>50173</v>
          </cell>
          <cell r="AI15">
            <v>18</v>
          </cell>
          <cell r="AJ15">
            <v>4</v>
          </cell>
          <cell r="AK15">
            <v>1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</row>
        <row r="16">
          <cell r="AH16">
            <v>50216</v>
          </cell>
          <cell r="AI16">
            <v>18</v>
          </cell>
          <cell r="AJ16">
            <v>4</v>
          </cell>
          <cell r="AK16">
            <v>1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</row>
        <row r="17">
          <cell r="AH17">
            <v>50218</v>
          </cell>
          <cell r="AI17">
            <v>13</v>
          </cell>
          <cell r="AJ17">
            <v>4</v>
          </cell>
          <cell r="AK17">
            <v>1</v>
          </cell>
          <cell r="AL17">
            <v>0</v>
          </cell>
          <cell r="AM17">
            <v>0</v>
          </cell>
          <cell r="AN17">
            <v>5</v>
          </cell>
          <cell r="AO17">
            <v>0</v>
          </cell>
        </row>
        <row r="18">
          <cell r="AH18">
            <v>50221</v>
          </cell>
          <cell r="AI18">
            <v>5</v>
          </cell>
          <cell r="AJ18">
            <v>4</v>
          </cell>
          <cell r="AK18">
            <v>1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</row>
        <row r="19">
          <cell r="AH19">
            <v>50250</v>
          </cell>
          <cell r="AI19">
            <v>17</v>
          </cell>
          <cell r="AJ19">
            <v>4</v>
          </cell>
          <cell r="AK19">
            <v>1</v>
          </cell>
          <cell r="AL19">
            <v>0</v>
          </cell>
          <cell r="AM19">
            <v>0</v>
          </cell>
          <cell r="AN19">
            <v>1</v>
          </cell>
          <cell r="AO19">
            <v>0</v>
          </cell>
        </row>
        <row r="20">
          <cell r="AH20">
            <v>50263</v>
          </cell>
          <cell r="AI20">
            <v>17</v>
          </cell>
          <cell r="AJ20">
            <v>4</v>
          </cell>
          <cell r="AK20">
            <v>2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</row>
        <row r="21">
          <cell r="AH21">
            <v>50265</v>
          </cell>
          <cell r="AI21">
            <v>17.5</v>
          </cell>
          <cell r="AJ21">
            <v>4</v>
          </cell>
          <cell r="AK21">
            <v>1.5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</row>
        <row r="22">
          <cell r="AH22">
            <v>50287</v>
          </cell>
          <cell r="AI22">
            <v>17</v>
          </cell>
          <cell r="AJ22">
            <v>4</v>
          </cell>
          <cell r="AK22">
            <v>2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</row>
        <row r="23">
          <cell r="AH23">
            <v>50425</v>
          </cell>
          <cell r="AI23">
            <v>16</v>
          </cell>
          <cell r="AJ23">
            <v>4</v>
          </cell>
          <cell r="AK23">
            <v>1</v>
          </cell>
          <cell r="AL23">
            <v>0</v>
          </cell>
          <cell r="AM23">
            <v>0</v>
          </cell>
          <cell r="AN23">
            <v>2</v>
          </cell>
          <cell r="AO23">
            <v>0</v>
          </cell>
        </row>
        <row r="24">
          <cell r="AH24">
            <v>50581</v>
          </cell>
          <cell r="AI24">
            <v>18</v>
          </cell>
          <cell r="AJ24">
            <v>4</v>
          </cell>
          <cell r="AK24">
            <v>1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</row>
        <row r="25">
          <cell r="AH25">
            <v>50628</v>
          </cell>
          <cell r="AI25">
            <v>18</v>
          </cell>
          <cell r="AJ25">
            <v>4</v>
          </cell>
          <cell r="AK25">
            <v>1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</row>
        <row r="26">
          <cell r="AH26">
            <v>50737</v>
          </cell>
          <cell r="AI26">
            <v>18</v>
          </cell>
          <cell r="AJ26">
            <v>4</v>
          </cell>
          <cell r="AK26">
            <v>0</v>
          </cell>
          <cell r="AL26">
            <v>1</v>
          </cell>
          <cell r="AM26">
            <v>0</v>
          </cell>
          <cell r="AN26">
            <v>0</v>
          </cell>
          <cell r="AO26">
            <v>0</v>
          </cell>
        </row>
        <row r="27">
          <cell r="AH27">
            <v>50783</v>
          </cell>
          <cell r="AI27">
            <v>13</v>
          </cell>
          <cell r="AJ27">
            <v>0</v>
          </cell>
          <cell r="AK27">
            <v>0</v>
          </cell>
          <cell r="AL27">
            <v>1</v>
          </cell>
          <cell r="AM27">
            <v>0</v>
          </cell>
          <cell r="AN27">
            <v>0</v>
          </cell>
          <cell r="AO27">
            <v>0</v>
          </cell>
        </row>
        <row r="28">
          <cell r="AH28">
            <v>50023</v>
          </cell>
          <cell r="AI28">
            <v>16</v>
          </cell>
          <cell r="AJ28">
            <v>4</v>
          </cell>
          <cell r="AK28">
            <v>1</v>
          </cell>
          <cell r="AL28">
            <v>0</v>
          </cell>
          <cell r="AM28">
            <v>0</v>
          </cell>
          <cell r="AN28">
            <v>2</v>
          </cell>
          <cell r="AO28">
            <v>0</v>
          </cell>
        </row>
        <row r="29">
          <cell r="AH29">
            <v>50028</v>
          </cell>
          <cell r="AI29">
            <v>17</v>
          </cell>
          <cell r="AJ29">
            <v>4</v>
          </cell>
          <cell r="AK29">
            <v>1</v>
          </cell>
          <cell r="AL29">
            <v>0</v>
          </cell>
          <cell r="AM29">
            <v>0</v>
          </cell>
          <cell r="AN29">
            <v>1</v>
          </cell>
          <cell r="AO29">
            <v>0</v>
          </cell>
        </row>
        <row r="30">
          <cell r="AH30">
            <v>50029</v>
          </cell>
          <cell r="AI30">
            <v>10</v>
          </cell>
          <cell r="AJ30">
            <v>4</v>
          </cell>
          <cell r="AK30">
            <v>1</v>
          </cell>
          <cell r="AL30">
            <v>0</v>
          </cell>
          <cell r="AM30">
            <v>0</v>
          </cell>
          <cell r="AN30">
            <v>8</v>
          </cell>
          <cell r="AO30">
            <v>0</v>
          </cell>
        </row>
        <row r="31">
          <cell r="AH31">
            <v>50046</v>
          </cell>
          <cell r="AI31">
            <v>17</v>
          </cell>
          <cell r="AJ31">
            <v>4</v>
          </cell>
          <cell r="AK31">
            <v>1</v>
          </cell>
          <cell r="AL31">
            <v>0</v>
          </cell>
          <cell r="AM31">
            <v>0</v>
          </cell>
          <cell r="AN31">
            <v>1</v>
          </cell>
          <cell r="AO31">
            <v>0</v>
          </cell>
        </row>
        <row r="32">
          <cell r="AH32">
            <v>50049</v>
          </cell>
          <cell r="AI32">
            <v>16</v>
          </cell>
          <cell r="AJ32">
            <v>4</v>
          </cell>
          <cell r="AK32">
            <v>1</v>
          </cell>
          <cell r="AL32">
            <v>0</v>
          </cell>
          <cell r="AM32">
            <v>0</v>
          </cell>
          <cell r="AN32">
            <v>2</v>
          </cell>
          <cell r="AO32">
            <v>0</v>
          </cell>
        </row>
        <row r="33">
          <cell r="AH33">
            <v>50062</v>
          </cell>
          <cell r="AI33">
            <v>18</v>
          </cell>
          <cell r="AJ33">
            <v>4</v>
          </cell>
          <cell r="AK33">
            <v>1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</row>
        <row r="34">
          <cell r="AH34">
            <v>50077</v>
          </cell>
          <cell r="AI34">
            <v>13</v>
          </cell>
          <cell r="AJ34">
            <v>4</v>
          </cell>
          <cell r="AK34">
            <v>1</v>
          </cell>
          <cell r="AL34">
            <v>0</v>
          </cell>
          <cell r="AM34">
            <v>0</v>
          </cell>
          <cell r="AN34">
            <v>5</v>
          </cell>
          <cell r="AO34">
            <v>0</v>
          </cell>
        </row>
        <row r="35">
          <cell r="AH35">
            <v>50078</v>
          </cell>
          <cell r="AI35">
            <v>17</v>
          </cell>
          <cell r="AJ35">
            <v>4</v>
          </cell>
          <cell r="AK35">
            <v>1</v>
          </cell>
          <cell r="AL35">
            <v>0</v>
          </cell>
          <cell r="AM35">
            <v>0</v>
          </cell>
          <cell r="AN35">
            <v>1</v>
          </cell>
          <cell r="AO35">
            <v>0</v>
          </cell>
        </row>
        <row r="36">
          <cell r="AH36">
            <v>50137</v>
          </cell>
          <cell r="AI36">
            <v>17</v>
          </cell>
          <cell r="AJ36">
            <v>4</v>
          </cell>
          <cell r="AK36">
            <v>1</v>
          </cell>
          <cell r="AL36">
            <v>0</v>
          </cell>
          <cell r="AM36">
            <v>0</v>
          </cell>
          <cell r="AN36">
            <v>1</v>
          </cell>
          <cell r="AO36">
            <v>0</v>
          </cell>
        </row>
        <row r="37">
          <cell r="AH37">
            <v>50174</v>
          </cell>
          <cell r="AI37">
            <v>16</v>
          </cell>
          <cell r="AJ37">
            <v>4</v>
          </cell>
          <cell r="AK37">
            <v>2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</row>
        <row r="38">
          <cell r="AH38">
            <v>50178</v>
          </cell>
          <cell r="AI38">
            <v>14.5</v>
          </cell>
          <cell r="AJ38">
            <v>4</v>
          </cell>
          <cell r="AK38">
            <v>1</v>
          </cell>
          <cell r="AL38">
            <v>0</v>
          </cell>
          <cell r="AM38">
            <v>0</v>
          </cell>
          <cell r="AN38">
            <v>3</v>
          </cell>
          <cell r="AO38">
            <v>0</v>
          </cell>
        </row>
        <row r="39">
          <cell r="AH39">
            <v>50212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</row>
        <row r="40">
          <cell r="AH40">
            <v>50247</v>
          </cell>
          <cell r="AI40">
            <v>17</v>
          </cell>
          <cell r="AJ40">
            <v>4</v>
          </cell>
          <cell r="AK40">
            <v>2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</row>
        <row r="41">
          <cell r="AH41">
            <v>50249</v>
          </cell>
          <cell r="AI41">
            <v>16</v>
          </cell>
          <cell r="AJ41">
            <v>4</v>
          </cell>
          <cell r="AK41">
            <v>3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</row>
        <row r="42">
          <cell r="AH42">
            <v>50251</v>
          </cell>
          <cell r="AI42">
            <v>15</v>
          </cell>
          <cell r="AJ42">
            <v>4</v>
          </cell>
          <cell r="AK42">
            <v>1</v>
          </cell>
          <cell r="AL42">
            <v>0</v>
          </cell>
          <cell r="AM42">
            <v>0</v>
          </cell>
          <cell r="AN42">
            <v>3</v>
          </cell>
          <cell r="AO42">
            <v>0</v>
          </cell>
        </row>
        <row r="43">
          <cell r="AH43">
            <v>50390</v>
          </cell>
          <cell r="AI43">
            <v>16</v>
          </cell>
          <cell r="AJ43">
            <v>4</v>
          </cell>
          <cell r="AK43">
            <v>3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</row>
        <row r="44">
          <cell r="AH44">
            <v>50404</v>
          </cell>
          <cell r="AI44">
            <v>15</v>
          </cell>
          <cell r="AJ44">
            <v>4</v>
          </cell>
          <cell r="AK44">
            <v>1</v>
          </cell>
          <cell r="AL44">
            <v>0</v>
          </cell>
          <cell r="AM44">
            <v>0</v>
          </cell>
          <cell r="AN44">
            <v>3</v>
          </cell>
          <cell r="AO44">
            <v>0</v>
          </cell>
        </row>
        <row r="45">
          <cell r="AH45">
            <v>50409</v>
          </cell>
          <cell r="AI45">
            <v>17.5</v>
          </cell>
          <cell r="AJ45">
            <v>4</v>
          </cell>
          <cell r="AK45">
            <v>1.5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</row>
        <row r="46">
          <cell r="AH46">
            <v>50551</v>
          </cell>
          <cell r="AI46">
            <v>16.5</v>
          </cell>
          <cell r="AJ46">
            <v>4</v>
          </cell>
          <cell r="AK46">
            <v>1.5</v>
          </cell>
          <cell r="AL46">
            <v>0</v>
          </cell>
          <cell r="AM46">
            <v>0</v>
          </cell>
          <cell r="AN46">
            <v>1</v>
          </cell>
          <cell r="AO46">
            <v>0</v>
          </cell>
        </row>
        <row r="47">
          <cell r="AH47">
            <v>50738</v>
          </cell>
          <cell r="AI47">
            <v>18</v>
          </cell>
          <cell r="AJ47">
            <v>4</v>
          </cell>
          <cell r="AK47">
            <v>0</v>
          </cell>
          <cell r="AL47">
            <v>1</v>
          </cell>
          <cell r="AM47">
            <v>0</v>
          </cell>
          <cell r="AN47">
            <v>0</v>
          </cell>
          <cell r="AO47">
            <v>0</v>
          </cell>
        </row>
        <row r="48">
          <cell r="AH48">
            <v>50763</v>
          </cell>
          <cell r="AI48">
            <v>17.5</v>
          </cell>
          <cell r="AJ48">
            <v>4</v>
          </cell>
          <cell r="AK48">
            <v>0</v>
          </cell>
          <cell r="AL48">
            <v>1</v>
          </cell>
          <cell r="AM48">
            <v>0</v>
          </cell>
          <cell r="AN48">
            <v>0</v>
          </cell>
          <cell r="AO48">
            <v>0</v>
          </cell>
        </row>
        <row r="49">
          <cell r="AH49">
            <v>50027</v>
          </cell>
          <cell r="AI49">
            <v>17.5</v>
          </cell>
          <cell r="AJ49">
            <v>4</v>
          </cell>
          <cell r="AK49">
            <v>1.5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</row>
        <row r="50">
          <cell r="AH50">
            <v>50034</v>
          </cell>
          <cell r="AI50">
            <v>18</v>
          </cell>
          <cell r="AJ50">
            <v>4</v>
          </cell>
          <cell r="AK50">
            <v>1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</row>
        <row r="51">
          <cell r="AH51">
            <v>50070</v>
          </cell>
          <cell r="AI51">
            <v>18</v>
          </cell>
          <cell r="AJ51">
            <v>4</v>
          </cell>
          <cell r="AK51">
            <v>1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</row>
        <row r="52">
          <cell r="AH52">
            <v>50101</v>
          </cell>
          <cell r="AI52">
            <v>17.5</v>
          </cell>
          <cell r="AJ52">
            <v>4</v>
          </cell>
          <cell r="AK52">
            <v>1.5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</row>
        <row r="53">
          <cell r="AH53">
            <v>50136</v>
          </cell>
          <cell r="AI53">
            <v>16.5</v>
          </cell>
          <cell r="AJ53">
            <v>4</v>
          </cell>
          <cell r="AK53">
            <v>2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</row>
        <row r="54">
          <cell r="AH54">
            <v>50170</v>
          </cell>
          <cell r="AI54">
            <v>18</v>
          </cell>
          <cell r="AJ54">
            <v>4</v>
          </cell>
          <cell r="AK54">
            <v>1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</row>
        <row r="55">
          <cell r="AH55">
            <v>50171</v>
          </cell>
          <cell r="AI55">
            <v>17.5</v>
          </cell>
          <cell r="AJ55">
            <v>4</v>
          </cell>
          <cell r="AK55">
            <v>1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</row>
        <row r="56">
          <cell r="AH56">
            <v>50176</v>
          </cell>
          <cell r="AI56">
            <v>13</v>
          </cell>
          <cell r="AJ56">
            <v>4</v>
          </cell>
          <cell r="AK56">
            <v>4</v>
          </cell>
          <cell r="AL56">
            <v>2</v>
          </cell>
          <cell r="AM56">
            <v>0</v>
          </cell>
          <cell r="AN56">
            <v>0</v>
          </cell>
          <cell r="AO56">
            <v>0</v>
          </cell>
        </row>
        <row r="57">
          <cell r="AH57">
            <v>50183</v>
          </cell>
          <cell r="AI57">
            <v>18</v>
          </cell>
          <cell r="AJ57">
            <v>4</v>
          </cell>
          <cell r="AK57">
            <v>1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</row>
        <row r="58">
          <cell r="AH58">
            <v>50223</v>
          </cell>
          <cell r="AI58">
            <v>18</v>
          </cell>
          <cell r="AJ58">
            <v>4</v>
          </cell>
          <cell r="AK58">
            <v>1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</row>
        <row r="59">
          <cell r="AH59">
            <v>50230</v>
          </cell>
          <cell r="AI59">
            <v>16.5</v>
          </cell>
          <cell r="AJ59">
            <v>4</v>
          </cell>
          <cell r="AK59">
            <v>1.5</v>
          </cell>
          <cell r="AL59">
            <v>0</v>
          </cell>
          <cell r="AM59">
            <v>0</v>
          </cell>
          <cell r="AN59">
            <v>1</v>
          </cell>
          <cell r="AO59">
            <v>0</v>
          </cell>
        </row>
        <row r="60">
          <cell r="AH60">
            <v>50233</v>
          </cell>
          <cell r="AI60">
            <v>16.5</v>
          </cell>
          <cell r="AJ60">
            <v>4</v>
          </cell>
          <cell r="AK60">
            <v>2.5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</row>
        <row r="61">
          <cell r="AH61">
            <v>50252</v>
          </cell>
          <cell r="AI61">
            <v>14.5</v>
          </cell>
          <cell r="AJ61">
            <v>4</v>
          </cell>
          <cell r="AK61">
            <v>1.5</v>
          </cell>
          <cell r="AL61">
            <v>0</v>
          </cell>
          <cell r="AM61">
            <v>0</v>
          </cell>
          <cell r="AN61">
            <v>3</v>
          </cell>
          <cell r="AO61">
            <v>0</v>
          </cell>
        </row>
        <row r="62">
          <cell r="AH62">
            <v>50253</v>
          </cell>
          <cell r="AI62">
            <v>18</v>
          </cell>
          <cell r="AJ62">
            <v>4</v>
          </cell>
          <cell r="AK62">
            <v>1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</row>
        <row r="63">
          <cell r="AH63">
            <v>50267</v>
          </cell>
          <cell r="AI63">
            <v>16</v>
          </cell>
          <cell r="AJ63">
            <v>4</v>
          </cell>
          <cell r="AK63">
            <v>1</v>
          </cell>
          <cell r="AL63">
            <v>0</v>
          </cell>
          <cell r="AM63">
            <v>0</v>
          </cell>
          <cell r="AN63">
            <v>2</v>
          </cell>
          <cell r="AO63">
            <v>0</v>
          </cell>
        </row>
        <row r="64">
          <cell r="AH64">
            <v>50432</v>
          </cell>
          <cell r="AI64">
            <v>8</v>
          </cell>
          <cell r="AJ64">
            <v>4</v>
          </cell>
          <cell r="AK64">
            <v>1</v>
          </cell>
          <cell r="AL64">
            <v>0</v>
          </cell>
          <cell r="AM64">
            <v>0</v>
          </cell>
          <cell r="AN64">
            <v>10</v>
          </cell>
          <cell r="AO64">
            <v>0</v>
          </cell>
        </row>
        <row r="65">
          <cell r="AH65">
            <v>50485</v>
          </cell>
          <cell r="AI65">
            <v>18</v>
          </cell>
          <cell r="AJ65">
            <v>4</v>
          </cell>
          <cell r="AK65">
            <v>1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</row>
        <row r="66">
          <cell r="AH66">
            <v>50734</v>
          </cell>
          <cell r="AI66">
            <v>16</v>
          </cell>
          <cell r="AJ66">
            <v>4</v>
          </cell>
          <cell r="AK66">
            <v>0</v>
          </cell>
          <cell r="AL66">
            <v>1</v>
          </cell>
          <cell r="AM66">
            <v>0</v>
          </cell>
          <cell r="AN66">
            <v>2</v>
          </cell>
          <cell r="AO66">
            <v>0</v>
          </cell>
        </row>
        <row r="67">
          <cell r="AH67">
            <v>50819</v>
          </cell>
          <cell r="AI67">
            <v>3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</row>
        <row r="68">
          <cell r="AH68">
            <v>10072</v>
          </cell>
          <cell r="AI68">
            <v>7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2</v>
          </cell>
          <cell r="AO68">
            <v>0</v>
          </cell>
        </row>
        <row r="69">
          <cell r="AH69">
            <v>10073</v>
          </cell>
          <cell r="AI69">
            <v>7.5</v>
          </cell>
          <cell r="AJ69">
            <v>0</v>
          </cell>
          <cell r="AK69">
            <v>0</v>
          </cell>
          <cell r="AL69">
            <v>1</v>
          </cell>
          <cell r="AM69">
            <v>0</v>
          </cell>
          <cell r="AN69">
            <v>0</v>
          </cell>
          <cell r="AO69">
            <v>0</v>
          </cell>
        </row>
        <row r="70">
          <cell r="AH70">
            <v>50012</v>
          </cell>
          <cell r="AI70">
            <v>18</v>
          </cell>
          <cell r="AJ70">
            <v>4</v>
          </cell>
          <cell r="AK70">
            <v>1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</row>
        <row r="71">
          <cell r="AH71">
            <v>50193</v>
          </cell>
          <cell r="AI71">
            <v>18</v>
          </cell>
          <cell r="AJ71">
            <v>4</v>
          </cell>
          <cell r="AK71">
            <v>1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</row>
        <row r="72">
          <cell r="AH72">
            <v>50262</v>
          </cell>
          <cell r="AI72">
            <v>10</v>
          </cell>
          <cell r="AJ72">
            <v>4</v>
          </cell>
          <cell r="AK72">
            <v>1</v>
          </cell>
          <cell r="AL72">
            <v>0</v>
          </cell>
          <cell r="AM72">
            <v>0</v>
          </cell>
          <cell r="AN72">
            <v>8</v>
          </cell>
          <cell r="AO72">
            <v>0</v>
          </cell>
        </row>
        <row r="73">
          <cell r="AH73">
            <v>50289</v>
          </cell>
          <cell r="AI73">
            <v>18</v>
          </cell>
          <cell r="AJ73">
            <v>4</v>
          </cell>
          <cell r="AK73">
            <v>1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</row>
        <row r="74">
          <cell r="AH74">
            <v>50290</v>
          </cell>
          <cell r="AI74">
            <v>18</v>
          </cell>
          <cell r="AJ74">
            <v>4</v>
          </cell>
          <cell r="AK74">
            <v>1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</row>
        <row r="75">
          <cell r="AH75">
            <v>50292</v>
          </cell>
          <cell r="AI75">
            <v>14</v>
          </cell>
          <cell r="AJ75">
            <v>4</v>
          </cell>
          <cell r="AK75">
            <v>1</v>
          </cell>
          <cell r="AL75">
            <v>0</v>
          </cell>
          <cell r="AM75">
            <v>0</v>
          </cell>
          <cell r="AN75">
            <v>4</v>
          </cell>
          <cell r="AO75">
            <v>0</v>
          </cell>
        </row>
        <row r="76">
          <cell r="AH76">
            <v>50293</v>
          </cell>
          <cell r="AI76">
            <v>18</v>
          </cell>
          <cell r="AJ76">
            <v>4</v>
          </cell>
          <cell r="AK76">
            <v>1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</row>
        <row r="77">
          <cell r="AH77">
            <v>50294</v>
          </cell>
          <cell r="AI77">
            <v>11</v>
          </cell>
          <cell r="AJ77">
            <v>4</v>
          </cell>
          <cell r="AK77">
            <v>1</v>
          </cell>
          <cell r="AL77">
            <v>0</v>
          </cell>
          <cell r="AM77">
            <v>0</v>
          </cell>
          <cell r="AN77">
            <v>7</v>
          </cell>
          <cell r="AO77">
            <v>0</v>
          </cell>
        </row>
        <row r="78">
          <cell r="AH78">
            <v>50329</v>
          </cell>
          <cell r="AI78">
            <v>18</v>
          </cell>
          <cell r="AJ78">
            <v>4</v>
          </cell>
          <cell r="AK78">
            <v>1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</row>
        <row r="79">
          <cell r="AH79">
            <v>50394</v>
          </cell>
          <cell r="AI79">
            <v>18</v>
          </cell>
          <cell r="AJ79">
            <v>4</v>
          </cell>
          <cell r="AK79">
            <v>1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</row>
        <row r="80">
          <cell r="AH80">
            <v>50441</v>
          </cell>
          <cell r="AI80">
            <v>17</v>
          </cell>
          <cell r="AJ80">
            <v>4</v>
          </cell>
          <cell r="AK80">
            <v>2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</row>
        <row r="81">
          <cell r="AH81">
            <v>50454</v>
          </cell>
          <cell r="AI81">
            <v>18</v>
          </cell>
          <cell r="AJ81">
            <v>4</v>
          </cell>
          <cell r="AK81">
            <v>1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</row>
        <row r="82">
          <cell r="AH82">
            <v>50469</v>
          </cell>
          <cell r="AI82">
            <v>17</v>
          </cell>
          <cell r="AJ82">
            <v>4</v>
          </cell>
          <cell r="AK82">
            <v>1</v>
          </cell>
          <cell r="AL82">
            <v>0</v>
          </cell>
          <cell r="AM82">
            <v>0</v>
          </cell>
          <cell r="AN82">
            <v>1</v>
          </cell>
          <cell r="AO82">
            <v>0</v>
          </cell>
        </row>
        <row r="83">
          <cell r="AH83">
            <v>50579</v>
          </cell>
          <cell r="AI83">
            <v>17</v>
          </cell>
          <cell r="AJ83">
            <v>4</v>
          </cell>
          <cell r="AK83">
            <v>2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</row>
        <row r="84">
          <cell r="AH84">
            <v>50610</v>
          </cell>
          <cell r="AI84">
            <v>18</v>
          </cell>
          <cell r="AJ84">
            <v>4</v>
          </cell>
          <cell r="AK84">
            <v>0</v>
          </cell>
          <cell r="AL84">
            <v>1</v>
          </cell>
          <cell r="AM84">
            <v>0</v>
          </cell>
          <cell r="AN84">
            <v>0</v>
          </cell>
          <cell r="AO84">
            <v>0</v>
          </cell>
        </row>
        <row r="85">
          <cell r="AH85">
            <v>50629</v>
          </cell>
          <cell r="AI85">
            <v>18</v>
          </cell>
          <cell r="AJ85">
            <v>4</v>
          </cell>
          <cell r="AK85">
            <v>0</v>
          </cell>
          <cell r="AL85">
            <v>1</v>
          </cell>
          <cell r="AM85">
            <v>0</v>
          </cell>
          <cell r="AN85">
            <v>0</v>
          </cell>
          <cell r="AO85">
            <v>0</v>
          </cell>
        </row>
        <row r="86">
          <cell r="AH86">
            <v>50695</v>
          </cell>
          <cell r="AI86">
            <v>16.5</v>
          </cell>
          <cell r="AJ86">
            <v>4</v>
          </cell>
          <cell r="AK86">
            <v>1.5</v>
          </cell>
          <cell r="AL86">
            <v>0</v>
          </cell>
          <cell r="AM86">
            <v>0</v>
          </cell>
          <cell r="AN86">
            <v>1</v>
          </cell>
          <cell r="AO86">
            <v>0</v>
          </cell>
        </row>
        <row r="87">
          <cell r="AH87">
            <v>50777</v>
          </cell>
          <cell r="AI87">
            <v>14.5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</row>
        <row r="88">
          <cell r="AH88">
            <v>50779</v>
          </cell>
          <cell r="AI88">
            <v>14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</row>
        <row r="89">
          <cell r="AH89">
            <v>50788</v>
          </cell>
          <cell r="AI89">
            <v>8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4</v>
          </cell>
          <cell r="AO89">
            <v>0</v>
          </cell>
        </row>
        <row r="90">
          <cell r="AH90">
            <v>50790</v>
          </cell>
          <cell r="AI90">
            <v>12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</row>
        <row r="91">
          <cell r="AH91">
            <v>50820</v>
          </cell>
          <cell r="AI91">
            <v>3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</row>
        <row r="92">
          <cell r="AH92">
            <v>50226</v>
          </cell>
          <cell r="AI92">
            <v>12</v>
          </cell>
          <cell r="AJ92">
            <v>4</v>
          </cell>
          <cell r="AK92">
            <v>1</v>
          </cell>
          <cell r="AL92">
            <v>0</v>
          </cell>
          <cell r="AM92">
            <v>0</v>
          </cell>
          <cell r="AN92">
            <v>6</v>
          </cell>
          <cell r="AO92">
            <v>0</v>
          </cell>
        </row>
        <row r="93">
          <cell r="AH93">
            <v>50326</v>
          </cell>
          <cell r="AI93">
            <v>8</v>
          </cell>
          <cell r="AJ93">
            <v>4</v>
          </cell>
          <cell r="AK93">
            <v>5</v>
          </cell>
          <cell r="AL93">
            <v>0</v>
          </cell>
          <cell r="AM93">
            <v>0</v>
          </cell>
          <cell r="AN93">
            <v>6</v>
          </cell>
          <cell r="AO93">
            <v>0</v>
          </cell>
        </row>
        <row r="94">
          <cell r="AH94">
            <v>50358</v>
          </cell>
          <cell r="AI94">
            <v>9</v>
          </cell>
          <cell r="AJ94">
            <v>4</v>
          </cell>
          <cell r="AK94">
            <v>1</v>
          </cell>
          <cell r="AL94">
            <v>0</v>
          </cell>
          <cell r="AM94">
            <v>0</v>
          </cell>
          <cell r="AN94">
            <v>8</v>
          </cell>
          <cell r="AO94">
            <v>0</v>
          </cell>
        </row>
        <row r="95">
          <cell r="AH95">
            <v>50362</v>
          </cell>
          <cell r="AI95">
            <v>18</v>
          </cell>
          <cell r="AJ95">
            <v>4</v>
          </cell>
          <cell r="AK95">
            <v>1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</row>
        <row r="96">
          <cell r="AH96">
            <v>50364</v>
          </cell>
          <cell r="AI96">
            <v>15</v>
          </cell>
          <cell r="AJ96">
            <v>4</v>
          </cell>
          <cell r="AK96">
            <v>1</v>
          </cell>
          <cell r="AL96">
            <v>0</v>
          </cell>
          <cell r="AM96">
            <v>0</v>
          </cell>
          <cell r="AN96">
            <v>3</v>
          </cell>
          <cell r="AO96">
            <v>0</v>
          </cell>
        </row>
        <row r="97">
          <cell r="AH97">
            <v>50367</v>
          </cell>
          <cell r="AI97">
            <v>14.5</v>
          </cell>
          <cell r="AJ97">
            <v>4</v>
          </cell>
          <cell r="AK97">
            <v>1.5</v>
          </cell>
          <cell r="AL97">
            <v>0</v>
          </cell>
          <cell r="AM97">
            <v>0</v>
          </cell>
          <cell r="AN97">
            <v>3</v>
          </cell>
          <cell r="AO97">
            <v>0</v>
          </cell>
        </row>
        <row r="98">
          <cell r="AH98">
            <v>50382</v>
          </cell>
          <cell r="AI98">
            <v>14.5</v>
          </cell>
          <cell r="AJ98">
            <v>4</v>
          </cell>
          <cell r="AK98">
            <v>1.5</v>
          </cell>
          <cell r="AL98">
            <v>0</v>
          </cell>
          <cell r="AM98">
            <v>0</v>
          </cell>
          <cell r="AN98">
            <v>3</v>
          </cell>
          <cell r="AO98">
            <v>0</v>
          </cell>
        </row>
        <row r="99">
          <cell r="AH99">
            <v>50401</v>
          </cell>
          <cell r="AI99">
            <v>10.5</v>
          </cell>
          <cell r="AJ99">
            <v>4</v>
          </cell>
          <cell r="AK99">
            <v>2.5</v>
          </cell>
          <cell r="AL99">
            <v>3</v>
          </cell>
          <cell r="AM99">
            <v>0</v>
          </cell>
          <cell r="AN99">
            <v>3</v>
          </cell>
          <cell r="AO99">
            <v>0</v>
          </cell>
        </row>
        <row r="100">
          <cell r="AH100">
            <v>50460</v>
          </cell>
          <cell r="AI100">
            <v>14.5</v>
          </cell>
          <cell r="AJ100">
            <v>4</v>
          </cell>
          <cell r="AK100">
            <v>1.5</v>
          </cell>
          <cell r="AL100">
            <v>0</v>
          </cell>
          <cell r="AM100">
            <v>0</v>
          </cell>
          <cell r="AN100">
            <v>3</v>
          </cell>
          <cell r="AO100">
            <v>0</v>
          </cell>
        </row>
        <row r="101">
          <cell r="AH101">
            <v>50477</v>
          </cell>
          <cell r="AI101">
            <v>14</v>
          </cell>
          <cell r="AJ101">
            <v>4</v>
          </cell>
          <cell r="AK101">
            <v>2</v>
          </cell>
          <cell r="AL101">
            <v>0</v>
          </cell>
          <cell r="AM101">
            <v>0</v>
          </cell>
          <cell r="AN101">
            <v>3</v>
          </cell>
          <cell r="AO101">
            <v>0</v>
          </cell>
        </row>
        <row r="102">
          <cell r="AH102">
            <v>50522</v>
          </cell>
          <cell r="AI102">
            <v>17.5</v>
          </cell>
          <cell r="AJ102">
            <v>4</v>
          </cell>
          <cell r="AK102">
            <v>1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</row>
        <row r="103">
          <cell r="AH103">
            <v>50531</v>
          </cell>
          <cell r="AI103">
            <v>18</v>
          </cell>
          <cell r="AJ103">
            <v>4</v>
          </cell>
          <cell r="AK103">
            <v>1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</row>
        <row r="104">
          <cell r="AH104">
            <v>50577</v>
          </cell>
          <cell r="AI104">
            <v>17.5</v>
          </cell>
          <cell r="AJ104">
            <v>4</v>
          </cell>
          <cell r="AK104">
            <v>1.5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</row>
        <row r="105">
          <cell r="AH105">
            <v>50644</v>
          </cell>
          <cell r="AI105">
            <v>15</v>
          </cell>
          <cell r="AJ105">
            <v>4</v>
          </cell>
          <cell r="AK105">
            <v>2</v>
          </cell>
          <cell r="AL105">
            <v>2</v>
          </cell>
          <cell r="AM105">
            <v>0</v>
          </cell>
          <cell r="AN105">
            <v>0</v>
          </cell>
          <cell r="AO105">
            <v>0</v>
          </cell>
        </row>
        <row r="106">
          <cell r="AH106">
            <v>50645</v>
          </cell>
          <cell r="AI106">
            <v>15</v>
          </cell>
          <cell r="AJ106">
            <v>4</v>
          </cell>
          <cell r="AK106">
            <v>0</v>
          </cell>
          <cell r="AL106">
            <v>1</v>
          </cell>
          <cell r="AM106">
            <v>0</v>
          </cell>
          <cell r="AN106">
            <v>3</v>
          </cell>
          <cell r="AO106">
            <v>0</v>
          </cell>
        </row>
        <row r="107">
          <cell r="AH107">
            <v>50753</v>
          </cell>
          <cell r="AI107">
            <v>17</v>
          </cell>
          <cell r="AJ107">
            <v>4</v>
          </cell>
          <cell r="AK107">
            <v>2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</row>
        <row r="108">
          <cell r="AH108">
            <v>50800</v>
          </cell>
          <cell r="AI108">
            <v>9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</row>
        <row r="109">
          <cell r="AH109">
            <v>10071</v>
          </cell>
          <cell r="AI109">
            <v>11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</row>
        <row r="110">
          <cell r="AH110">
            <v>50111</v>
          </cell>
          <cell r="AI110">
            <v>16.5</v>
          </cell>
          <cell r="AJ110">
            <v>4</v>
          </cell>
          <cell r="AK110">
            <v>2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</row>
        <row r="111">
          <cell r="AH111">
            <v>50231</v>
          </cell>
          <cell r="AI111">
            <v>18</v>
          </cell>
          <cell r="AJ111">
            <v>4</v>
          </cell>
          <cell r="AK111">
            <v>1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</row>
        <row r="112">
          <cell r="AH112">
            <v>50284</v>
          </cell>
          <cell r="AI112">
            <v>16.5</v>
          </cell>
          <cell r="AJ112">
            <v>4</v>
          </cell>
          <cell r="AK112">
            <v>2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</row>
        <row r="113">
          <cell r="AH113">
            <v>50336</v>
          </cell>
          <cell r="AI113">
            <v>17</v>
          </cell>
          <cell r="AJ113">
            <v>4</v>
          </cell>
          <cell r="AK113">
            <v>0</v>
          </cell>
          <cell r="AL113">
            <v>2</v>
          </cell>
          <cell r="AM113">
            <v>0</v>
          </cell>
          <cell r="AN113">
            <v>0</v>
          </cell>
          <cell r="AO113">
            <v>0</v>
          </cell>
        </row>
        <row r="114">
          <cell r="AH114">
            <v>50385</v>
          </cell>
          <cell r="AI114">
            <v>17</v>
          </cell>
          <cell r="AJ114">
            <v>4</v>
          </cell>
          <cell r="AK114">
            <v>2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</row>
        <row r="115">
          <cell r="AH115">
            <v>50422</v>
          </cell>
          <cell r="AI115">
            <v>17</v>
          </cell>
          <cell r="AJ115">
            <v>4</v>
          </cell>
          <cell r="AK115">
            <v>2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</row>
        <row r="116">
          <cell r="AH116">
            <v>50431</v>
          </cell>
          <cell r="AI116">
            <v>15.5</v>
          </cell>
          <cell r="AJ116">
            <v>4</v>
          </cell>
          <cell r="AK116">
            <v>3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</row>
        <row r="117">
          <cell r="AH117">
            <v>50473</v>
          </cell>
          <cell r="AI117">
            <v>18</v>
          </cell>
          <cell r="AJ117">
            <v>4</v>
          </cell>
          <cell r="AK117">
            <v>1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</row>
        <row r="118">
          <cell r="AH118">
            <v>50494</v>
          </cell>
          <cell r="AI118">
            <v>17</v>
          </cell>
          <cell r="AJ118">
            <v>4</v>
          </cell>
          <cell r="AK118">
            <v>2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</row>
        <row r="119">
          <cell r="AH119">
            <v>50541</v>
          </cell>
          <cell r="AI119">
            <v>18</v>
          </cell>
          <cell r="AJ119">
            <v>4</v>
          </cell>
          <cell r="AK119">
            <v>1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</row>
        <row r="120">
          <cell r="AH120">
            <v>50650</v>
          </cell>
          <cell r="AI120">
            <v>15</v>
          </cell>
          <cell r="AJ120">
            <v>4</v>
          </cell>
          <cell r="AK120">
            <v>0</v>
          </cell>
          <cell r="AL120">
            <v>1</v>
          </cell>
          <cell r="AM120">
            <v>0</v>
          </cell>
          <cell r="AN120">
            <v>3</v>
          </cell>
          <cell r="AO120">
            <v>0</v>
          </cell>
        </row>
        <row r="121">
          <cell r="AH121">
            <v>50697</v>
          </cell>
          <cell r="AI121">
            <v>14</v>
          </cell>
          <cell r="AJ121">
            <v>4</v>
          </cell>
          <cell r="AK121">
            <v>2</v>
          </cell>
          <cell r="AL121">
            <v>0</v>
          </cell>
          <cell r="AM121">
            <v>0</v>
          </cell>
          <cell r="AN121">
            <v>3</v>
          </cell>
          <cell r="AO121">
            <v>0</v>
          </cell>
        </row>
        <row r="122">
          <cell r="AH122">
            <v>50700</v>
          </cell>
          <cell r="AI122">
            <v>14</v>
          </cell>
          <cell r="AJ122">
            <v>4</v>
          </cell>
          <cell r="AK122">
            <v>0</v>
          </cell>
          <cell r="AL122">
            <v>3</v>
          </cell>
          <cell r="AM122">
            <v>0</v>
          </cell>
          <cell r="AN122">
            <v>1</v>
          </cell>
          <cell r="AO122">
            <v>0</v>
          </cell>
        </row>
        <row r="123">
          <cell r="AH123">
            <v>50717</v>
          </cell>
          <cell r="AI123">
            <v>14</v>
          </cell>
          <cell r="AJ123">
            <v>4</v>
          </cell>
          <cell r="AK123">
            <v>0</v>
          </cell>
          <cell r="AL123">
            <v>3</v>
          </cell>
          <cell r="AM123">
            <v>0</v>
          </cell>
          <cell r="AN123">
            <v>2</v>
          </cell>
          <cell r="AO123">
            <v>0</v>
          </cell>
        </row>
        <row r="124">
          <cell r="AH124">
            <v>50756</v>
          </cell>
          <cell r="AI124">
            <v>15</v>
          </cell>
          <cell r="AJ124">
            <v>4</v>
          </cell>
          <cell r="AK124">
            <v>0</v>
          </cell>
          <cell r="AL124">
            <v>4</v>
          </cell>
          <cell r="AM124">
            <v>0</v>
          </cell>
          <cell r="AN124">
            <v>0</v>
          </cell>
          <cell r="AO124">
            <v>0</v>
          </cell>
        </row>
        <row r="125">
          <cell r="AH125">
            <v>50760</v>
          </cell>
          <cell r="AI125">
            <v>17.5</v>
          </cell>
          <cell r="AJ125">
            <v>4</v>
          </cell>
          <cell r="AK125">
            <v>0</v>
          </cell>
          <cell r="AL125">
            <v>1</v>
          </cell>
          <cell r="AM125">
            <v>0</v>
          </cell>
          <cell r="AN125">
            <v>0</v>
          </cell>
          <cell r="AO125">
            <v>0</v>
          </cell>
        </row>
        <row r="126">
          <cell r="AH126">
            <v>50801</v>
          </cell>
          <cell r="AI126">
            <v>9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</row>
        <row r="127">
          <cell r="AH127">
            <v>50802</v>
          </cell>
          <cell r="AI127">
            <v>7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</row>
        <row r="128">
          <cell r="AH128">
            <v>50148</v>
          </cell>
          <cell r="AI128">
            <v>18</v>
          </cell>
          <cell r="AJ128">
            <v>4</v>
          </cell>
          <cell r="AK128">
            <v>1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</row>
        <row r="129">
          <cell r="AH129">
            <v>50213</v>
          </cell>
          <cell r="AI129">
            <v>18</v>
          </cell>
          <cell r="AJ129">
            <v>4</v>
          </cell>
          <cell r="AK129">
            <v>1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</row>
        <row r="130">
          <cell r="AH130">
            <v>50222</v>
          </cell>
          <cell r="AI130">
            <v>17</v>
          </cell>
          <cell r="AJ130">
            <v>4</v>
          </cell>
          <cell r="AK130">
            <v>1</v>
          </cell>
          <cell r="AL130">
            <v>0</v>
          </cell>
          <cell r="AM130">
            <v>0</v>
          </cell>
          <cell r="AN130">
            <v>1</v>
          </cell>
          <cell r="AO130">
            <v>0</v>
          </cell>
        </row>
        <row r="131">
          <cell r="AH131">
            <v>50224</v>
          </cell>
          <cell r="AI131">
            <v>11.5</v>
          </cell>
          <cell r="AJ131">
            <v>4</v>
          </cell>
          <cell r="AK131">
            <v>1</v>
          </cell>
          <cell r="AL131">
            <v>0</v>
          </cell>
          <cell r="AM131">
            <v>0</v>
          </cell>
          <cell r="AN131">
            <v>6</v>
          </cell>
          <cell r="AO131">
            <v>0</v>
          </cell>
        </row>
        <row r="132">
          <cell r="AH132">
            <v>50268</v>
          </cell>
          <cell r="AI132">
            <v>15</v>
          </cell>
          <cell r="AJ132">
            <v>4</v>
          </cell>
          <cell r="AK132">
            <v>1</v>
          </cell>
          <cell r="AL132">
            <v>0</v>
          </cell>
          <cell r="AM132">
            <v>0</v>
          </cell>
          <cell r="AN132">
            <v>3</v>
          </cell>
          <cell r="AO132">
            <v>0</v>
          </cell>
        </row>
        <row r="133">
          <cell r="AH133">
            <v>50276</v>
          </cell>
          <cell r="AI133">
            <v>17</v>
          </cell>
          <cell r="AJ133">
            <v>4</v>
          </cell>
          <cell r="AK133">
            <v>2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</row>
        <row r="134">
          <cell r="AH134">
            <v>50474</v>
          </cell>
          <cell r="AI134">
            <v>13</v>
          </cell>
          <cell r="AJ134">
            <v>4</v>
          </cell>
          <cell r="AK134">
            <v>3</v>
          </cell>
          <cell r="AL134">
            <v>0</v>
          </cell>
          <cell r="AM134">
            <v>0</v>
          </cell>
          <cell r="AN134">
            <v>3</v>
          </cell>
          <cell r="AO134">
            <v>0</v>
          </cell>
        </row>
        <row r="135">
          <cell r="AH135">
            <v>50497</v>
          </cell>
          <cell r="AI135">
            <v>14</v>
          </cell>
          <cell r="AJ135">
            <v>4</v>
          </cell>
          <cell r="AK135">
            <v>3</v>
          </cell>
          <cell r="AL135">
            <v>0</v>
          </cell>
          <cell r="AM135">
            <v>0</v>
          </cell>
          <cell r="AN135">
            <v>2</v>
          </cell>
          <cell r="AO135">
            <v>0</v>
          </cell>
        </row>
        <row r="136">
          <cell r="AH136">
            <v>50501</v>
          </cell>
          <cell r="AI136">
            <v>14.5</v>
          </cell>
          <cell r="AJ136">
            <v>4</v>
          </cell>
          <cell r="AK136">
            <v>1</v>
          </cell>
          <cell r="AL136">
            <v>0</v>
          </cell>
          <cell r="AM136">
            <v>0</v>
          </cell>
          <cell r="AN136">
            <v>3</v>
          </cell>
          <cell r="AO136">
            <v>0</v>
          </cell>
        </row>
        <row r="137">
          <cell r="AH137">
            <v>50556</v>
          </cell>
          <cell r="AI137">
            <v>16</v>
          </cell>
          <cell r="AJ137">
            <v>4</v>
          </cell>
          <cell r="AK137">
            <v>1</v>
          </cell>
          <cell r="AL137">
            <v>0</v>
          </cell>
          <cell r="AM137">
            <v>0</v>
          </cell>
          <cell r="AN137">
            <v>2</v>
          </cell>
          <cell r="AO137">
            <v>0</v>
          </cell>
        </row>
        <row r="138">
          <cell r="AH138">
            <v>50568</v>
          </cell>
          <cell r="AI138">
            <v>18</v>
          </cell>
          <cell r="AJ138">
            <v>4</v>
          </cell>
          <cell r="AK138">
            <v>1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</row>
        <row r="139">
          <cell r="AH139">
            <v>50569</v>
          </cell>
          <cell r="AI139">
            <v>12</v>
          </cell>
          <cell r="AJ139">
            <v>4</v>
          </cell>
          <cell r="AK139">
            <v>1</v>
          </cell>
          <cell r="AL139">
            <v>0</v>
          </cell>
          <cell r="AM139">
            <v>0</v>
          </cell>
          <cell r="AN139">
            <v>6</v>
          </cell>
          <cell r="AO139">
            <v>0</v>
          </cell>
        </row>
        <row r="140">
          <cell r="AH140">
            <v>50576</v>
          </cell>
          <cell r="AI140">
            <v>15</v>
          </cell>
          <cell r="AJ140">
            <v>4</v>
          </cell>
          <cell r="AK140">
            <v>0</v>
          </cell>
          <cell r="AL140">
            <v>1</v>
          </cell>
          <cell r="AM140">
            <v>0</v>
          </cell>
          <cell r="AN140">
            <v>3</v>
          </cell>
          <cell r="AO140">
            <v>0</v>
          </cell>
        </row>
        <row r="141">
          <cell r="AH141">
            <v>50735</v>
          </cell>
          <cell r="AI141">
            <v>18</v>
          </cell>
          <cell r="AJ141">
            <v>4</v>
          </cell>
          <cell r="AK141">
            <v>0</v>
          </cell>
          <cell r="AL141">
            <v>1</v>
          </cell>
          <cell r="AM141">
            <v>0</v>
          </cell>
          <cell r="AN141">
            <v>0</v>
          </cell>
          <cell r="AO141">
            <v>0</v>
          </cell>
        </row>
        <row r="142">
          <cell r="AH142">
            <v>50752</v>
          </cell>
          <cell r="AI142">
            <v>18</v>
          </cell>
          <cell r="AJ142">
            <v>4</v>
          </cell>
          <cell r="AK142">
            <v>0</v>
          </cell>
          <cell r="AL142">
            <v>1</v>
          </cell>
          <cell r="AM142">
            <v>0</v>
          </cell>
          <cell r="AN142">
            <v>0</v>
          </cell>
          <cell r="AO142">
            <v>0</v>
          </cell>
        </row>
        <row r="143">
          <cell r="AH143">
            <v>50798</v>
          </cell>
          <cell r="AI143">
            <v>11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</row>
        <row r="144">
          <cell r="AH144">
            <v>50812</v>
          </cell>
          <cell r="AI144">
            <v>5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3</v>
          </cell>
          <cell r="AO144">
            <v>0</v>
          </cell>
        </row>
        <row r="145">
          <cell r="AH145">
            <v>10070</v>
          </cell>
          <cell r="AI145">
            <v>10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</row>
        <row r="146">
          <cell r="AH146">
            <v>50823</v>
          </cell>
          <cell r="AI146">
            <v>1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</row>
        <row r="147">
          <cell r="AH147">
            <v>50829</v>
          </cell>
          <cell r="AI147">
            <v>6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2</v>
          </cell>
          <cell r="AO147">
            <v>0</v>
          </cell>
        </row>
        <row r="148">
          <cell r="AH148">
            <v>50096</v>
          </cell>
          <cell r="AI148">
            <v>18</v>
          </cell>
          <cell r="AJ148">
            <v>4</v>
          </cell>
          <cell r="AK148">
            <v>1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</row>
        <row r="149">
          <cell r="AH149">
            <v>50122</v>
          </cell>
          <cell r="AI149">
            <v>17</v>
          </cell>
          <cell r="AJ149">
            <v>4</v>
          </cell>
          <cell r="AK149">
            <v>2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</row>
        <row r="150">
          <cell r="AH150">
            <v>50229</v>
          </cell>
          <cell r="AI150">
            <v>18</v>
          </cell>
          <cell r="AJ150">
            <v>4</v>
          </cell>
          <cell r="AK150">
            <v>1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</row>
        <row r="151">
          <cell r="AH151">
            <v>50255</v>
          </cell>
          <cell r="AI151">
            <v>14.5</v>
          </cell>
          <cell r="AJ151">
            <v>4</v>
          </cell>
          <cell r="AK151">
            <v>1.5</v>
          </cell>
          <cell r="AL151">
            <v>0</v>
          </cell>
          <cell r="AM151">
            <v>0</v>
          </cell>
          <cell r="AN151">
            <v>3</v>
          </cell>
          <cell r="AO151">
            <v>0</v>
          </cell>
        </row>
        <row r="152">
          <cell r="AH152">
            <v>50274</v>
          </cell>
          <cell r="AI152">
            <v>12</v>
          </cell>
          <cell r="AJ152">
            <v>4</v>
          </cell>
          <cell r="AK152">
            <v>1</v>
          </cell>
          <cell r="AL152">
            <v>0</v>
          </cell>
          <cell r="AM152">
            <v>0</v>
          </cell>
          <cell r="AN152">
            <v>6</v>
          </cell>
          <cell r="AO152">
            <v>0</v>
          </cell>
        </row>
        <row r="153">
          <cell r="AH153">
            <v>50301</v>
          </cell>
          <cell r="AI153">
            <v>18</v>
          </cell>
          <cell r="AJ153">
            <v>4</v>
          </cell>
          <cell r="AK153">
            <v>1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</row>
        <row r="154">
          <cell r="AH154">
            <v>50341</v>
          </cell>
          <cell r="AI154">
            <v>9.5</v>
          </cell>
          <cell r="AJ154">
            <v>4</v>
          </cell>
          <cell r="AK154">
            <v>1.5</v>
          </cell>
          <cell r="AL154">
            <v>0</v>
          </cell>
          <cell r="AM154">
            <v>0</v>
          </cell>
          <cell r="AN154">
            <v>8</v>
          </cell>
          <cell r="AO154">
            <v>0</v>
          </cell>
        </row>
        <row r="155">
          <cell r="AH155">
            <v>50342</v>
          </cell>
          <cell r="AI155">
            <v>18</v>
          </cell>
          <cell r="AJ155">
            <v>4</v>
          </cell>
          <cell r="AK155">
            <v>1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</row>
        <row r="156">
          <cell r="AH156">
            <v>50343</v>
          </cell>
          <cell r="AI156">
            <v>18</v>
          </cell>
          <cell r="AJ156">
            <v>4</v>
          </cell>
          <cell r="AK156">
            <v>1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</row>
        <row r="157">
          <cell r="AH157">
            <v>50396</v>
          </cell>
          <cell r="AI157">
            <v>14.5</v>
          </cell>
          <cell r="AJ157">
            <v>4</v>
          </cell>
          <cell r="AK157">
            <v>1</v>
          </cell>
          <cell r="AL157">
            <v>1</v>
          </cell>
          <cell r="AM157">
            <v>0</v>
          </cell>
          <cell r="AN157">
            <v>2</v>
          </cell>
          <cell r="AO157">
            <v>0</v>
          </cell>
        </row>
        <row r="158">
          <cell r="AH158">
            <v>50488</v>
          </cell>
          <cell r="AI158">
            <v>14</v>
          </cell>
          <cell r="AJ158">
            <v>4</v>
          </cell>
          <cell r="AK158">
            <v>1</v>
          </cell>
          <cell r="AL158">
            <v>0</v>
          </cell>
          <cell r="AM158">
            <v>0</v>
          </cell>
          <cell r="AN158">
            <v>4</v>
          </cell>
          <cell r="AO158">
            <v>0</v>
          </cell>
        </row>
        <row r="159">
          <cell r="AH159">
            <v>50521</v>
          </cell>
          <cell r="AI159">
            <v>16.5</v>
          </cell>
          <cell r="AJ159">
            <v>4</v>
          </cell>
          <cell r="AK159">
            <v>2.5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</row>
        <row r="160">
          <cell r="AH160">
            <v>50549</v>
          </cell>
          <cell r="AI160">
            <v>15.5</v>
          </cell>
          <cell r="AJ160">
            <v>4</v>
          </cell>
          <cell r="AK160">
            <v>0</v>
          </cell>
          <cell r="AL160">
            <v>1</v>
          </cell>
          <cell r="AM160">
            <v>0</v>
          </cell>
          <cell r="AN160">
            <v>2</v>
          </cell>
          <cell r="AO160">
            <v>0</v>
          </cell>
        </row>
        <row r="161">
          <cell r="AH161">
            <v>50550</v>
          </cell>
          <cell r="AI161">
            <v>15</v>
          </cell>
          <cell r="AJ161">
            <v>4</v>
          </cell>
          <cell r="AK161">
            <v>1</v>
          </cell>
          <cell r="AL161">
            <v>0</v>
          </cell>
          <cell r="AM161">
            <v>0</v>
          </cell>
          <cell r="AN161">
            <v>3</v>
          </cell>
          <cell r="AO161">
            <v>0</v>
          </cell>
        </row>
        <row r="162">
          <cell r="AH162">
            <v>50615</v>
          </cell>
          <cell r="AI162">
            <v>18</v>
          </cell>
          <cell r="AJ162">
            <v>4</v>
          </cell>
          <cell r="AK162">
            <v>1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</row>
        <row r="163">
          <cell r="AH163">
            <v>50654</v>
          </cell>
          <cell r="AI163">
            <v>17</v>
          </cell>
          <cell r="AJ163">
            <v>4</v>
          </cell>
          <cell r="AK163">
            <v>2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</row>
        <row r="164">
          <cell r="AH164">
            <v>50796</v>
          </cell>
          <cell r="AI164">
            <v>8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3</v>
          </cell>
          <cell r="AO164">
            <v>0</v>
          </cell>
        </row>
        <row r="165">
          <cell r="AH165">
            <v>50803</v>
          </cell>
          <cell r="AI165">
            <v>7</v>
          </cell>
          <cell r="AJ165">
            <v>0</v>
          </cell>
          <cell r="AK165">
            <v>0</v>
          </cell>
          <cell r="AL165">
            <v>2</v>
          </cell>
          <cell r="AM165">
            <v>0</v>
          </cell>
          <cell r="AN165">
            <v>0</v>
          </cell>
          <cell r="AO165">
            <v>0</v>
          </cell>
        </row>
        <row r="166">
          <cell r="AH166">
            <v>50804</v>
          </cell>
          <cell r="AI166">
            <v>5.5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</row>
        <row r="167">
          <cell r="AH167">
            <v>50073</v>
          </cell>
          <cell r="AI167">
            <v>12.5</v>
          </cell>
          <cell r="AJ167">
            <v>4</v>
          </cell>
          <cell r="AK167">
            <v>1.5</v>
          </cell>
          <cell r="AL167">
            <v>0</v>
          </cell>
          <cell r="AM167">
            <v>0</v>
          </cell>
          <cell r="AN167">
            <v>5</v>
          </cell>
          <cell r="AO167">
            <v>0</v>
          </cell>
        </row>
        <row r="168">
          <cell r="AH168">
            <v>50154</v>
          </cell>
          <cell r="AI168">
            <v>15</v>
          </cell>
          <cell r="AJ168">
            <v>4</v>
          </cell>
          <cell r="AK168">
            <v>1</v>
          </cell>
          <cell r="AL168">
            <v>0</v>
          </cell>
          <cell r="AM168">
            <v>0</v>
          </cell>
          <cell r="AN168">
            <v>3</v>
          </cell>
          <cell r="AO168">
            <v>0</v>
          </cell>
        </row>
        <row r="169">
          <cell r="AH169">
            <v>50158</v>
          </cell>
          <cell r="AI169">
            <v>18</v>
          </cell>
          <cell r="AJ169">
            <v>4</v>
          </cell>
          <cell r="AK169">
            <v>1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</row>
        <row r="170">
          <cell r="AH170">
            <v>50225</v>
          </cell>
          <cell r="AI170">
            <v>12.5</v>
          </cell>
          <cell r="AJ170">
            <v>4</v>
          </cell>
          <cell r="AK170">
            <v>1.5</v>
          </cell>
          <cell r="AL170">
            <v>0</v>
          </cell>
          <cell r="AM170">
            <v>5</v>
          </cell>
          <cell r="AN170">
            <v>0</v>
          </cell>
          <cell r="AO170">
            <v>0</v>
          </cell>
        </row>
        <row r="171">
          <cell r="AH171">
            <v>50240</v>
          </cell>
          <cell r="AI171">
            <v>11</v>
          </cell>
          <cell r="AJ171">
            <v>4</v>
          </cell>
          <cell r="AK171">
            <v>2</v>
          </cell>
          <cell r="AL171">
            <v>0</v>
          </cell>
          <cell r="AM171">
            <v>0</v>
          </cell>
          <cell r="AN171">
            <v>6</v>
          </cell>
          <cell r="AO171">
            <v>0</v>
          </cell>
        </row>
        <row r="172">
          <cell r="AH172">
            <v>50302</v>
          </cell>
          <cell r="AI172">
            <v>14.5</v>
          </cell>
          <cell r="AJ172">
            <v>4</v>
          </cell>
          <cell r="AK172">
            <v>1.5</v>
          </cell>
          <cell r="AL172">
            <v>0</v>
          </cell>
          <cell r="AM172">
            <v>0</v>
          </cell>
          <cell r="AN172">
            <v>3</v>
          </cell>
          <cell r="AO172">
            <v>0</v>
          </cell>
        </row>
        <row r="173">
          <cell r="AH173">
            <v>50339</v>
          </cell>
          <cell r="AI173">
            <v>16.5</v>
          </cell>
          <cell r="AJ173">
            <v>4</v>
          </cell>
          <cell r="AK173">
            <v>1.5</v>
          </cell>
          <cell r="AL173">
            <v>0</v>
          </cell>
          <cell r="AM173">
            <v>0</v>
          </cell>
          <cell r="AN173">
            <v>1</v>
          </cell>
          <cell r="AO173">
            <v>0</v>
          </cell>
        </row>
        <row r="174">
          <cell r="AH174">
            <v>50427</v>
          </cell>
          <cell r="AI174">
            <v>18</v>
          </cell>
          <cell r="AJ174">
            <v>4</v>
          </cell>
          <cell r="AK174">
            <v>1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</row>
        <row r="175">
          <cell r="AH175">
            <v>50487</v>
          </cell>
          <cell r="AI175">
            <v>11</v>
          </cell>
          <cell r="AJ175">
            <v>4</v>
          </cell>
          <cell r="AK175">
            <v>1</v>
          </cell>
          <cell r="AL175">
            <v>1</v>
          </cell>
          <cell r="AM175">
            <v>0</v>
          </cell>
          <cell r="AN175">
            <v>6</v>
          </cell>
          <cell r="AO175">
            <v>0</v>
          </cell>
        </row>
        <row r="176">
          <cell r="AH176">
            <v>50562</v>
          </cell>
          <cell r="AI176">
            <v>17</v>
          </cell>
          <cell r="AJ176">
            <v>4</v>
          </cell>
          <cell r="AK176">
            <v>0</v>
          </cell>
          <cell r="AL176">
            <v>1</v>
          </cell>
          <cell r="AM176">
            <v>0</v>
          </cell>
          <cell r="AN176">
            <v>1</v>
          </cell>
          <cell r="AO176">
            <v>0</v>
          </cell>
        </row>
        <row r="177">
          <cell r="AH177">
            <v>50570</v>
          </cell>
          <cell r="AI177">
            <v>17.5</v>
          </cell>
          <cell r="AJ177">
            <v>4</v>
          </cell>
          <cell r="AK177">
            <v>1.5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</row>
        <row r="178">
          <cell r="AH178">
            <v>50582</v>
          </cell>
          <cell r="AI178">
            <v>16.5</v>
          </cell>
          <cell r="AJ178">
            <v>4</v>
          </cell>
          <cell r="AK178">
            <v>0</v>
          </cell>
          <cell r="AL178">
            <v>2</v>
          </cell>
          <cell r="AM178">
            <v>0</v>
          </cell>
          <cell r="AN178">
            <v>0</v>
          </cell>
          <cell r="AO178">
            <v>0</v>
          </cell>
        </row>
        <row r="179">
          <cell r="AH179">
            <v>50613</v>
          </cell>
          <cell r="AI179">
            <v>13</v>
          </cell>
          <cell r="AJ179">
            <v>4</v>
          </cell>
          <cell r="AK179">
            <v>1</v>
          </cell>
          <cell r="AL179">
            <v>3</v>
          </cell>
          <cell r="AM179">
            <v>0</v>
          </cell>
          <cell r="AN179">
            <v>2</v>
          </cell>
          <cell r="AO179">
            <v>0</v>
          </cell>
        </row>
        <row r="180">
          <cell r="AH180">
            <v>50616</v>
          </cell>
          <cell r="AI180">
            <v>17</v>
          </cell>
          <cell r="AJ180">
            <v>4</v>
          </cell>
          <cell r="AK180">
            <v>2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</row>
        <row r="181">
          <cell r="AH181">
            <v>50703</v>
          </cell>
          <cell r="AI181">
            <v>15</v>
          </cell>
          <cell r="AJ181">
            <v>4</v>
          </cell>
          <cell r="AK181">
            <v>1</v>
          </cell>
          <cell r="AL181">
            <v>0</v>
          </cell>
          <cell r="AM181">
            <v>0</v>
          </cell>
          <cell r="AN181">
            <v>3</v>
          </cell>
          <cell r="AO181">
            <v>0</v>
          </cell>
        </row>
        <row r="182">
          <cell r="AH182">
            <v>50797</v>
          </cell>
          <cell r="AI182">
            <v>11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</row>
        <row r="183">
          <cell r="AH183">
            <v>50805</v>
          </cell>
          <cell r="AI183">
            <v>9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</row>
        <row r="184">
          <cell r="AH184">
            <v>50806</v>
          </cell>
          <cell r="AI184">
            <v>8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</row>
        <row r="185">
          <cell r="AH185">
            <v>50807</v>
          </cell>
          <cell r="AI185">
            <v>5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</row>
        <row r="186">
          <cell r="AH186">
            <v>50818</v>
          </cell>
          <cell r="AI186">
            <v>3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</row>
        <row r="187">
          <cell r="AH187">
            <v>50019</v>
          </cell>
          <cell r="AI187">
            <v>16</v>
          </cell>
          <cell r="AJ187">
            <v>4</v>
          </cell>
          <cell r="AK187">
            <v>1</v>
          </cell>
          <cell r="AL187">
            <v>0</v>
          </cell>
          <cell r="AM187">
            <v>0</v>
          </cell>
          <cell r="AN187">
            <v>2</v>
          </cell>
          <cell r="AO187">
            <v>0</v>
          </cell>
        </row>
        <row r="188">
          <cell r="AH188">
            <v>50063</v>
          </cell>
          <cell r="AI188">
            <v>18</v>
          </cell>
          <cell r="AJ188">
            <v>4</v>
          </cell>
          <cell r="AK188">
            <v>1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</row>
        <row r="189">
          <cell r="AH189">
            <v>50082</v>
          </cell>
          <cell r="AI189">
            <v>15</v>
          </cell>
          <cell r="AJ189">
            <v>4</v>
          </cell>
          <cell r="AK189">
            <v>1</v>
          </cell>
          <cell r="AL189">
            <v>0</v>
          </cell>
          <cell r="AM189">
            <v>0</v>
          </cell>
          <cell r="AN189">
            <v>3</v>
          </cell>
          <cell r="AO189">
            <v>0</v>
          </cell>
        </row>
        <row r="190">
          <cell r="AH190">
            <v>50089</v>
          </cell>
          <cell r="AI190">
            <v>17</v>
          </cell>
          <cell r="AJ190">
            <v>4</v>
          </cell>
          <cell r="AK190">
            <v>2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</row>
        <row r="191">
          <cell r="AH191">
            <v>50125</v>
          </cell>
          <cell r="AI191">
            <v>15.5</v>
          </cell>
          <cell r="AJ191">
            <v>4</v>
          </cell>
          <cell r="AK191">
            <v>2</v>
          </cell>
          <cell r="AL191">
            <v>1</v>
          </cell>
          <cell r="AM191">
            <v>0</v>
          </cell>
          <cell r="AN191">
            <v>0</v>
          </cell>
          <cell r="AO191">
            <v>0</v>
          </cell>
        </row>
        <row r="192">
          <cell r="AH192">
            <v>50139</v>
          </cell>
          <cell r="AI192">
            <v>18</v>
          </cell>
          <cell r="AJ192">
            <v>4</v>
          </cell>
          <cell r="AK192">
            <v>1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</row>
        <row r="193">
          <cell r="AH193">
            <v>50258</v>
          </cell>
          <cell r="AI193">
            <v>18</v>
          </cell>
          <cell r="AJ193">
            <v>4</v>
          </cell>
          <cell r="AK193">
            <v>1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</row>
        <row r="194">
          <cell r="AH194">
            <v>50317</v>
          </cell>
          <cell r="AI194">
            <v>13</v>
          </cell>
          <cell r="AJ194">
            <v>4</v>
          </cell>
          <cell r="AK194">
            <v>1</v>
          </cell>
          <cell r="AL194">
            <v>0</v>
          </cell>
          <cell r="AM194">
            <v>0</v>
          </cell>
          <cell r="AN194">
            <v>5</v>
          </cell>
          <cell r="AO194">
            <v>0</v>
          </cell>
        </row>
        <row r="195">
          <cell r="AH195">
            <v>50350</v>
          </cell>
          <cell r="AI195">
            <v>17.5</v>
          </cell>
          <cell r="AJ195">
            <v>4</v>
          </cell>
          <cell r="AK195">
            <v>1.5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</row>
        <row r="196">
          <cell r="AH196">
            <v>50482</v>
          </cell>
          <cell r="AI196">
            <v>13</v>
          </cell>
          <cell r="AJ196">
            <v>4</v>
          </cell>
          <cell r="AK196">
            <v>1</v>
          </cell>
          <cell r="AL196">
            <v>0</v>
          </cell>
          <cell r="AM196">
            <v>0</v>
          </cell>
          <cell r="AN196">
            <v>5</v>
          </cell>
          <cell r="AO196">
            <v>0</v>
          </cell>
        </row>
        <row r="197">
          <cell r="AH197">
            <v>50528</v>
          </cell>
          <cell r="AI197">
            <v>14</v>
          </cell>
          <cell r="AJ197">
            <v>4</v>
          </cell>
          <cell r="AK197">
            <v>1</v>
          </cell>
          <cell r="AL197">
            <v>0</v>
          </cell>
          <cell r="AM197">
            <v>0</v>
          </cell>
          <cell r="AN197">
            <v>4</v>
          </cell>
          <cell r="AO197">
            <v>0</v>
          </cell>
        </row>
        <row r="198">
          <cell r="AH198">
            <v>50565</v>
          </cell>
          <cell r="AI198">
            <v>18</v>
          </cell>
          <cell r="AJ198">
            <v>4</v>
          </cell>
          <cell r="AK198">
            <v>1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</row>
        <row r="199">
          <cell r="AH199">
            <v>50776</v>
          </cell>
          <cell r="AI199">
            <v>15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</row>
        <row r="200">
          <cell r="AH200">
            <v>50778</v>
          </cell>
          <cell r="AI200">
            <v>15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</row>
        <row r="201">
          <cell r="AH201">
            <v>50808</v>
          </cell>
          <cell r="AI201">
            <v>6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</row>
        <row r="202">
          <cell r="AH202">
            <v>50809</v>
          </cell>
          <cell r="AI202">
            <v>8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</row>
        <row r="203">
          <cell r="AH203">
            <v>50200</v>
          </cell>
          <cell r="AI203">
            <v>15.5</v>
          </cell>
          <cell r="AJ203">
            <v>4</v>
          </cell>
          <cell r="AK203">
            <v>1.5</v>
          </cell>
          <cell r="AL203">
            <v>0</v>
          </cell>
          <cell r="AM203">
            <v>0</v>
          </cell>
          <cell r="AN203">
            <v>2</v>
          </cell>
          <cell r="AO203">
            <v>0</v>
          </cell>
        </row>
        <row r="204">
          <cell r="AH204">
            <v>50313</v>
          </cell>
          <cell r="AI204">
            <v>17.5</v>
          </cell>
          <cell r="AJ204">
            <v>4</v>
          </cell>
          <cell r="AK204">
            <v>1.5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</row>
        <row r="205">
          <cell r="AH205">
            <v>50407</v>
          </cell>
          <cell r="AI205">
            <v>15.5</v>
          </cell>
          <cell r="AJ205">
            <v>4</v>
          </cell>
          <cell r="AK205">
            <v>1.5</v>
          </cell>
          <cell r="AL205">
            <v>0</v>
          </cell>
          <cell r="AM205">
            <v>0</v>
          </cell>
          <cell r="AN205">
            <v>2</v>
          </cell>
          <cell r="AO205">
            <v>0</v>
          </cell>
        </row>
        <row r="206">
          <cell r="AH206">
            <v>50592</v>
          </cell>
          <cell r="AI206">
            <v>16</v>
          </cell>
          <cell r="AJ206">
            <v>4</v>
          </cell>
          <cell r="AK206">
            <v>2</v>
          </cell>
          <cell r="AL206">
            <v>0</v>
          </cell>
          <cell r="AM206">
            <v>0</v>
          </cell>
          <cell r="AN206">
            <v>1</v>
          </cell>
          <cell r="AO206">
            <v>0</v>
          </cell>
        </row>
        <row r="207">
          <cell r="AH207">
            <v>50593</v>
          </cell>
          <cell r="AI207">
            <v>17</v>
          </cell>
          <cell r="AJ207">
            <v>4</v>
          </cell>
          <cell r="AK207">
            <v>0</v>
          </cell>
          <cell r="AL207">
            <v>1</v>
          </cell>
          <cell r="AM207">
            <v>0</v>
          </cell>
          <cell r="AN207">
            <v>0</v>
          </cell>
          <cell r="AO207">
            <v>0</v>
          </cell>
        </row>
        <row r="208">
          <cell r="AH208">
            <v>50636</v>
          </cell>
          <cell r="AI208">
            <v>16</v>
          </cell>
          <cell r="AJ208">
            <v>4</v>
          </cell>
          <cell r="AK208">
            <v>1</v>
          </cell>
          <cell r="AL208">
            <v>0</v>
          </cell>
          <cell r="AM208">
            <v>0</v>
          </cell>
          <cell r="AN208">
            <v>2</v>
          </cell>
          <cell r="AO208">
            <v>0</v>
          </cell>
        </row>
        <row r="209">
          <cell r="AH209">
            <v>50637</v>
          </cell>
          <cell r="AI209">
            <v>18</v>
          </cell>
          <cell r="AJ209">
            <v>4</v>
          </cell>
          <cell r="AK209">
            <v>1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</row>
        <row r="210">
          <cell r="AH210">
            <v>50705</v>
          </cell>
          <cell r="AI210">
            <v>15</v>
          </cell>
          <cell r="AJ210">
            <v>4</v>
          </cell>
          <cell r="AK210">
            <v>0</v>
          </cell>
          <cell r="AL210">
            <v>3</v>
          </cell>
          <cell r="AM210">
            <v>0</v>
          </cell>
          <cell r="AN210">
            <v>0</v>
          </cell>
          <cell r="AO210">
            <v>0</v>
          </cell>
        </row>
        <row r="211">
          <cell r="AH211">
            <v>50724</v>
          </cell>
          <cell r="AI211">
            <v>9.5</v>
          </cell>
          <cell r="AJ211">
            <v>4</v>
          </cell>
          <cell r="AK211">
            <v>0</v>
          </cell>
          <cell r="AL211">
            <v>3</v>
          </cell>
          <cell r="AM211">
            <v>0</v>
          </cell>
          <cell r="AN211">
            <v>6</v>
          </cell>
          <cell r="AO211">
            <v>0</v>
          </cell>
        </row>
        <row r="212">
          <cell r="AH212">
            <v>50746</v>
          </cell>
          <cell r="AI212">
            <v>16.5</v>
          </cell>
          <cell r="AJ212">
            <v>4</v>
          </cell>
          <cell r="AK212">
            <v>0</v>
          </cell>
          <cell r="AL212">
            <v>1</v>
          </cell>
          <cell r="AM212">
            <v>0</v>
          </cell>
          <cell r="AN212">
            <v>1</v>
          </cell>
          <cell r="AO212">
            <v>0</v>
          </cell>
        </row>
        <row r="213">
          <cell r="AH213">
            <v>50768</v>
          </cell>
          <cell r="AI213">
            <v>16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</row>
        <row r="214">
          <cell r="AH214">
            <v>50769</v>
          </cell>
          <cell r="AI214">
            <v>17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</row>
        <row r="215">
          <cell r="AH215">
            <v>50773</v>
          </cell>
          <cell r="AI215">
            <v>13</v>
          </cell>
          <cell r="AJ215">
            <v>0</v>
          </cell>
          <cell r="AK215">
            <v>0</v>
          </cell>
          <cell r="AL215">
            <v>1</v>
          </cell>
          <cell r="AM215">
            <v>0</v>
          </cell>
          <cell r="AN215">
            <v>2</v>
          </cell>
          <cell r="AO215">
            <v>0</v>
          </cell>
        </row>
        <row r="216">
          <cell r="AH216">
            <v>50784</v>
          </cell>
          <cell r="AI216">
            <v>13</v>
          </cell>
          <cell r="AJ216">
            <v>0</v>
          </cell>
          <cell r="AK216">
            <v>0</v>
          </cell>
          <cell r="AL216">
            <v>1</v>
          </cell>
          <cell r="AM216">
            <v>0</v>
          </cell>
          <cell r="AN216">
            <v>0</v>
          </cell>
          <cell r="AO216">
            <v>0</v>
          </cell>
        </row>
        <row r="217">
          <cell r="AH217">
            <v>50787</v>
          </cell>
          <cell r="AI217">
            <v>12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</row>
        <row r="218">
          <cell r="AH218">
            <v>50810</v>
          </cell>
          <cell r="AI218">
            <v>3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5</v>
          </cell>
          <cell r="AO218">
            <v>0</v>
          </cell>
        </row>
        <row r="219">
          <cell r="AH219">
            <v>10057</v>
          </cell>
          <cell r="AI219">
            <v>17</v>
          </cell>
          <cell r="AJ219">
            <v>4</v>
          </cell>
          <cell r="AK219">
            <v>0</v>
          </cell>
          <cell r="AL219">
            <v>1</v>
          </cell>
          <cell r="AM219">
            <v>0</v>
          </cell>
          <cell r="AN219">
            <v>1</v>
          </cell>
          <cell r="AO219">
            <v>0</v>
          </cell>
        </row>
        <row r="220">
          <cell r="AH220">
            <v>50056</v>
          </cell>
          <cell r="AI220">
            <v>18</v>
          </cell>
          <cell r="AJ220">
            <v>4</v>
          </cell>
          <cell r="AK220">
            <v>1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</row>
        <row r="221">
          <cell r="AH221">
            <v>50180</v>
          </cell>
          <cell r="AI221">
            <v>8</v>
          </cell>
          <cell r="AJ221">
            <v>4</v>
          </cell>
          <cell r="AK221">
            <v>5</v>
          </cell>
          <cell r="AL221">
            <v>4</v>
          </cell>
          <cell r="AM221">
            <v>0</v>
          </cell>
          <cell r="AN221">
            <v>2</v>
          </cell>
          <cell r="AO221">
            <v>0</v>
          </cell>
        </row>
        <row r="222">
          <cell r="AH222">
            <v>50269</v>
          </cell>
          <cell r="AI222">
            <v>14</v>
          </cell>
          <cell r="AJ222">
            <v>4</v>
          </cell>
          <cell r="AK222">
            <v>2</v>
          </cell>
          <cell r="AL222">
            <v>1</v>
          </cell>
          <cell r="AM222">
            <v>0</v>
          </cell>
          <cell r="AN222">
            <v>2</v>
          </cell>
          <cell r="AO222">
            <v>0</v>
          </cell>
        </row>
        <row r="223">
          <cell r="AH223">
            <v>50681</v>
          </cell>
          <cell r="AI223">
            <v>16</v>
          </cell>
          <cell r="AJ223">
            <v>4</v>
          </cell>
          <cell r="AK223">
            <v>0</v>
          </cell>
          <cell r="AL223">
            <v>1</v>
          </cell>
          <cell r="AM223">
            <v>0</v>
          </cell>
          <cell r="AN223">
            <v>2</v>
          </cell>
          <cell r="AO223">
            <v>0</v>
          </cell>
        </row>
        <row r="224">
          <cell r="AH224">
            <v>50686</v>
          </cell>
          <cell r="AI224">
            <v>18</v>
          </cell>
          <cell r="AJ224">
            <v>4</v>
          </cell>
          <cell r="AK224">
            <v>0</v>
          </cell>
          <cell r="AL224">
            <v>1</v>
          </cell>
          <cell r="AM224">
            <v>0</v>
          </cell>
          <cell r="AN224">
            <v>0</v>
          </cell>
          <cell r="AO224">
            <v>0</v>
          </cell>
        </row>
        <row r="225">
          <cell r="AH225">
            <v>50693</v>
          </cell>
          <cell r="AI225">
            <v>17</v>
          </cell>
          <cell r="AJ225">
            <v>4</v>
          </cell>
          <cell r="AK225">
            <v>0</v>
          </cell>
          <cell r="AL225">
            <v>2</v>
          </cell>
          <cell r="AM225">
            <v>0</v>
          </cell>
          <cell r="AN225">
            <v>0</v>
          </cell>
          <cell r="AO225">
            <v>0</v>
          </cell>
        </row>
        <row r="226">
          <cell r="AH226">
            <v>50694</v>
          </cell>
          <cell r="AI226">
            <v>11.5</v>
          </cell>
          <cell r="AJ226">
            <v>4</v>
          </cell>
          <cell r="AK226">
            <v>1</v>
          </cell>
          <cell r="AL226">
            <v>1</v>
          </cell>
          <cell r="AM226">
            <v>0</v>
          </cell>
          <cell r="AN226">
            <v>5</v>
          </cell>
          <cell r="AO226">
            <v>0</v>
          </cell>
        </row>
        <row r="227">
          <cell r="AH227">
            <v>50698</v>
          </cell>
          <cell r="AI227">
            <v>10.5</v>
          </cell>
          <cell r="AJ227">
            <v>4</v>
          </cell>
          <cell r="AK227">
            <v>2</v>
          </cell>
          <cell r="AL227">
            <v>5</v>
          </cell>
          <cell r="AM227">
            <v>0</v>
          </cell>
          <cell r="AN227">
            <v>2</v>
          </cell>
          <cell r="AO227">
            <v>0</v>
          </cell>
        </row>
        <row r="228">
          <cell r="AH228">
            <v>50714</v>
          </cell>
          <cell r="AI228">
            <v>13</v>
          </cell>
          <cell r="AJ228">
            <v>4</v>
          </cell>
          <cell r="AK228">
            <v>2</v>
          </cell>
          <cell r="AL228">
            <v>0</v>
          </cell>
          <cell r="AM228">
            <v>0</v>
          </cell>
          <cell r="AN228">
            <v>4</v>
          </cell>
          <cell r="AO228">
            <v>0</v>
          </cell>
        </row>
        <row r="229">
          <cell r="AH229">
            <v>50723</v>
          </cell>
          <cell r="AI229">
            <v>14</v>
          </cell>
          <cell r="AJ229">
            <v>4</v>
          </cell>
          <cell r="AK229">
            <v>1</v>
          </cell>
          <cell r="AL229">
            <v>0</v>
          </cell>
          <cell r="AM229">
            <v>0</v>
          </cell>
          <cell r="AN229">
            <v>4</v>
          </cell>
          <cell r="AO229">
            <v>0</v>
          </cell>
        </row>
        <row r="230">
          <cell r="AH230">
            <v>50743</v>
          </cell>
          <cell r="AI230">
            <v>18</v>
          </cell>
          <cell r="AJ230">
            <v>4</v>
          </cell>
          <cell r="AK230">
            <v>0</v>
          </cell>
          <cell r="AL230">
            <v>1</v>
          </cell>
          <cell r="AM230">
            <v>0</v>
          </cell>
          <cell r="AN230">
            <v>0</v>
          </cell>
          <cell r="AO230">
            <v>0</v>
          </cell>
        </row>
        <row r="231">
          <cell r="AH231">
            <v>50757</v>
          </cell>
          <cell r="AI231">
            <v>18</v>
          </cell>
          <cell r="AJ231">
            <v>4</v>
          </cell>
          <cell r="AK231">
            <v>0</v>
          </cell>
          <cell r="AL231">
            <v>1</v>
          </cell>
          <cell r="AM231">
            <v>0</v>
          </cell>
          <cell r="AN231">
            <v>0</v>
          </cell>
          <cell r="AO231">
            <v>0</v>
          </cell>
        </row>
        <row r="232">
          <cell r="AH232">
            <v>50774</v>
          </cell>
          <cell r="AI232">
            <v>16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</row>
        <row r="233">
          <cell r="AH233">
            <v>50786</v>
          </cell>
          <cell r="AI233">
            <v>10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3</v>
          </cell>
          <cell r="AO233">
            <v>0</v>
          </cell>
        </row>
        <row r="234">
          <cell r="AH234">
            <v>50811</v>
          </cell>
          <cell r="AI234">
            <v>5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</row>
        <row r="235">
          <cell r="AH235">
            <v>50014</v>
          </cell>
          <cell r="AI235">
            <v>18</v>
          </cell>
          <cell r="AJ235">
            <v>4</v>
          </cell>
          <cell r="AK235">
            <v>1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</row>
        <row r="236">
          <cell r="AH236">
            <v>50048</v>
          </cell>
          <cell r="AI236">
            <v>15.5</v>
          </cell>
          <cell r="AJ236">
            <v>4</v>
          </cell>
          <cell r="AK236">
            <v>1.5</v>
          </cell>
          <cell r="AL236">
            <v>2</v>
          </cell>
          <cell r="AM236">
            <v>0</v>
          </cell>
          <cell r="AN236">
            <v>0</v>
          </cell>
          <cell r="AO236">
            <v>0</v>
          </cell>
        </row>
        <row r="237">
          <cell r="AH237">
            <v>50198</v>
          </cell>
          <cell r="AI237">
            <v>14</v>
          </cell>
          <cell r="AJ237">
            <v>4</v>
          </cell>
          <cell r="AK237">
            <v>1</v>
          </cell>
          <cell r="AL237">
            <v>0</v>
          </cell>
          <cell r="AM237">
            <v>0</v>
          </cell>
          <cell r="AN237">
            <v>4</v>
          </cell>
          <cell r="AO237">
            <v>0</v>
          </cell>
        </row>
        <row r="238">
          <cell r="AH238">
            <v>50238</v>
          </cell>
          <cell r="AI238">
            <v>18</v>
          </cell>
          <cell r="AJ238">
            <v>4</v>
          </cell>
          <cell r="AK238">
            <v>1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</row>
        <row r="239">
          <cell r="AH239">
            <v>50559</v>
          </cell>
          <cell r="AI239">
            <v>15</v>
          </cell>
          <cell r="AJ239">
            <v>4</v>
          </cell>
          <cell r="AK239">
            <v>0</v>
          </cell>
          <cell r="AL239">
            <v>1</v>
          </cell>
          <cell r="AM239">
            <v>0</v>
          </cell>
          <cell r="AN239">
            <v>3</v>
          </cell>
          <cell r="AO239">
            <v>0</v>
          </cell>
        </row>
        <row r="240">
          <cell r="AH240">
            <v>50647</v>
          </cell>
          <cell r="AI240">
            <v>0</v>
          </cell>
          <cell r="AJ240">
            <v>4</v>
          </cell>
          <cell r="AK240">
            <v>1</v>
          </cell>
          <cell r="AL240">
            <v>0</v>
          </cell>
          <cell r="AM240">
            <v>0</v>
          </cell>
          <cell r="AN240">
            <v>18</v>
          </cell>
          <cell r="AO240">
            <v>0</v>
          </cell>
        </row>
        <row r="241">
          <cell r="AH241">
            <v>50728</v>
          </cell>
          <cell r="AI241">
            <v>15</v>
          </cell>
          <cell r="AJ241">
            <v>4</v>
          </cell>
          <cell r="AK241">
            <v>0</v>
          </cell>
          <cell r="AL241">
            <v>1</v>
          </cell>
          <cell r="AM241">
            <v>0</v>
          </cell>
          <cell r="AN241">
            <v>3</v>
          </cell>
          <cell r="AO241">
            <v>0</v>
          </cell>
        </row>
        <row r="242">
          <cell r="AH242">
            <v>50730</v>
          </cell>
          <cell r="AI242">
            <v>15.5</v>
          </cell>
          <cell r="AJ242">
            <v>4</v>
          </cell>
          <cell r="AK242">
            <v>0</v>
          </cell>
          <cell r="AL242">
            <v>3</v>
          </cell>
          <cell r="AM242">
            <v>0</v>
          </cell>
          <cell r="AN242">
            <v>0</v>
          </cell>
          <cell r="AO242">
            <v>0</v>
          </cell>
        </row>
        <row r="243">
          <cell r="AH243">
            <v>50739</v>
          </cell>
          <cell r="AI243">
            <v>9</v>
          </cell>
          <cell r="AJ243">
            <v>4</v>
          </cell>
          <cell r="AK243">
            <v>0</v>
          </cell>
          <cell r="AL243">
            <v>7</v>
          </cell>
          <cell r="AM243">
            <v>0</v>
          </cell>
          <cell r="AN243">
            <v>3</v>
          </cell>
          <cell r="AO243">
            <v>0</v>
          </cell>
        </row>
        <row r="244">
          <cell r="AH244">
            <v>50740</v>
          </cell>
          <cell r="AI244">
            <v>13</v>
          </cell>
          <cell r="AJ244">
            <v>4</v>
          </cell>
          <cell r="AK244">
            <v>0</v>
          </cell>
          <cell r="AL244">
            <v>3</v>
          </cell>
          <cell r="AM244">
            <v>0</v>
          </cell>
          <cell r="AN244">
            <v>3</v>
          </cell>
          <cell r="AO244">
            <v>0</v>
          </cell>
        </row>
        <row r="245">
          <cell r="AH245">
            <v>50741</v>
          </cell>
          <cell r="AI245">
            <v>17.5</v>
          </cell>
          <cell r="AJ245">
            <v>4</v>
          </cell>
          <cell r="AK245">
            <v>0</v>
          </cell>
          <cell r="AL245">
            <v>1</v>
          </cell>
          <cell r="AM245">
            <v>0</v>
          </cell>
          <cell r="AN245">
            <v>0</v>
          </cell>
          <cell r="AO245">
            <v>0</v>
          </cell>
        </row>
        <row r="246">
          <cell r="AH246">
            <v>50749</v>
          </cell>
          <cell r="AI246">
            <v>14.5</v>
          </cell>
          <cell r="AJ246">
            <v>4</v>
          </cell>
          <cell r="AK246">
            <v>0</v>
          </cell>
          <cell r="AL246">
            <v>1</v>
          </cell>
          <cell r="AM246">
            <v>0</v>
          </cell>
          <cell r="AN246">
            <v>3</v>
          </cell>
          <cell r="AO246">
            <v>0</v>
          </cell>
        </row>
        <row r="247">
          <cell r="AH247">
            <v>50750</v>
          </cell>
          <cell r="AI247">
            <v>16</v>
          </cell>
          <cell r="AJ247">
            <v>4</v>
          </cell>
          <cell r="AK247">
            <v>0</v>
          </cell>
          <cell r="AL247">
            <v>1</v>
          </cell>
          <cell r="AM247">
            <v>0</v>
          </cell>
          <cell r="AN247">
            <v>2</v>
          </cell>
          <cell r="AO247">
            <v>0</v>
          </cell>
        </row>
        <row r="248">
          <cell r="AH248">
            <v>50766</v>
          </cell>
          <cell r="AI248">
            <v>13</v>
          </cell>
          <cell r="AJ248">
            <v>4</v>
          </cell>
          <cell r="AK248">
            <v>0</v>
          </cell>
          <cell r="AL248">
            <v>5</v>
          </cell>
          <cell r="AM248">
            <v>0</v>
          </cell>
          <cell r="AN248">
            <v>0</v>
          </cell>
          <cell r="AO248">
            <v>0</v>
          </cell>
        </row>
        <row r="249">
          <cell r="AH249">
            <v>50770</v>
          </cell>
          <cell r="AI249">
            <v>15</v>
          </cell>
          <cell r="AJ249">
            <v>0</v>
          </cell>
          <cell r="AK249">
            <v>0</v>
          </cell>
          <cell r="AL249">
            <v>1</v>
          </cell>
          <cell r="AM249">
            <v>0</v>
          </cell>
          <cell r="AN249">
            <v>0</v>
          </cell>
          <cell r="AO249">
            <v>0</v>
          </cell>
        </row>
        <row r="250">
          <cell r="AH250">
            <v>50780</v>
          </cell>
          <cell r="AI250">
            <v>8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6</v>
          </cell>
          <cell r="AO250">
            <v>0</v>
          </cell>
        </row>
        <row r="251">
          <cell r="AH251">
            <v>50782</v>
          </cell>
          <cell r="AI251">
            <v>8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6</v>
          </cell>
          <cell r="AO251">
            <v>0</v>
          </cell>
        </row>
        <row r="252">
          <cell r="AH252">
            <v>50821</v>
          </cell>
          <cell r="AI252">
            <v>2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</row>
        <row r="253">
          <cell r="AH253">
            <v>10031</v>
          </cell>
          <cell r="AI253">
            <v>15</v>
          </cell>
          <cell r="AJ253">
            <v>4</v>
          </cell>
          <cell r="AK253">
            <v>0</v>
          </cell>
          <cell r="AL253">
            <v>1</v>
          </cell>
          <cell r="AM253">
            <v>0</v>
          </cell>
          <cell r="AN253">
            <v>3</v>
          </cell>
          <cell r="AO253">
            <v>0</v>
          </cell>
        </row>
        <row r="254">
          <cell r="AH254">
            <v>50015</v>
          </cell>
          <cell r="AI254">
            <v>17</v>
          </cell>
          <cell r="AJ254">
            <v>4</v>
          </cell>
          <cell r="AK254">
            <v>2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</row>
        <row r="255">
          <cell r="AH255">
            <v>50018</v>
          </cell>
          <cell r="AI255">
            <v>12</v>
          </cell>
          <cell r="AJ255">
            <v>4</v>
          </cell>
          <cell r="AK255">
            <v>1</v>
          </cell>
          <cell r="AL255">
            <v>0</v>
          </cell>
          <cell r="AM255">
            <v>0</v>
          </cell>
          <cell r="AN255">
            <v>6</v>
          </cell>
          <cell r="AO255">
            <v>0</v>
          </cell>
        </row>
        <row r="256">
          <cell r="AH256">
            <v>50038</v>
          </cell>
          <cell r="AI256">
            <v>15</v>
          </cell>
          <cell r="AJ256">
            <v>4</v>
          </cell>
          <cell r="AK256">
            <v>1</v>
          </cell>
          <cell r="AL256">
            <v>0</v>
          </cell>
          <cell r="AM256">
            <v>0</v>
          </cell>
          <cell r="AN256">
            <v>3</v>
          </cell>
          <cell r="AO256">
            <v>0</v>
          </cell>
        </row>
        <row r="257">
          <cell r="AH257">
            <v>50041</v>
          </cell>
          <cell r="AI257">
            <v>15</v>
          </cell>
          <cell r="AJ257">
            <v>4</v>
          </cell>
          <cell r="AK257">
            <v>1</v>
          </cell>
          <cell r="AL257">
            <v>0</v>
          </cell>
          <cell r="AM257">
            <v>0</v>
          </cell>
          <cell r="AN257">
            <v>3</v>
          </cell>
          <cell r="AO257">
            <v>0</v>
          </cell>
        </row>
        <row r="258">
          <cell r="AH258">
            <v>50586</v>
          </cell>
          <cell r="AI258">
            <v>12</v>
          </cell>
          <cell r="AJ258">
            <v>4</v>
          </cell>
          <cell r="AK258">
            <v>1</v>
          </cell>
          <cell r="AL258">
            <v>0</v>
          </cell>
          <cell r="AM258">
            <v>0</v>
          </cell>
          <cell r="AN258">
            <v>6</v>
          </cell>
          <cell r="AO258">
            <v>0</v>
          </cell>
        </row>
        <row r="259">
          <cell r="AH259">
            <v>50751</v>
          </cell>
          <cell r="AI259">
            <v>11</v>
          </cell>
          <cell r="AJ259">
            <v>4</v>
          </cell>
          <cell r="AK259">
            <v>1</v>
          </cell>
          <cell r="AL259">
            <v>0</v>
          </cell>
          <cell r="AM259">
            <v>0</v>
          </cell>
          <cell r="AN259">
            <v>7</v>
          </cell>
          <cell r="AO259">
            <v>0</v>
          </cell>
        </row>
        <row r="260">
          <cell r="AH260">
            <v>50601</v>
          </cell>
          <cell r="AI260">
            <v>15</v>
          </cell>
          <cell r="AJ260">
            <v>4</v>
          </cell>
          <cell r="AK260">
            <v>1</v>
          </cell>
          <cell r="AL260">
            <v>0</v>
          </cell>
          <cell r="AM260">
            <v>0</v>
          </cell>
          <cell r="AN260">
            <v>3</v>
          </cell>
          <cell r="AO260">
            <v>0</v>
          </cell>
        </row>
        <row r="261">
          <cell r="AH261">
            <v>50091</v>
          </cell>
          <cell r="AI261">
            <v>15</v>
          </cell>
          <cell r="AJ261">
            <v>4</v>
          </cell>
          <cell r="AK261">
            <v>1</v>
          </cell>
          <cell r="AL261">
            <v>0</v>
          </cell>
          <cell r="AM261">
            <v>0</v>
          </cell>
          <cell r="AN261">
            <v>3</v>
          </cell>
          <cell r="AO261">
            <v>0</v>
          </cell>
        </row>
        <row r="262">
          <cell r="AH262">
            <v>50105</v>
          </cell>
          <cell r="AI262">
            <v>15</v>
          </cell>
          <cell r="AJ262">
            <v>4</v>
          </cell>
          <cell r="AK262">
            <v>1</v>
          </cell>
          <cell r="AL262">
            <v>0</v>
          </cell>
          <cell r="AM262">
            <v>0</v>
          </cell>
          <cell r="AN262">
            <v>3</v>
          </cell>
          <cell r="AO262">
            <v>0</v>
          </cell>
        </row>
        <row r="263">
          <cell r="AH263">
            <v>50112</v>
          </cell>
          <cell r="AI263">
            <v>18</v>
          </cell>
          <cell r="AJ263">
            <v>4</v>
          </cell>
          <cell r="AK263">
            <v>1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</row>
        <row r="264">
          <cell r="AH264">
            <v>50145</v>
          </cell>
          <cell r="AI264">
            <v>18</v>
          </cell>
          <cell r="AJ264">
            <v>4</v>
          </cell>
          <cell r="AK264">
            <v>1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</row>
        <row r="265">
          <cell r="AH265">
            <v>50172</v>
          </cell>
          <cell r="AI265">
            <v>16</v>
          </cell>
          <cell r="AJ265">
            <v>4</v>
          </cell>
          <cell r="AK265">
            <v>1</v>
          </cell>
          <cell r="AL265">
            <v>0</v>
          </cell>
          <cell r="AM265">
            <v>0</v>
          </cell>
          <cell r="AN265">
            <v>2</v>
          </cell>
          <cell r="AO265">
            <v>0</v>
          </cell>
        </row>
        <row r="266">
          <cell r="AH266">
            <v>50220</v>
          </cell>
          <cell r="AI266">
            <v>14</v>
          </cell>
          <cell r="AJ266">
            <v>4</v>
          </cell>
          <cell r="AK266">
            <v>1</v>
          </cell>
          <cell r="AL266">
            <v>0</v>
          </cell>
          <cell r="AM266">
            <v>0</v>
          </cell>
          <cell r="AN266">
            <v>4</v>
          </cell>
          <cell r="AO266">
            <v>0</v>
          </cell>
        </row>
        <row r="267">
          <cell r="AH267">
            <v>50244</v>
          </cell>
          <cell r="AI267">
            <v>18</v>
          </cell>
          <cell r="AJ267">
            <v>4</v>
          </cell>
          <cell r="AK267">
            <v>1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</row>
        <row r="268">
          <cell r="AH268">
            <v>50639</v>
          </cell>
          <cell r="AI268">
            <v>17</v>
          </cell>
          <cell r="AJ268">
            <v>4</v>
          </cell>
          <cell r="AK268">
            <v>2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</row>
        <row r="269">
          <cell r="AH269">
            <v>50814</v>
          </cell>
          <cell r="AI269">
            <v>8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</row>
        <row r="270">
          <cell r="AH270">
            <v>50060</v>
          </cell>
          <cell r="AI270">
            <v>18</v>
          </cell>
          <cell r="AJ270">
            <v>4</v>
          </cell>
          <cell r="AK270">
            <v>1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</row>
        <row r="271">
          <cell r="AH271">
            <v>50079</v>
          </cell>
          <cell r="AI271">
            <v>17.5</v>
          </cell>
          <cell r="AJ271">
            <v>4</v>
          </cell>
          <cell r="AK271">
            <v>1.5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</row>
        <row r="272">
          <cell r="AH272">
            <v>50257</v>
          </cell>
          <cell r="AI272">
            <v>18</v>
          </cell>
          <cell r="AJ272">
            <v>4</v>
          </cell>
          <cell r="AK272">
            <v>1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</row>
        <row r="273">
          <cell r="AH273">
            <v>50393</v>
          </cell>
          <cell r="AI273">
            <v>15</v>
          </cell>
          <cell r="AJ273">
            <v>4</v>
          </cell>
          <cell r="AK273">
            <v>1</v>
          </cell>
          <cell r="AL273">
            <v>0</v>
          </cell>
          <cell r="AM273">
            <v>3</v>
          </cell>
          <cell r="AN273">
            <v>0</v>
          </cell>
          <cell r="AO273">
            <v>0</v>
          </cell>
        </row>
        <row r="274">
          <cell r="AH274">
            <v>50467</v>
          </cell>
          <cell r="AI274">
            <v>18</v>
          </cell>
          <cell r="AJ274">
            <v>4</v>
          </cell>
          <cell r="AK274">
            <v>1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</row>
        <row r="275">
          <cell r="AH275">
            <v>50511</v>
          </cell>
          <cell r="AI275">
            <v>18</v>
          </cell>
          <cell r="AJ275">
            <v>4</v>
          </cell>
          <cell r="AK275">
            <v>1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</row>
        <row r="276">
          <cell r="AH276">
            <v>50584</v>
          </cell>
          <cell r="AI276">
            <v>17</v>
          </cell>
          <cell r="AJ276">
            <v>4</v>
          </cell>
          <cell r="AK276">
            <v>1</v>
          </cell>
          <cell r="AL276">
            <v>0</v>
          </cell>
          <cell r="AM276">
            <v>0</v>
          </cell>
          <cell r="AN276">
            <v>1</v>
          </cell>
          <cell r="AO276">
            <v>0</v>
          </cell>
        </row>
        <row r="277">
          <cell r="AH277">
            <v>50719</v>
          </cell>
          <cell r="AI277">
            <v>18</v>
          </cell>
          <cell r="AJ277">
            <v>4</v>
          </cell>
          <cell r="AK277">
            <v>1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</row>
        <row r="278">
          <cell r="AH278">
            <v>50761</v>
          </cell>
          <cell r="AI278">
            <v>17</v>
          </cell>
          <cell r="AJ278">
            <v>4</v>
          </cell>
          <cell r="AK278">
            <v>0</v>
          </cell>
          <cell r="AL278">
            <v>2</v>
          </cell>
          <cell r="AM278">
            <v>0</v>
          </cell>
          <cell r="AN278">
            <v>0</v>
          </cell>
          <cell r="AO278">
            <v>0</v>
          </cell>
        </row>
        <row r="279">
          <cell r="AH279">
            <v>50771</v>
          </cell>
          <cell r="AI279">
            <v>10.5</v>
          </cell>
          <cell r="AJ279">
            <v>0</v>
          </cell>
          <cell r="AK279">
            <v>0</v>
          </cell>
          <cell r="AL279">
            <v>1</v>
          </cell>
          <cell r="AM279">
            <v>0</v>
          </cell>
          <cell r="AN279">
            <v>4</v>
          </cell>
          <cell r="AO279">
            <v>0</v>
          </cell>
        </row>
        <row r="280">
          <cell r="AH280">
            <v>50775</v>
          </cell>
          <cell r="AI280">
            <v>15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</row>
        <row r="281">
          <cell r="AH281">
            <v>50785</v>
          </cell>
          <cell r="AI281">
            <v>12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</row>
        <row r="282">
          <cell r="AH282">
            <v>50813</v>
          </cell>
          <cell r="AI282">
            <v>5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</row>
        <row r="283">
          <cell r="AH283">
            <v>50816</v>
          </cell>
          <cell r="AI283">
            <v>3</v>
          </cell>
          <cell r="AJ283">
            <v>0</v>
          </cell>
          <cell r="AK283">
            <v>0</v>
          </cell>
          <cell r="AL283">
            <v>1</v>
          </cell>
          <cell r="AM283">
            <v>0</v>
          </cell>
          <cell r="AN283">
            <v>0</v>
          </cell>
          <cell r="AO283">
            <v>0</v>
          </cell>
        </row>
        <row r="284">
          <cell r="AH284">
            <v>50817</v>
          </cell>
          <cell r="AI284">
            <v>3.5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</row>
        <row r="285">
          <cell r="AH285">
            <v>50311</v>
          </cell>
          <cell r="AI285">
            <v>18</v>
          </cell>
          <cell r="AJ285">
            <v>4</v>
          </cell>
          <cell r="AK285">
            <v>1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</row>
        <row r="286">
          <cell r="AH286">
            <v>50312</v>
          </cell>
          <cell r="AI286">
            <v>18</v>
          </cell>
          <cell r="AJ286">
            <v>4</v>
          </cell>
          <cell r="AK286">
            <v>1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</row>
        <row r="287">
          <cell r="AH287">
            <v>50417</v>
          </cell>
          <cell r="AI287">
            <v>18</v>
          </cell>
          <cell r="AJ287">
            <v>4</v>
          </cell>
          <cell r="AK287">
            <v>1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</row>
        <row r="288">
          <cell r="AH288">
            <v>50659</v>
          </cell>
          <cell r="AI288">
            <v>12</v>
          </cell>
          <cell r="AJ288">
            <v>4</v>
          </cell>
          <cell r="AK288">
            <v>1</v>
          </cell>
          <cell r="AL288">
            <v>0</v>
          </cell>
          <cell r="AM288">
            <v>0</v>
          </cell>
          <cell r="AN288">
            <v>6</v>
          </cell>
          <cell r="AO288">
            <v>0</v>
          </cell>
        </row>
        <row r="289">
          <cell r="AH289">
            <v>50169</v>
          </cell>
          <cell r="AI289">
            <v>18</v>
          </cell>
          <cell r="AJ289">
            <v>4</v>
          </cell>
          <cell r="AK289">
            <v>1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</row>
        <row r="290">
          <cell r="AH290">
            <v>50524</v>
          </cell>
          <cell r="AI290">
            <v>18</v>
          </cell>
          <cell r="AJ290">
            <v>4</v>
          </cell>
          <cell r="AK290">
            <v>1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</row>
        <row r="291">
          <cell r="AH291">
            <v>50767</v>
          </cell>
          <cell r="AI291">
            <v>17</v>
          </cell>
          <cell r="AJ291">
            <v>4</v>
          </cell>
          <cell r="AK291">
            <v>0</v>
          </cell>
          <cell r="AL291">
            <v>2</v>
          </cell>
          <cell r="AM291">
            <v>0</v>
          </cell>
          <cell r="AN291">
            <v>0</v>
          </cell>
          <cell r="AO291">
            <v>0</v>
          </cell>
        </row>
        <row r="292">
          <cell r="AH292">
            <v>50071</v>
          </cell>
          <cell r="AI292">
            <v>17.5</v>
          </cell>
          <cell r="AJ292">
            <v>4</v>
          </cell>
          <cell r="AK292">
            <v>1.5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</row>
        <row r="293">
          <cell r="AH293">
            <v>50098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</row>
        <row r="294">
          <cell r="AH294">
            <v>50107</v>
          </cell>
          <cell r="AI294">
            <v>18</v>
          </cell>
          <cell r="AJ294">
            <v>4</v>
          </cell>
          <cell r="AK294">
            <v>1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</row>
        <row r="295">
          <cell r="AH295">
            <v>50144</v>
          </cell>
          <cell r="AI295">
            <v>17</v>
          </cell>
          <cell r="AJ295">
            <v>4</v>
          </cell>
          <cell r="AK295">
            <v>2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</row>
        <row r="296">
          <cell r="AH296">
            <v>50147</v>
          </cell>
          <cell r="AI296">
            <v>15</v>
          </cell>
          <cell r="AJ296">
            <v>4</v>
          </cell>
          <cell r="AK296">
            <v>1</v>
          </cell>
          <cell r="AL296">
            <v>0</v>
          </cell>
          <cell r="AM296">
            <v>0</v>
          </cell>
          <cell r="AN296">
            <v>3</v>
          </cell>
          <cell r="AO296">
            <v>0</v>
          </cell>
        </row>
        <row r="297">
          <cell r="AH297">
            <v>50153</v>
          </cell>
          <cell r="AI297">
            <v>18</v>
          </cell>
          <cell r="AJ297">
            <v>4</v>
          </cell>
          <cell r="AK297">
            <v>1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</row>
        <row r="298">
          <cell r="AH298">
            <v>50162</v>
          </cell>
          <cell r="AI298">
            <v>18</v>
          </cell>
          <cell r="AJ298">
            <v>4</v>
          </cell>
          <cell r="AK298">
            <v>1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</row>
        <row r="299">
          <cell r="AH299">
            <v>50168</v>
          </cell>
          <cell r="AI299">
            <v>18</v>
          </cell>
          <cell r="AJ299">
            <v>4</v>
          </cell>
          <cell r="AK299">
            <v>1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</row>
        <row r="300">
          <cell r="AH300">
            <v>50359</v>
          </cell>
          <cell r="AI300">
            <v>17.5</v>
          </cell>
          <cell r="AJ300">
            <v>4</v>
          </cell>
          <cell r="AK300">
            <v>1.5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</row>
        <row r="301">
          <cell r="AH301">
            <v>50346</v>
          </cell>
          <cell r="AI301">
            <v>15</v>
          </cell>
          <cell r="AJ301">
            <v>4</v>
          </cell>
          <cell r="AK301">
            <v>1</v>
          </cell>
          <cell r="AL301">
            <v>0</v>
          </cell>
          <cell r="AM301">
            <v>0</v>
          </cell>
          <cell r="AN301">
            <v>3</v>
          </cell>
          <cell r="AO301">
            <v>0</v>
          </cell>
        </row>
        <row r="302">
          <cell r="AH302">
            <v>50366</v>
          </cell>
          <cell r="AI302">
            <v>17.5</v>
          </cell>
          <cell r="AJ302">
            <v>4</v>
          </cell>
          <cell r="AK302">
            <v>1.5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</row>
        <row r="303">
          <cell r="AH303">
            <v>50377</v>
          </cell>
          <cell r="AI303">
            <v>18</v>
          </cell>
          <cell r="AJ303">
            <v>4</v>
          </cell>
          <cell r="AK303">
            <v>1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</row>
        <row r="304">
          <cell r="AH304">
            <v>50380</v>
          </cell>
          <cell r="AI304">
            <v>18</v>
          </cell>
          <cell r="AJ304">
            <v>4</v>
          </cell>
          <cell r="AK304">
            <v>1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</row>
        <row r="305">
          <cell r="AH305">
            <v>50381</v>
          </cell>
          <cell r="AI305">
            <v>17.5</v>
          </cell>
          <cell r="AJ305">
            <v>4</v>
          </cell>
          <cell r="AK305">
            <v>1.5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</row>
        <row r="306">
          <cell r="AH306">
            <v>50383</v>
          </cell>
          <cell r="AI306">
            <v>18</v>
          </cell>
          <cell r="AJ306">
            <v>4</v>
          </cell>
          <cell r="AK306">
            <v>1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</row>
        <row r="307">
          <cell r="AH307">
            <v>50392</v>
          </cell>
          <cell r="AI307">
            <v>17.5</v>
          </cell>
          <cell r="AJ307">
            <v>4</v>
          </cell>
          <cell r="AK307">
            <v>1.5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</row>
        <row r="308">
          <cell r="AH308">
            <v>50642</v>
          </cell>
          <cell r="AI308">
            <v>18</v>
          </cell>
          <cell r="AJ308">
            <v>4</v>
          </cell>
          <cell r="AK308">
            <v>1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</row>
        <row r="309">
          <cell r="AH309">
            <v>50791</v>
          </cell>
          <cell r="AI309">
            <v>11</v>
          </cell>
          <cell r="AJ309">
            <v>0</v>
          </cell>
          <cell r="AK309">
            <v>0</v>
          </cell>
          <cell r="AL309">
            <v>1</v>
          </cell>
          <cell r="AM309">
            <v>0</v>
          </cell>
          <cell r="AN309">
            <v>0</v>
          </cell>
          <cell r="AO309">
            <v>0</v>
          </cell>
        </row>
        <row r="310">
          <cell r="AH310">
            <v>10049</v>
          </cell>
          <cell r="AI310">
            <v>18</v>
          </cell>
          <cell r="AJ310">
            <v>4</v>
          </cell>
          <cell r="AK310">
            <v>0</v>
          </cell>
          <cell r="AL310">
            <v>1</v>
          </cell>
          <cell r="AM310">
            <v>0</v>
          </cell>
          <cell r="AN310">
            <v>0</v>
          </cell>
          <cell r="AO310">
            <v>0</v>
          </cell>
        </row>
        <row r="311">
          <cell r="AH311">
            <v>50008</v>
          </cell>
          <cell r="AI311">
            <v>18</v>
          </cell>
          <cell r="AJ311">
            <v>4</v>
          </cell>
          <cell r="AK311">
            <v>1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</row>
        <row r="312">
          <cell r="AH312">
            <v>50022</v>
          </cell>
          <cell r="AI312">
            <v>16</v>
          </cell>
          <cell r="AJ312">
            <v>4</v>
          </cell>
          <cell r="AK312">
            <v>1</v>
          </cell>
          <cell r="AL312">
            <v>0</v>
          </cell>
          <cell r="AM312">
            <v>0</v>
          </cell>
          <cell r="AN312">
            <v>2</v>
          </cell>
          <cell r="AO312">
            <v>0</v>
          </cell>
        </row>
        <row r="313">
          <cell r="AH313">
            <v>50033</v>
          </cell>
          <cell r="AI313">
            <v>18</v>
          </cell>
          <cell r="AJ313">
            <v>4</v>
          </cell>
          <cell r="AK313">
            <v>1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</row>
        <row r="314">
          <cell r="AH314">
            <v>50039</v>
          </cell>
          <cell r="AI314">
            <v>15</v>
          </cell>
          <cell r="AJ314">
            <v>4</v>
          </cell>
          <cell r="AK314">
            <v>1</v>
          </cell>
          <cell r="AL314">
            <v>0</v>
          </cell>
          <cell r="AM314">
            <v>0</v>
          </cell>
          <cell r="AN314">
            <v>3</v>
          </cell>
          <cell r="AO314">
            <v>0</v>
          </cell>
        </row>
        <row r="315">
          <cell r="AH315">
            <v>50043</v>
          </cell>
          <cell r="AI315">
            <v>18</v>
          </cell>
          <cell r="AJ315">
            <v>4</v>
          </cell>
          <cell r="AK315">
            <v>1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</row>
        <row r="316">
          <cell r="AH316">
            <v>50121</v>
          </cell>
          <cell r="AI316">
            <v>17</v>
          </cell>
          <cell r="AJ316">
            <v>4</v>
          </cell>
          <cell r="AK316">
            <v>2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</row>
        <row r="317">
          <cell r="AH317">
            <v>50124</v>
          </cell>
          <cell r="AI317">
            <v>12</v>
          </cell>
          <cell r="AJ317">
            <v>4</v>
          </cell>
          <cell r="AK317">
            <v>1</v>
          </cell>
          <cell r="AL317">
            <v>0</v>
          </cell>
          <cell r="AM317">
            <v>0</v>
          </cell>
          <cell r="AN317">
            <v>6</v>
          </cell>
          <cell r="AO317">
            <v>0</v>
          </cell>
        </row>
        <row r="318">
          <cell r="AH318">
            <v>50130</v>
          </cell>
          <cell r="AI318">
            <v>18</v>
          </cell>
          <cell r="AJ318">
            <v>4</v>
          </cell>
          <cell r="AK318">
            <v>1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</row>
        <row r="319">
          <cell r="AH319">
            <v>50185</v>
          </cell>
          <cell r="AI319">
            <v>18</v>
          </cell>
          <cell r="AJ319">
            <v>4</v>
          </cell>
          <cell r="AK319">
            <v>1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</row>
        <row r="320">
          <cell r="AH320">
            <v>50191</v>
          </cell>
          <cell r="AI320">
            <v>18</v>
          </cell>
          <cell r="AJ320">
            <v>4</v>
          </cell>
          <cell r="AK320">
            <v>1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</row>
        <row r="321">
          <cell r="AH321">
            <v>50266</v>
          </cell>
          <cell r="AI321">
            <v>12.5</v>
          </cell>
          <cell r="AJ321">
            <v>4</v>
          </cell>
          <cell r="AK321">
            <v>2.5</v>
          </cell>
          <cell r="AL321">
            <v>0</v>
          </cell>
          <cell r="AM321">
            <v>0</v>
          </cell>
          <cell r="AN321">
            <v>4</v>
          </cell>
          <cell r="AO321">
            <v>0</v>
          </cell>
        </row>
        <row r="322">
          <cell r="AH322">
            <v>50272</v>
          </cell>
          <cell r="AI322">
            <v>14</v>
          </cell>
          <cell r="AJ322">
            <v>4</v>
          </cell>
          <cell r="AK322">
            <v>2</v>
          </cell>
          <cell r="AL322">
            <v>0</v>
          </cell>
          <cell r="AM322">
            <v>0</v>
          </cell>
          <cell r="AN322">
            <v>3</v>
          </cell>
          <cell r="AO322">
            <v>0</v>
          </cell>
        </row>
        <row r="323">
          <cell r="AH323">
            <v>50319</v>
          </cell>
          <cell r="AI323">
            <v>18</v>
          </cell>
          <cell r="AJ323">
            <v>4</v>
          </cell>
          <cell r="AK323">
            <v>1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</row>
        <row r="324">
          <cell r="AH324">
            <v>50338</v>
          </cell>
          <cell r="AI324">
            <v>18</v>
          </cell>
          <cell r="AJ324">
            <v>4</v>
          </cell>
          <cell r="AK324">
            <v>1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</row>
        <row r="325">
          <cell r="AH325">
            <v>50353</v>
          </cell>
          <cell r="AI325">
            <v>14</v>
          </cell>
          <cell r="AJ325">
            <v>4</v>
          </cell>
          <cell r="AK325">
            <v>2</v>
          </cell>
          <cell r="AL325">
            <v>0</v>
          </cell>
          <cell r="AM325">
            <v>0</v>
          </cell>
          <cell r="AN325">
            <v>3</v>
          </cell>
          <cell r="AO325">
            <v>0</v>
          </cell>
        </row>
        <row r="326">
          <cell r="AH326">
            <v>50386</v>
          </cell>
          <cell r="AI326">
            <v>18</v>
          </cell>
          <cell r="AJ326">
            <v>4</v>
          </cell>
          <cell r="AK326">
            <v>1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</row>
        <row r="327">
          <cell r="AH327">
            <v>50389</v>
          </cell>
          <cell r="AI327">
            <v>18</v>
          </cell>
          <cell r="AJ327">
            <v>4</v>
          </cell>
          <cell r="AK327">
            <v>1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</row>
        <row r="328">
          <cell r="AH328">
            <v>50423</v>
          </cell>
          <cell r="AI328">
            <v>15</v>
          </cell>
          <cell r="AJ328">
            <v>4</v>
          </cell>
          <cell r="AK328">
            <v>2</v>
          </cell>
          <cell r="AL328">
            <v>0</v>
          </cell>
          <cell r="AM328">
            <v>0</v>
          </cell>
          <cell r="AN328">
            <v>2</v>
          </cell>
          <cell r="AO328">
            <v>0</v>
          </cell>
        </row>
        <row r="329">
          <cell r="AH329">
            <v>50455</v>
          </cell>
          <cell r="AI329">
            <v>18</v>
          </cell>
          <cell r="AJ329">
            <v>4</v>
          </cell>
          <cell r="AK329">
            <v>1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</row>
        <row r="330">
          <cell r="AH330">
            <v>50486</v>
          </cell>
          <cell r="AI330">
            <v>17</v>
          </cell>
          <cell r="AJ330">
            <v>4</v>
          </cell>
          <cell r="AK330">
            <v>2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</row>
        <row r="331">
          <cell r="AH331">
            <v>50518</v>
          </cell>
          <cell r="AI331">
            <v>18</v>
          </cell>
          <cell r="AJ331">
            <v>4</v>
          </cell>
          <cell r="AK331">
            <v>1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</row>
        <row r="332">
          <cell r="AH332">
            <v>50544</v>
          </cell>
          <cell r="AI332">
            <v>14</v>
          </cell>
          <cell r="AJ332">
            <v>4</v>
          </cell>
          <cell r="AK332">
            <v>2</v>
          </cell>
          <cell r="AL332">
            <v>0</v>
          </cell>
          <cell r="AM332">
            <v>0</v>
          </cell>
          <cell r="AN332">
            <v>3</v>
          </cell>
          <cell r="AO332">
            <v>0</v>
          </cell>
        </row>
        <row r="333">
          <cell r="AH333">
            <v>50640</v>
          </cell>
          <cell r="AI333">
            <v>18</v>
          </cell>
          <cell r="AJ333">
            <v>4</v>
          </cell>
          <cell r="AK333">
            <v>1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</row>
        <row r="334">
          <cell r="AH334">
            <v>50688</v>
          </cell>
          <cell r="AI334">
            <v>17</v>
          </cell>
          <cell r="AJ334">
            <v>4</v>
          </cell>
          <cell r="AK334">
            <v>1</v>
          </cell>
          <cell r="AL334">
            <v>0</v>
          </cell>
          <cell r="AM334">
            <v>0</v>
          </cell>
          <cell r="AN334">
            <v>1</v>
          </cell>
          <cell r="AO334">
            <v>0</v>
          </cell>
        </row>
        <row r="335">
          <cell r="AH335">
            <v>50689</v>
          </cell>
          <cell r="AI335">
            <v>18</v>
          </cell>
          <cell r="AJ335">
            <v>4</v>
          </cell>
          <cell r="AK335">
            <v>1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</row>
        <row r="336">
          <cell r="AH336">
            <v>50725</v>
          </cell>
          <cell r="AI336">
            <v>18</v>
          </cell>
          <cell r="AJ336">
            <v>4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</row>
        <row r="337">
          <cell r="AH337">
            <v>50010</v>
          </cell>
          <cell r="AI337">
            <v>12</v>
          </cell>
          <cell r="AJ337">
            <v>4</v>
          </cell>
          <cell r="AK337">
            <v>1</v>
          </cell>
          <cell r="AL337">
            <v>0</v>
          </cell>
          <cell r="AM337">
            <v>0</v>
          </cell>
          <cell r="AN337">
            <v>6</v>
          </cell>
          <cell r="AO337">
            <v>0</v>
          </cell>
        </row>
        <row r="338">
          <cell r="AH338">
            <v>50016</v>
          </cell>
          <cell r="AI338">
            <v>18</v>
          </cell>
          <cell r="AJ338">
            <v>4</v>
          </cell>
          <cell r="AK338">
            <v>1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</row>
        <row r="339">
          <cell r="AH339">
            <v>50044</v>
          </cell>
          <cell r="AI339">
            <v>18</v>
          </cell>
          <cell r="AJ339">
            <v>4</v>
          </cell>
          <cell r="AK339">
            <v>1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</row>
        <row r="340">
          <cell r="AH340">
            <v>50047</v>
          </cell>
          <cell r="AI340">
            <v>18</v>
          </cell>
          <cell r="AJ340">
            <v>4</v>
          </cell>
          <cell r="AK340">
            <v>1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</row>
        <row r="341">
          <cell r="AH341">
            <v>50282</v>
          </cell>
          <cell r="AI341">
            <v>18</v>
          </cell>
          <cell r="AJ341">
            <v>4</v>
          </cell>
          <cell r="AK341">
            <v>1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</row>
        <row r="342">
          <cell r="AH342">
            <v>50288</v>
          </cell>
          <cell r="AI342">
            <v>15</v>
          </cell>
          <cell r="AJ342">
            <v>4</v>
          </cell>
          <cell r="AK342">
            <v>1</v>
          </cell>
          <cell r="AL342">
            <v>0</v>
          </cell>
          <cell r="AM342">
            <v>0</v>
          </cell>
          <cell r="AN342">
            <v>3</v>
          </cell>
          <cell r="AO342">
            <v>0</v>
          </cell>
        </row>
        <row r="343">
          <cell r="AH343">
            <v>50372</v>
          </cell>
          <cell r="AI343">
            <v>12</v>
          </cell>
          <cell r="AJ343">
            <v>4</v>
          </cell>
          <cell r="AK343">
            <v>4</v>
          </cell>
          <cell r="AL343">
            <v>0</v>
          </cell>
          <cell r="AM343">
            <v>0</v>
          </cell>
          <cell r="AN343">
            <v>3</v>
          </cell>
          <cell r="AO343">
            <v>0</v>
          </cell>
        </row>
        <row r="344">
          <cell r="AH344">
            <v>50374</v>
          </cell>
          <cell r="AI344">
            <v>15</v>
          </cell>
          <cell r="AJ344">
            <v>4</v>
          </cell>
          <cell r="AK344">
            <v>1</v>
          </cell>
          <cell r="AL344">
            <v>0</v>
          </cell>
          <cell r="AM344">
            <v>0</v>
          </cell>
          <cell r="AN344">
            <v>3</v>
          </cell>
          <cell r="AO344">
            <v>0</v>
          </cell>
        </row>
        <row r="345">
          <cell r="AH345">
            <v>50376</v>
          </cell>
          <cell r="AI345">
            <v>16.5</v>
          </cell>
          <cell r="AJ345">
            <v>4</v>
          </cell>
          <cell r="AK345">
            <v>2.5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</row>
        <row r="346">
          <cell r="AH346">
            <v>50378</v>
          </cell>
          <cell r="AI346">
            <v>6.5</v>
          </cell>
          <cell r="AJ346">
            <v>4</v>
          </cell>
          <cell r="AK346">
            <v>1.5</v>
          </cell>
          <cell r="AL346">
            <v>0</v>
          </cell>
          <cell r="AM346">
            <v>0</v>
          </cell>
          <cell r="AN346">
            <v>8</v>
          </cell>
          <cell r="AO346">
            <v>0</v>
          </cell>
        </row>
        <row r="347">
          <cell r="AH347">
            <v>50446</v>
          </cell>
          <cell r="AI347">
            <v>15.5</v>
          </cell>
          <cell r="AJ347">
            <v>4</v>
          </cell>
          <cell r="AK347">
            <v>1.5</v>
          </cell>
          <cell r="AL347">
            <v>0</v>
          </cell>
          <cell r="AM347">
            <v>0</v>
          </cell>
          <cell r="AN347">
            <v>2</v>
          </cell>
          <cell r="AO347">
            <v>0</v>
          </cell>
        </row>
        <row r="348">
          <cell r="AH348">
            <v>50459</v>
          </cell>
          <cell r="AI348">
            <v>15</v>
          </cell>
          <cell r="AJ348">
            <v>4</v>
          </cell>
          <cell r="AK348">
            <v>2</v>
          </cell>
          <cell r="AL348">
            <v>0</v>
          </cell>
          <cell r="AM348">
            <v>0</v>
          </cell>
          <cell r="AN348">
            <v>2</v>
          </cell>
          <cell r="AO348">
            <v>0</v>
          </cell>
        </row>
        <row r="349">
          <cell r="AH349">
            <v>50495</v>
          </cell>
          <cell r="AI349">
            <v>17.5</v>
          </cell>
          <cell r="AJ349">
            <v>4</v>
          </cell>
          <cell r="AK349">
            <v>1.5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</row>
        <row r="350">
          <cell r="AH350">
            <v>50564</v>
          </cell>
          <cell r="AI350">
            <v>18</v>
          </cell>
          <cell r="AJ350">
            <v>4</v>
          </cell>
          <cell r="AK350">
            <v>1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</row>
        <row r="351">
          <cell r="AH351">
            <v>50641</v>
          </cell>
          <cell r="AI351">
            <v>16</v>
          </cell>
          <cell r="AJ351">
            <v>4</v>
          </cell>
          <cell r="AK351">
            <v>2</v>
          </cell>
          <cell r="AL351">
            <v>0</v>
          </cell>
          <cell r="AM351">
            <v>0</v>
          </cell>
          <cell r="AN351">
            <v>1</v>
          </cell>
          <cell r="AO351">
            <v>0</v>
          </cell>
        </row>
        <row r="352">
          <cell r="AH352">
            <v>50772</v>
          </cell>
          <cell r="AI352">
            <v>16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</row>
        <row r="353">
          <cell r="AH353">
            <v>50799</v>
          </cell>
          <cell r="AI353">
            <v>5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1</v>
          </cell>
          <cell r="AO353">
            <v>0</v>
          </cell>
        </row>
        <row r="354">
          <cell r="AH354">
            <v>50184</v>
          </cell>
          <cell r="AI354">
            <v>18</v>
          </cell>
          <cell r="AJ354">
            <v>4</v>
          </cell>
          <cell r="AK354">
            <v>1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</row>
        <row r="355">
          <cell r="AH355">
            <v>50631</v>
          </cell>
          <cell r="AI355">
            <v>18</v>
          </cell>
          <cell r="AJ355">
            <v>4</v>
          </cell>
          <cell r="AK355">
            <v>1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</row>
        <row r="356">
          <cell r="AH356">
            <v>50655</v>
          </cell>
          <cell r="AI356">
            <v>17</v>
          </cell>
          <cell r="AJ356">
            <v>4</v>
          </cell>
          <cell r="AK356">
            <v>1</v>
          </cell>
          <cell r="AL356">
            <v>0</v>
          </cell>
          <cell r="AM356">
            <v>0</v>
          </cell>
          <cell r="AN356">
            <v>1</v>
          </cell>
          <cell r="AO356">
            <v>0</v>
          </cell>
        </row>
        <row r="357">
          <cell r="AH357">
            <v>50656</v>
          </cell>
          <cell r="AI357">
            <v>14</v>
          </cell>
          <cell r="AJ357">
            <v>4</v>
          </cell>
          <cell r="AK357">
            <v>5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</row>
        <row r="358">
          <cell r="AH358">
            <v>50658</v>
          </cell>
          <cell r="AI358">
            <v>18</v>
          </cell>
          <cell r="AJ358">
            <v>4</v>
          </cell>
          <cell r="AK358">
            <v>0</v>
          </cell>
          <cell r="AL358">
            <v>1</v>
          </cell>
          <cell r="AM358">
            <v>0</v>
          </cell>
          <cell r="AN358">
            <v>0</v>
          </cell>
          <cell r="AO358">
            <v>0</v>
          </cell>
        </row>
        <row r="359">
          <cell r="AH359">
            <v>50744</v>
          </cell>
          <cell r="AI359">
            <v>9</v>
          </cell>
          <cell r="AJ359">
            <v>4</v>
          </cell>
          <cell r="AK359">
            <v>0</v>
          </cell>
          <cell r="AL359">
            <v>1</v>
          </cell>
          <cell r="AM359">
            <v>0</v>
          </cell>
          <cell r="AN359">
            <v>0</v>
          </cell>
          <cell r="AO359">
            <v>0</v>
          </cell>
        </row>
        <row r="360">
          <cell r="AH360">
            <v>50762</v>
          </cell>
          <cell r="AI360">
            <v>18</v>
          </cell>
          <cell r="AJ360">
            <v>4</v>
          </cell>
          <cell r="AK360">
            <v>0</v>
          </cell>
          <cell r="AL360">
            <v>1</v>
          </cell>
          <cell r="AM360">
            <v>0</v>
          </cell>
          <cell r="AN360">
            <v>0</v>
          </cell>
          <cell r="AO360">
            <v>0</v>
          </cell>
        </row>
        <row r="361">
          <cell r="AH361">
            <v>50764</v>
          </cell>
          <cell r="AI361">
            <v>12</v>
          </cell>
          <cell r="AJ361">
            <v>4</v>
          </cell>
          <cell r="AK361">
            <v>0</v>
          </cell>
          <cell r="AL361">
            <v>7</v>
          </cell>
          <cell r="AM361">
            <v>0</v>
          </cell>
          <cell r="AN361">
            <v>0</v>
          </cell>
          <cell r="AO361">
            <v>0</v>
          </cell>
        </row>
        <row r="362">
          <cell r="AH362">
            <v>50781</v>
          </cell>
          <cell r="AI362">
            <v>14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</row>
        <row r="363">
          <cell r="AH363">
            <v>50792</v>
          </cell>
          <cell r="AI363">
            <v>12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</row>
        <row r="364">
          <cell r="AH364">
            <v>50793</v>
          </cell>
          <cell r="AI364">
            <v>12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</row>
        <row r="365">
          <cell r="AH365">
            <v>50794</v>
          </cell>
          <cell r="AI365">
            <v>12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</row>
        <row r="366">
          <cell r="AH366">
            <v>50822</v>
          </cell>
          <cell r="AI366">
            <v>5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</row>
        <row r="367">
          <cell r="AH367">
            <v>50828</v>
          </cell>
          <cell r="AI367">
            <v>8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</row>
        <row r="368">
          <cell r="AH368">
            <v>50060</v>
          </cell>
          <cell r="AI368">
            <v>14.5</v>
          </cell>
          <cell r="AJ368">
            <v>4</v>
          </cell>
          <cell r="AK368">
            <v>1</v>
          </cell>
          <cell r="AL368">
            <v>0</v>
          </cell>
          <cell r="AM368">
            <v>0</v>
          </cell>
          <cell r="AN368">
            <v>4</v>
          </cell>
          <cell r="AO368">
            <v>0</v>
          </cell>
        </row>
        <row r="369">
          <cell r="AH369">
            <v>50079</v>
          </cell>
          <cell r="AI369">
            <v>15</v>
          </cell>
          <cell r="AJ369">
            <v>4</v>
          </cell>
          <cell r="AK369">
            <v>1</v>
          </cell>
          <cell r="AL369">
            <v>0</v>
          </cell>
          <cell r="AM369">
            <v>0</v>
          </cell>
          <cell r="AN369">
            <v>4</v>
          </cell>
          <cell r="AO369">
            <v>0</v>
          </cell>
        </row>
        <row r="370">
          <cell r="AH370">
            <v>50257</v>
          </cell>
          <cell r="AI370">
            <v>18</v>
          </cell>
          <cell r="AJ370">
            <v>4</v>
          </cell>
          <cell r="AK370">
            <v>2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</row>
        <row r="371">
          <cell r="AH371">
            <v>50393</v>
          </cell>
          <cell r="AI371">
            <v>12</v>
          </cell>
          <cell r="AJ371">
            <v>4</v>
          </cell>
          <cell r="AK371">
            <v>1</v>
          </cell>
          <cell r="AL371">
            <v>0</v>
          </cell>
          <cell r="AM371">
            <v>0</v>
          </cell>
          <cell r="AN371">
            <v>7</v>
          </cell>
          <cell r="AO371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D"/>
      <sheetName val="S&amp;D (2)"/>
      <sheetName val="Lop 1"/>
      <sheetName val="Lớp 2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T13"/>
      <sheetName val="Cắt"/>
      <sheetName val="HT"/>
      <sheetName val="K.hoá"/>
      <sheetName val="In"/>
      <sheetName val="Cơ điên"/>
      <sheetName val="K.thuật"/>
      <sheetName val="K.hoạch"/>
      <sheetName val="VP"/>
      <sheetName val="Bếp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7">
          <cell r="C7">
            <v>50011</v>
          </cell>
          <cell r="E7">
            <v>43983</v>
          </cell>
          <cell r="F7" t="str">
            <v>LT</v>
          </cell>
          <cell r="G7" t="str">
            <v>LT</v>
          </cell>
          <cell r="H7" t="str">
            <v>LT</v>
          </cell>
          <cell r="I7" t="str">
            <v>LT</v>
          </cell>
          <cell r="J7" t="str">
            <v>F</v>
          </cell>
          <cell r="L7">
            <v>1</v>
          </cell>
          <cell r="M7">
            <v>2</v>
          </cell>
          <cell r="N7">
            <v>2</v>
          </cell>
          <cell r="O7">
            <v>2</v>
          </cell>
          <cell r="P7">
            <v>2</v>
          </cell>
          <cell r="Q7">
            <v>2</v>
          </cell>
          <cell r="S7">
            <v>2</v>
          </cell>
          <cell r="T7">
            <v>1.5</v>
          </cell>
          <cell r="U7">
            <v>1.5</v>
          </cell>
          <cell r="V7">
            <v>1.5</v>
          </cell>
          <cell r="W7">
            <v>1.5</v>
          </cell>
          <cell r="X7">
            <v>1.5</v>
          </cell>
          <cell r="Z7">
            <v>1.5</v>
          </cell>
          <cell r="AA7">
            <v>1.5</v>
          </cell>
          <cell r="AB7" t="str">
            <v>Ô</v>
          </cell>
          <cell r="AD7" t="str">
            <v>Ô</v>
          </cell>
          <cell r="AE7" t="str">
            <v>Ô</v>
          </cell>
          <cell r="AG7" t="str">
            <v>Ô</v>
          </cell>
          <cell r="AH7">
            <v>23.5</v>
          </cell>
        </row>
        <row r="8">
          <cell r="C8">
            <v>50024</v>
          </cell>
          <cell r="E8">
            <v>43983</v>
          </cell>
          <cell r="F8" t="str">
            <v>LT</v>
          </cell>
          <cell r="G8" t="str">
            <v>LT</v>
          </cell>
          <cell r="H8" t="str">
            <v>LT</v>
          </cell>
          <cell r="I8" t="str">
            <v>LT</v>
          </cell>
          <cell r="J8" t="str">
            <v>F</v>
          </cell>
          <cell r="L8">
            <v>1</v>
          </cell>
          <cell r="M8">
            <v>2</v>
          </cell>
          <cell r="N8">
            <v>2</v>
          </cell>
          <cell r="O8">
            <v>2</v>
          </cell>
          <cell r="P8">
            <v>2</v>
          </cell>
          <cell r="Q8">
            <v>2</v>
          </cell>
          <cell r="S8">
            <v>2</v>
          </cell>
          <cell r="T8">
            <v>1.5</v>
          </cell>
          <cell r="U8">
            <v>1.5</v>
          </cell>
          <cell r="V8">
            <v>1.5</v>
          </cell>
          <cell r="W8">
            <v>1.5</v>
          </cell>
          <cell r="X8">
            <v>1.5</v>
          </cell>
          <cell r="Z8">
            <v>0</v>
          </cell>
          <cell r="AA8">
            <v>1.5</v>
          </cell>
          <cell r="AB8">
            <v>1.5</v>
          </cell>
          <cell r="AD8">
            <v>1.5</v>
          </cell>
          <cell r="AE8" t="str">
            <v>F</v>
          </cell>
          <cell r="AG8">
            <v>2</v>
          </cell>
          <cell r="AH8">
            <v>27</v>
          </cell>
        </row>
        <row r="9">
          <cell r="C9">
            <v>50035</v>
          </cell>
          <cell r="E9">
            <v>43983</v>
          </cell>
          <cell r="F9" t="str">
            <v>LT</v>
          </cell>
          <cell r="G9" t="str">
            <v>LT</v>
          </cell>
          <cell r="H9" t="str">
            <v>LT</v>
          </cell>
          <cell r="I9" t="str">
            <v>LT</v>
          </cell>
          <cell r="J9" t="str">
            <v>F</v>
          </cell>
          <cell r="L9">
            <v>1</v>
          </cell>
          <cell r="M9">
            <v>2</v>
          </cell>
          <cell r="N9">
            <v>2</v>
          </cell>
          <cell r="O9">
            <v>2</v>
          </cell>
          <cell r="P9">
            <v>2</v>
          </cell>
          <cell r="Q9">
            <v>2</v>
          </cell>
          <cell r="S9">
            <v>2</v>
          </cell>
          <cell r="T9">
            <v>1.5</v>
          </cell>
          <cell r="U9">
            <v>1.5</v>
          </cell>
          <cell r="V9">
            <v>1.5</v>
          </cell>
          <cell r="W9">
            <v>1.5</v>
          </cell>
          <cell r="X9">
            <v>1.5</v>
          </cell>
          <cell r="Z9">
            <v>1.5</v>
          </cell>
          <cell r="AA9">
            <v>1.5</v>
          </cell>
          <cell r="AB9">
            <v>1.5</v>
          </cell>
          <cell r="AD9">
            <v>1.5</v>
          </cell>
          <cell r="AE9">
            <v>1.5</v>
          </cell>
          <cell r="AG9">
            <v>2</v>
          </cell>
          <cell r="AH9">
            <v>30</v>
          </cell>
        </row>
        <row r="10">
          <cell r="C10">
            <v>50075</v>
          </cell>
          <cell r="E10">
            <v>44000</v>
          </cell>
          <cell r="F10" t="str">
            <v>LT</v>
          </cell>
          <cell r="G10" t="str">
            <v>LT</v>
          </cell>
          <cell r="H10" t="str">
            <v>LT</v>
          </cell>
          <cell r="I10" t="str">
            <v>LT</v>
          </cell>
          <cell r="J10" t="str">
            <v>F</v>
          </cell>
          <cell r="L10">
            <v>1</v>
          </cell>
          <cell r="M10">
            <v>2</v>
          </cell>
          <cell r="N10">
            <v>2</v>
          </cell>
          <cell r="O10">
            <v>2</v>
          </cell>
          <cell r="P10">
            <v>2</v>
          </cell>
          <cell r="Q10">
            <v>2</v>
          </cell>
          <cell r="S10">
            <v>2</v>
          </cell>
          <cell r="T10">
            <v>1.5</v>
          </cell>
          <cell r="U10">
            <v>1.5</v>
          </cell>
          <cell r="V10">
            <v>1.5</v>
          </cell>
          <cell r="W10">
            <v>0</v>
          </cell>
          <cell r="X10" t="str">
            <v>F</v>
          </cell>
          <cell r="Z10">
            <v>1.5</v>
          </cell>
          <cell r="AA10">
            <v>1.5</v>
          </cell>
          <cell r="AB10">
            <v>1.5</v>
          </cell>
          <cell r="AD10">
            <v>1.5</v>
          </cell>
          <cell r="AE10">
            <v>0</v>
          </cell>
          <cell r="AG10">
            <v>2</v>
          </cell>
          <cell r="AH10">
            <v>25.5</v>
          </cell>
        </row>
        <row r="11">
          <cell r="C11">
            <v>50097</v>
          </cell>
          <cell r="E11">
            <v>44053</v>
          </cell>
          <cell r="F11" t="str">
            <v>LT</v>
          </cell>
          <cell r="G11" t="str">
            <v>LT</v>
          </cell>
          <cell r="H11" t="str">
            <v>LT</v>
          </cell>
          <cell r="I11" t="str">
            <v>LT</v>
          </cell>
          <cell r="J11" t="str">
            <v>F</v>
          </cell>
          <cell r="L11">
            <v>1</v>
          </cell>
          <cell r="M11">
            <v>2</v>
          </cell>
          <cell r="N11">
            <v>2</v>
          </cell>
          <cell r="O11">
            <v>2</v>
          </cell>
          <cell r="P11">
            <v>2</v>
          </cell>
          <cell r="Q11">
            <v>0</v>
          </cell>
          <cell r="S11">
            <v>2</v>
          </cell>
          <cell r="T11">
            <v>1.5</v>
          </cell>
          <cell r="U11">
            <v>1.5</v>
          </cell>
          <cell r="V11">
            <v>1.5</v>
          </cell>
          <cell r="W11">
            <v>1.5</v>
          </cell>
          <cell r="X11">
            <v>1.5</v>
          </cell>
          <cell r="Z11">
            <v>1.5</v>
          </cell>
          <cell r="AA11">
            <v>1.5</v>
          </cell>
          <cell r="AB11">
            <v>1.5</v>
          </cell>
          <cell r="AD11">
            <v>1.5</v>
          </cell>
          <cell r="AE11">
            <v>1.5</v>
          </cell>
          <cell r="AG11">
            <v>2</v>
          </cell>
          <cell r="AH11">
            <v>28</v>
          </cell>
        </row>
        <row r="12">
          <cell r="C12">
            <v>50138</v>
          </cell>
          <cell r="E12">
            <v>44137</v>
          </cell>
          <cell r="F12" t="str">
            <v>LT</v>
          </cell>
          <cell r="G12" t="str">
            <v>LT</v>
          </cell>
          <cell r="H12" t="str">
            <v>LT</v>
          </cell>
          <cell r="I12" t="str">
            <v>LT</v>
          </cell>
          <cell r="J12" t="str">
            <v>F</v>
          </cell>
          <cell r="L12">
            <v>1</v>
          </cell>
          <cell r="M12">
            <v>2</v>
          </cell>
          <cell r="N12" t="str">
            <v>F</v>
          </cell>
          <cell r="O12" t="str">
            <v>F</v>
          </cell>
          <cell r="P12">
            <v>2</v>
          </cell>
          <cell r="Q12">
            <v>2</v>
          </cell>
          <cell r="S12">
            <v>2</v>
          </cell>
          <cell r="T12">
            <v>1.5</v>
          </cell>
          <cell r="U12">
            <v>1.5</v>
          </cell>
          <cell r="V12">
            <v>1.5</v>
          </cell>
          <cell r="W12">
            <v>1.5</v>
          </cell>
          <cell r="X12">
            <v>1.5</v>
          </cell>
          <cell r="Z12">
            <v>1.5</v>
          </cell>
          <cell r="AA12">
            <v>1.5</v>
          </cell>
          <cell r="AB12">
            <v>1.5</v>
          </cell>
          <cell r="AD12">
            <v>1.5</v>
          </cell>
          <cell r="AE12">
            <v>1.5</v>
          </cell>
          <cell r="AG12">
            <v>2</v>
          </cell>
          <cell r="AH12">
            <v>26</v>
          </cell>
        </row>
        <row r="13">
          <cell r="C13">
            <v>50141</v>
          </cell>
          <cell r="E13">
            <v>44144</v>
          </cell>
          <cell r="F13" t="str">
            <v>LT</v>
          </cell>
          <cell r="G13" t="str">
            <v>LT</v>
          </cell>
          <cell r="H13" t="str">
            <v>LT</v>
          </cell>
          <cell r="I13" t="str">
            <v>LT</v>
          </cell>
          <cell r="J13" t="str">
            <v>F</v>
          </cell>
          <cell r="L13">
            <v>1</v>
          </cell>
          <cell r="M13">
            <v>2</v>
          </cell>
          <cell r="N13">
            <v>2</v>
          </cell>
          <cell r="O13">
            <v>2</v>
          </cell>
          <cell r="P13">
            <v>2</v>
          </cell>
          <cell r="Q13">
            <v>2</v>
          </cell>
          <cell r="S13">
            <v>2</v>
          </cell>
          <cell r="T13">
            <v>1.5</v>
          </cell>
          <cell r="U13">
            <v>1.5</v>
          </cell>
          <cell r="V13" t="str">
            <v>F</v>
          </cell>
          <cell r="W13">
            <v>1.5</v>
          </cell>
          <cell r="X13">
            <v>1.5</v>
          </cell>
          <cell r="Z13">
            <v>1.5</v>
          </cell>
          <cell r="AA13">
            <v>1.5</v>
          </cell>
          <cell r="AB13">
            <v>1.5</v>
          </cell>
          <cell r="AD13" t="str">
            <v>ô</v>
          </cell>
          <cell r="AE13" t="str">
            <v>Ô</v>
          </cell>
          <cell r="AG13">
            <v>2</v>
          </cell>
          <cell r="AH13">
            <v>25.5</v>
          </cell>
        </row>
        <row r="14">
          <cell r="C14">
            <v>50161</v>
          </cell>
          <cell r="E14">
            <v>44202</v>
          </cell>
          <cell r="F14" t="str">
            <v>LT</v>
          </cell>
          <cell r="G14" t="str">
            <v>LT</v>
          </cell>
          <cell r="H14" t="str">
            <v>LT</v>
          </cell>
          <cell r="I14" t="str">
            <v>LT</v>
          </cell>
          <cell r="J14" t="str">
            <v>F</v>
          </cell>
          <cell r="L14">
            <v>1</v>
          </cell>
          <cell r="M14">
            <v>2</v>
          </cell>
          <cell r="N14">
            <v>2</v>
          </cell>
          <cell r="O14">
            <v>2</v>
          </cell>
          <cell r="P14">
            <v>2</v>
          </cell>
          <cell r="Q14">
            <v>2</v>
          </cell>
          <cell r="S14">
            <v>2</v>
          </cell>
          <cell r="T14">
            <v>1.5</v>
          </cell>
          <cell r="U14">
            <v>1.5</v>
          </cell>
          <cell r="V14">
            <v>1.5</v>
          </cell>
          <cell r="W14">
            <v>1.5</v>
          </cell>
          <cell r="X14">
            <v>1.5</v>
          </cell>
          <cell r="Z14">
            <v>1.5</v>
          </cell>
          <cell r="AA14">
            <v>1.5</v>
          </cell>
          <cell r="AB14">
            <v>1.5</v>
          </cell>
          <cell r="AD14">
            <v>1.5</v>
          </cell>
          <cell r="AE14">
            <v>1.5</v>
          </cell>
          <cell r="AG14" t="str">
            <v>Ô</v>
          </cell>
          <cell r="AH14">
            <v>28</v>
          </cell>
        </row>
        <row r="15">
          <cell r="C15">
            <v>50173</v>
          </cell>
          <cell r="E15">
            <v>44256</v>
          </cell>
          <cell r="F15" t="str">
            <v>LT</v>
          </cell>
          <cell r="G15" t="str">
            <v>LT</v>
          </cell>
          <cell r="H15" t="str">
            <v>LT</v>
          </cell>
          <cell r="I15" t="str">
            <v>LT</v>
          </cell>
          <cell r="J15" t="str">
            <v>F</v>
          </cell>
          <cell r="L15">
            <v>1</v>
          </cell>
          <cell r="M15">
            <v>2</v>
          </cell>
          <cell r="N15">
            <v>2</v>
          </cell>
          <cell r="O15">
            <v>2</v>
          </cell>
          <cell r="P15">
            <v>2</v>
          </cell>
          <cell r="Q15">
            <v>2</v>
          </cell>
          <cell r="S15">
            <v>2</v>
          </cell>
          <cell r="T15">
            <v>1.5</v>
          </cell>
          <cell r="U15">
            <v>1.5</v>
          </cell>
          <cell r="V15">
            <v>1.5</v>
          </cell>
          <cell r="W15">
            <v>1.5</v>
          </cell>
          <cell r="X15">
            <v>1.5</v>
          </cell>
          <cell r="Z15">
            <v>1.5</v>
          </cell>
          <cell r="AA15">
            <v>1.5</v>
          </cell>
          <cell r="AB15">
            <v>1.5</v>
          </cell>
          <cell r="AD15">
            <v>1.5</v>
          </cell>
          <cell r="AE15">
            <v>1.5</v>
          </cell>
          <cell r="AG15">
            <v>2</v>
          </cell>
          <cell r="AH15">
            <v>30</v>
          </cell>
        </row>
        <row r="16">
          <cell r="C16">
            <v>50216</v>
          </cell>
          <cell r="E16">
            <v>44284</v>
          </cell>
          <cell r="F16" t="str">
            <v>LT</v>
          </cell>
          <cell r="G16" t="str">
            <v>LT</v>
          </cell>
          <cell r="H16" t="str">
            <v>LT</v>
          </cell>
          <cell r="I16" t="str">
            <v>LT</v>
          </cell>
          <cell r="J16" t="str">
            <v>F</v>
          </cell>
          <cell r="L16">
            <v>1</v>
          </cell>
          <cell r="M16">
            <v>2</v>
          </cell>
          <cell r="N16">
            <v>2</v>
          </cell>
          <cell r="O16">
            <v>2</v>
          </cell>
          <cell r="P16">
            <v>2</v>
          </cell>
          <cell r="Q16">
            <v>2</v>
          </cell>
          <cell r="S16">
            <v>2</v>
          </cell>
          <cell r="T16">
            <v>1.5</v>
          </cell>
          <cell r="U16">
            <v>1.5</v>
          </cell>
          <cell r="V16">
            <v>1.5</v>
          </cell>
          <cell r="W16">
            <v>1.5</v>
          </cell>
          <cell r="X16">
            <v>1.5</v>
          </cell>
          <cell r="Z16">
            <v>1.5</v>
          </cell>
          <cell r="AA16">
            <v>1.5</v>
          </cell>
          <cell r="AB16">
            <v>1.5</v>
          </cell>
          <cell r="AD16">
            <v>1.5</v>
          </cell>
          <cell r="AE16">
            <v>1.5</v>
          </cell>
          <cell r="AG16">
            <v>2</v>
          </cell>
          <cell r="AH16">
            <v>30</v>
          </cell>
        </row>
        <row r="17">
          <cell r="C17">
            <v>50218</v>
          </cell>
          <cell r="E17">
            <v>44284</v>
          </cell>
          <cell r="F17" t="str">
            <v>LT</v>
          </cell>
          <cell r="G17" t="str">
            <v>LT</v>
          </cell>
          <cell r="H17" t="str">
            <v>LT</v>
          </cell>
          <cell r="I17" t="str">
            <v>LT</v>
          </cell>
          <cell r="J17" t="str">
            <v>F</v>
          </cell>
          <cell r="L17">
            <v>1</v>
          </cell>
          <cell r="M17">
            <v>2</v>
          </cell>
          <cell r="N17">
            <v>2</v>
          </cell>
          <cell r="O17">
            <v>2</v>
          </cell>
          <cell r="P17">
            <v>2</v>
          </cell>
          <cell r="Q17" t="str">
            <v>Ô</v>
          </cell>
          <cell r="S17">
            <v>2</v>
          </cell>
          <cell r="T17">
            <v>1.5</v>
          </cell>
          <cell r="U17">
            <v>1.5</v>
          </cell>
          <cell r="V17">
            <v>1.5</v>
          </cell>
          <cell r="W17">
            <v>1.5</v>
          </cell>
          <cell r="X17">
            <v>1.5</v>
          </cell>
          <cell r="Z17">
            <v>1.5</v>
          </cell>
          <cell r="AA17">
            <v>1.5</v>
          </cell>
          <cell r="AB17" t="str">
            <v>Ô</v>
          </cell>
          <cell r="AD17" t="str">
            <v>Ô</v>
          </cell>
          <cell r="AE17" t="str">
            <v>Ô</v>
          </cell>
          <cell r="AG17" t="str">
            <v>Ô</v>
          </cell>
          <cell r="AH17">
            <v>21.5</v>
          </cell>
        </row>
        <row r="18">
          <cell r="C18">
            <v>50221</v>
          </cell>
          <cell r="E18">
            <v>44286</v>
          </cell>
          <cell r="F18" t="str">
            <v>LT</v>
          </cell>
          <cell r="G18" t="str">
            <v>LT</v>
          </cell>
          <cell r="H18" t="str">
            <v>LT</v>
          </cell>
          <cell r="I18" t="str">
            <v>LT</v>
          </cell>
          <cell r="J18" t="str">
            <v>F</v>
          </cell>
          <cell r="L18">
            <v>1</v>
          </cell>
          <cell r="M18" t="str">
            <v>TS</v>
          </cell>
          <cell r="N18" t="str">
            <v>TS</v>
          </cell>
          <cell r="O18" t="str">
            <v>TS</v>
          </cell>
          <cell r="P18" t="str">
            <v>TS</v>
          </cell>
          <cell r="Q18" t="str">
            <v>TS</v>
          </cell>
          <cell r="S18" t="str">
            <v>TS</v>
          </cell>
          <cell r="T18" t="str">
            <v>TS</v>
          </cell>
          <cell r="U18" t="str">
            <v>TS</v>
          </cell>
          <cell r="V18" t="str">
            <v>TS</v>
          </cell>
          <cell r="W18" t="str">
            <v>TS</v>
          </cell>
          <cell r="X18" t="str">
            <v>TS</v>
          </cell>
          <cell r="Z18" t="str">
            <v>TS</v>
          </cell>
          <cell r="AA18" t="str">
            <v>TS</v>
          </cell>
          <cell r="AB18">
            <v>1.5</v>
          </cell>
          <cell r="AD18">
            <v>1.5</v>
          </cell>
          <cell r="AE18">
            <v>1.5</v>
          </cell>
          <cell r="AG18">
            <v>2</v>
          </cell>
          <cell r="AH18">
            <v>7.5</v>
          </cell>
        </row>
        <row r="19">
          <cell r="C19">
            <v>50250</v>
          </cell>
          <cell r="E19">
            <v>44319</v>
          </cell>
          <cell r="F19" t="str">
            <v>LT</v>
          </cell>
          <cell r="G19" t="str">
            <v>LT</v>
          </cell>
          <cell r="H19" t="str">
            <v>LT</v>
          </cell>
          <cell r="I19" t="str">
            <v>LT</v>
          </cell>
          <cell r="J19" t="str">
            <v>F</v>
          </cell>
          <cell r="L19">
            <v>1</v>
          </cell>
          <cell r="M19">
            <v>2</v>
          </cell>
          <cell r="N19">
            <v>2</v>
          </cell>
          <cell r="O19">
            <v>2</v>
          </cell>
          <cell r="P19">
            <v>2</v>
          </cell>
          <cell r="Q19">
            <v>2</v>
          </cell>
          <cell r="S19">
            <v>2</v>
          </cell>
          <cell r="T19">
            <v>1.5</v>
          </cell>
          <cell r="U19">
            <v>1.5</v>
          </cell>
          <cell r="V19">
            <v>1.5</v>
          </cell>
          <cell r="W19">
            <v>1.5</v>
          </cell>
          <cell r="X19">
            <v>1.5</v>
          </cell>
          <cell r="Z19">
            <v>1.5</v>
          </cell>
          <cell r="AA19">
            <v>1.5</v>
          </cell>
          <cell r="AB19">
            <v>1.5</v>
          </cell>
          <cell r="AD19">
            <v>1.5</v>
          </cell>
          <cell r="AE19">
            <v>1.5</v>
          </cell>
          <cell r="AG19" t="str">
            <v>Ô</v>
          </cell>
          <cell r="AH19">
            <v>28</v>
          </cell>
        </row>
        <row r="20">
          <cell r="C20">
            <v>50263</v>
          </cell>
          <cell r="E20">
            <v>44355</v>
          </cell>
          <cell r="F20" t="str">
            <v>LT</v>
          </cell>
          <cell r="G20" t="str">
            <v>LT</v>
          </cell>
          <cell r="H20" t="str">
            <v>LT</v>
          </cell>
          <cell r="I20" t="str">
            <v>LT</v>
          </cell>
          <cell r="J20" t="str">
            <v>F</v>
          </cell>
          <cell r="L20">
            <v>1</v>
          </cell>
          <cell r="M20">
            <v>2</v>
          </cell>
          <cell r="N20">
            <v>2</v>
          </cell>
          <cell r="O20">
            <v>2</v>
          </cell>
          <cell r="P20">
            <v>2</v>
          </cell>
          <cell r="Q20">
            <v>2</v>
          </cell>
          <cell r="S20">
            <v>2</v>
          </cell>
          <cell r="T20">
            <v>1.5</v>
          </cell>
          <cell r="U20">
            <v>1.5</v>
          </cell>
          <cell r="V20" t="str">
            <v>F</v>
          </cell>
          <cell r="W20">
            <v>1.5</v>
          </cell>
          <cell r="X20">
            <v>1.5</v>
          </cell>
          <cell r="Z20">
            <v>1.5</v>
          </cell>
          <cell r="AA20">
            <v>1.5</v>
          </cell>
          <cell r="AB20">
            <v>1.5</v>
          </cell>
          <cell r="AD20">
            <v>1.5</v>
          </cell>
          <cell r="AE20">
            <v>1.5</v>
          </cell>
          <cell r="AG20">
            <v>2</v>
          </cell>
          <cell r="AH20">
            <v>28.5</v>
          </cell>
        </row>
        <row r="21">
          <cell r="C21">
            <v>50265</v>
          </cell>
          <cell r="E21">
            <v>44358</v>
          </cell>
          <cell r="F21" t="str">
            <v>LT</v>
          </cell>
          <cell r="G21" t="str">
            <v>LT</v>
          </cell>
          <cell r="H21" t="str">
            <v>LT</v>
          </cell>
          <cell r="I21" t="str">
            <v>LT</v>
          </cell>
          <cell r="J21" t="str">
            <v>F</v>
          </cell>
          <cell r="L21">
            <v>1</v>
          </cell>
          <cell r="M21">
            <v>2</v>
          </cell>
          <cell r="N21">
            <v>2</v>
          </cell>
          <cell r="O21">
            <v>2</v>
          </cell>
          <cell r="P21">
            <v>2</v>
          </cell>
          <cell r="Q21">
            <v>2</v>
          </cell>
          <cell r="S21">
            <v>2</v>
          </cell>
          <cell r="T21">
            <v>1.5</v>
          </cell>
          <cell r="U21">
            <v>1.5</v>
          </cell>
          <cell r="V21">
            <v>1.5</v>
          </cell>
          <cell r="W21">
            <v>1.5</v>
          </cell>
          <cell r="X21">
            <v>1.5</v>
          </cell>
          <cell r="Z21">
            <v>1.5</v>
          </cell>
          <cell r="AA21">
            <v>1.5</v>
          </cell>
          <cell r="AB21">
            <v>1.5</v>
          </cell>
          <cell r="AD21">
            <v>1.5</v>
          </cell>
          <cell r="AE21">
            <v>1.5</v>
          </cell>
          <cell r="AG21">
            <v>2</v>
          </cell>
          <cell r="AH21">
            <v>30</v>
          </cell>
        </row>
        <row r="22">
          <cell r="C22">
            <v>50287</v>
          </cell>
          <cell r="E22">
            <v>44385</v>
          </cell>
          <cell r="F22" t="str">
            <v>LT</v>
          </cell>
          <cell r="G22" t="str">
            <v>LT</v>
          </cell>
          <cell r="H22" t="str">
            <v>LT</v>
          </cell>
          <cell r="I22" t="str">
            <v>LT</v>
          </cell>
          <cell r="J22" t="str">
            <v>F</v>
          </cell>
          <cell r="L22">
            <v>1</v>
          </cell>
          <cell r="M22">
            <v>2</v>
          </cell>
          <cell r="N22">
            <v>2</v>
          </cell>
          <cell r="O22">
            <v>2</v>
          </cell>
          <cell r="P22">
            <v>2</v>
          </cell>
          <cell r="Q22" t="str">
            <v>F</v>
          </cell>
          <cell r="S22">
            <v>2</v>
          </cell>
          <cell r="T22">
            <v>1.5</v>
          </cell>
          <cell r="U22">
            <v>1.5</v>
          </cell>
          <cell r="V22">
            <v>1.5</v>
          </cell>
          <cell r="W22">
            <v>1.5</v>
          </cell>
          <cell r="X22">
            <v>1.5</v>
          </cell>
          <cell r="Z22">
            <v>1.5</v>
          </cell>
          <cell r="AA22">
            <v>1.5</v>
          </cell>
          <cell r="AB22">
            <v>1.5</v>
          </cell>
          <cell r="AD22">
            <v>1.5</v>
          </cell>
          <cell r="AE22">
            <v>1.5</v>
          </cell>
          <cell r="AG22">
            <v>2</v>
          </cell>
          <cell r="AH22">
            <v>28</v>
          </cell>
        </row>
        <row r="23">
          <cell r="C23">
            <v>50425</v>
          </cell>
          <cell r="E23">
            <v>44420</v>
          </cell>
          <cell r="F23" t="str">
            <v>LT</v>
          </cell>
          <cell r="G23" t="str">
            <v>LT</v>
          </cell>
          <cell r="H23" t="str">
            <v>LT</v>
          </cell>
          <cell r="I23" t="str">
            <v>LT</v>
          </cell>
          <cell r="J23" t="str">
            <v>F</v>
          </cell>
          <cell r="L23">
            <v>1</v>
          </cell>
          <cell r="M23">
            <v>2</v>
          </cell>
          <cell r="N23">
            <v>2</v>
          </cell>
          <cell r="O23">
            <v>2</v>
          </cell>
          <cell r="P23">
            <v>2</v>
          </cell>
          <cell r="Q23">
            <v>2</v>
          </cell>
          <cell r="S23">
            <v>2</v>
          </cell>
          <cell r="T23">
            <v>1.5</v>
          </cell>
          <cell r="U23">
            <v>1.5</v>
          </cell>
          <cell r="V23">
            <v>1.5</v>
          </cell>
          <cell r="W23">
            <v>1.5</v>
          </cell>
          <cell r="X23">
            <v>1.5</v>
          </cell>
          <cell r="Z23">
            <v>1.5</v>
          </cell>
          <cell r="AA23">
            <v>1.5</v>
          </cell>
          <cell r="AB23">
            <v>1.5</v>
          </cell>
          <cell r="AD23">
            <v>1.5</v>
          </cell>
          <cell r="AE23" t="str">
            <v>Ô</v>
          </cell>
          <cell r="AG23" t="str">
            <v>Ô</v>
          </cell>
          <cell r="AH23">
            <v>26.5</v>
          </cell>
        </row>
        <row r="24">
          <cell r="C24">
            <v>50581</v>
          </cell>
          <cell r="E24">
            <v>44469</v>
          </cell>
          <cell r="F24" t="str">
            <v>LT</v>
          </cell>
          <cell r="G24" t="str">
            <v>LT</v>
          </cell>
          <cell r="H24" t="str">
            <v>LT</v>
          </cell>
          <cell r="I24" t="str">
            <v>LT</v>
          </cell>
          <cell r="J24" t="str">
            <v>F</v>
          </cell>
          <cell r="L24">
            <v>1</v>
          </cell>
          <cell r="M24">
            <v>2</v>
          </cell>
          <cell r="N24">
            <v>2</v>
          </cell>
          <cell r="O24">
            <v>2</v>
          </cell>
          <cell r="P24">
            <v>2</v>
          </cell>
          <cell r="Q24">
            <v>2</v>
          </cell>
          <cell r="S24">
            <v>2</v>
          </cell>
          <cell r="T24">
            <v>1.5</v>
          </cell>
          <cell r="U24">
            <v>1.5</v>
          </cell>
          <cell r="V24">
            <v>1.5</v>
          </cell>
          <cell r="W24">
            <v>1.5</v>
          </cell>
          <cell r="X24">
            <v>1.5</v>
          </cell>
          <cell r="Z24">
            <v>1.5</v>
          </cell>
          <cell r="AA24">
            <v>1.5</v>
          </cell>
          <cell r="AB24">
            <v>1.5</v>
          </cell>
          <cell r="AD24">
            <v>1.5</v>
          </cell>
          <cell r="AE24">
            <v>1.5</v>
          </cell>
          <cell r="AG24">
            <v>2</v>
          </cell>
          <cell r="AH24">
            <v>30</v>
          </cell>
        </row>
        <row r="25">
          <cell r="C25">
            <v>50628</v>
          </cell>
          <cell r="E25">
            <v>44476</v>
          </cell>
          <cell r="F25" t="str">
            <v>LT</v>
          </cell>
          <cell r="G25" t="str">
            <v>LT</v>
          </cell>
          <cell r="H25" t="str">
            <v>LT</v>
          </cell>
          <cell r="I25" t="str">
            <v>LT</v>
          </cell>
          <cell r="J25" t="str">
            <v>F</v>
          </cell>
          <cell r="L25">
            <v>1</v>
          </cell>
          <cell r="M25">
            <v>2</v>
          </cell>
          <cell r="N25">
            <v>2</v>
          </cell>
          <cell r="O25">
            <v>2</v>
          </cell>
          <cell r="P25">
            <v>2</v>
          </cell>
          <cell r="Q25">
            <v>2</v>
          </cell>
          <cell r="S25">
            <v>2</v>
          </cell>
          <cell r="T25">
            <v>1.5</v>
          </cell>
          <cell r="U25">
            <v>1.5</v>
          </cell>
          <cell r="V25">
            <v>1.5</v>
          </cell>
          <cell r="W25">
            <v>1.5</v>
          </cell>
          <cell r="X25">
            <v>1.5</v>
          </cell>
          <cell r="Z25">
            <v>1.5</v>
          </cell>
          <cell r="AA25">
            <v>1.5</v>
          </cell>
          <cell r="AB25">
            <v>1.5</v>
          </cell>
          <cell r="AD25">
            <v>1.5</v>
          </cell>
          <cell r="AE25">
            <v>1.5</v>
          </cell>
          <cell r="AG25">
            <v>2</v>
          </cell>
          <cell r="AH25">
            <v>30</v>
          </cell>
        </row>
        <row r="26">
          <cell r="C26">
            <v>50737</v>
          </cell>
          <cell r="E26">
            <v>44538</v>
          </cell>
          <cell r="F26" t="str">
            <v>LT</v>
          </cell>
          <cell r="G26" t="str">
            <v>LT</v>
          </cell>
          <cell r="H26" t="str">
            <v>LT</v>
          </cell>
          <cell r="I26" t="str">
            <v>LT</v>
          </cell>
          <cell r="J26" t="str">
            <v>Ro</v>
          </cell>
          <cell r="L26">
            <v>1</v>
          </cell>
          <cell r="M26">
            <v>2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S26">
            <v>2</v>
          </cell>
          <cell r="T26">
            <v>1.5</v>
          </cell>
          <cell r="U26">
            <v>1.5</v>
          </cell>
          <cell r="V26">
            <v>1.5</v>
          </cell>
          <cell r="W26">
            <v>1.5</v>
          </cell>
          <cell r="X26">
            <v>1.5</v>
          </cell>
          <cell r="Z26">
            <v>1.5</v>
          </cell>
          <cell r="AA26">
            <v>1.5</v>
          </cell>
          <cell r="AB26">
            <v>1.5</v>
          </cell>
          <cell r="AD26">
            <v>1.5</v>
          </cell>
          <cell r="AE26">
            <v>1.5</v>
          </cell>
          <cell r="AG26">
            <v>2</v>
          </cell>
          <cell r="AH26">
            <v>30</v>
          </cell>
        </row>
        <row r="27">
          <cell r="C27">
            <v>50783</v>
          </cell>
          <cell r="E27">
            <v>44603</v>
          </cell>
          <cell r="P27">
            <v>2</v>
          </cell>
          <cell r="Q27">
            <v>2</v>
          </cell>
          <cell r="S27">
            <v>2</v>
          </cell>
          <cell r="T27">
            <v>1.5</v>
          </cell>
          <cell r="U27">
            <v>1.5</v>
          </cell>
          <cell r="V27">
            <v>1.5</v>
          </cell>
          <cell r="W27">
            <v>1.5</v>
          </cell>
          <cell r="X27" t="str">
            <v>RO</v>
          </cell>
          <cell r="Z27">
            <v>1.5</v>
          </cell>
          <cell r="AA27">
            <v>1.5</v>
          </cell>
          <cell r="AB27">
            <v>1.5</v>
          </cell>
          <cell r="AD27">
            <v>1.5</v>
          </cell>
          <cell r="AE27">
            <v>1.5</v>
          </cell>
          <cell r="AG27">
            <v>2</v>
          </cell>
          <cell r="AH27">
            <v>21.5</v>
          </cell>
        </row>
        <row r="28">
          <cell r="C28">
            <v>50023</v>
          </cell>
          <cell r="E28">
            <v>43983</v>
          </cell>
          <cell r="F28" t="str">
            <v>LT</v>
          </cell>
          <cell r="G28" t="str">
            <v>LT</v>
          </cell>
          <cell r="H28" t="str">
            <v>LT</v>
          </cell>
          <cell r="I28" t="str">
            <v>LT</v>
          </cell>
          <cell r="J28" t="str">
            <v>F</v>
          </cell>
          <cell r="L28" t="str">
            <v>Ô</v>
          </cell>
          <cell r="M28" t="str">
            <v>Ô</v>
          </cell>
          <cell r="N28">
            <v>2</v>
          </cell>
          <cell r="O28">
            <v>2</v>
          </cell>
          <cell r="P28">
            <v>2</v>
          </cell>
          <cell r="Q28">
            <v>2</v>
          </cell>
          <cell r="S28">
            <v>0.5</v>
          </cell>
          <cell r="T28">
            <v>1.5</v>
          </cell>
          <cell r="U28">
            <v>1.5</v>
          </cell>
          <cell r="V28">
            <v>1.5</v>
          </cell>
          <cell r="W28">
            <v>1.5</v>
          </cell>
          <cell r="X28">
            <v>1.5</v>
          </cell>
          <cell r="Z28">
            <v>1.5</v>
          </cell>
          <cell r="AA28">
            <v>1.5</v>
          </cell>
          <cell r="AB28">
            <v>1.5</v>
          </cell>
          <cell r="AD28">
            <v>1.5</v>
          </cell>
          <cell r="AE28">
            <v>1.5</v>
          </cell>
          <cell r="AG28">
            <v>2</v>
          </cell>
          <cell r="AH28">
            <v>25.5</v>
          </cell>
        </row>
        <row r="29">
          <cell r="C29">
            <v>50028</v>
          </cell>
          <cell r="E29">
            <v>43983</v>
          </cell>
          <cell r="F29" t="str">
            <v>LT</v>
          </cell>
          <cell r="G29" t="str">
            <v>LT</v>
          </cell>
          <cell r="H29" t="str">
            <v>LT</v>
          </cell>
          <cell r="I29" t="str">
            <v>LT</v>
          </cell>
          <cell r="J29" t="str">
            <v>F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Z29">
            <v>0</v>
          </cell>
          <cell r="AA29">
            <v>0</v>
          </cell>
          <cell r="AB29">
            <v>0</v>
          </cell>
          <cell r="AD29">
            <v>0</v>
          </cell>
          <cell r="AE29">
            <v>0</v>
          </cell>
          <cell r="AG29" t="str">
            <v>Ô</v>
          </cell>
          <cell r="AH29">
            <v>7.5</v>
          </cell>
        </row>
        <row r="30">
          <cell r="C30">
            <v>50029</v>
          </cell>
          <cell r="E30">
            <v>43983</v>
          </cell>
          <cell r="F30" t="str">
            <v>LT</v>
          </cell>
          <cell r="G30" t="str">
            <v>LT</v>
          </cell>
          <cell r="H30" t="str">
            <v>LT</v>
          </cell>
          <cell r="I30" t="str">
            <v>LT</v>
          </cell>
          <cell r="J30" t="str">
            <v>F</v>
          </cell>
          <cell r="L30">
            <v>1</v>
          </cell>
          <cell r="M30">
            <v>2</v>
          </cell>
          <cell r="N30">
            <v>2</v>
          </cell>
          <cell r="O30">
            <v>2</v>
          </cell>
          <cell r="P30">
            <v>2</v>
          </cell>
          <cell r="Q30">
            <v>2</v>
          </cell>
          <cell r="S30">
            <v>2</v>
          </cell>
          <cell r="T30">
            <v>1.5</v>
          </cell>
          <cell r="U30">
            <v>1.5</v>
          </cell>
          <cell r="V30">
            <v>1.5</v>
          </cell>
          <cell r="W30" t="str">
            <v>Ô</v>
          </cell>
          <cell r="X30" t="str">
            <v>Ô</v>
          </cell>
          <cell r="Z30" t="str">
            <v>Ô</v>
          </cell>
          <cell r="AA30" t="str">
            <v>Ô</v>
          </cell>
          <cell r="AB30" t="str">
            <v>Ô</v>
          </cell>
          <cell r="AD30" t="str">
            <v>Ô</v>
          </cell>
          <cell r="AE30" t="str">
            <v>Ô</v>
          </cell>
          <cell r="AG30" t="str">
            <v>Ô</v>
          </cell>
          <cell r="AH30">
            <v>17.5</v>
          </cell>
        </row>
        <row r="31">
          <cell r="C31">
            <v>50046</v>
          </cell>
          <cell r="E31">
            <v>43983</v>
          </cell>
          <cell r="F31" t="str">
            <v>LT</v>
          </cell>
          <cell r="G31" t="str">
            <v>LT</v>
          </cell>
          <cell r="H31" t="str">
            <v>LT</v>
          </cell>
          <cell r="I31" t="str">
            <v>LT</v>
          </cell>
          <cell r="J31" t="str">
            <v>F</v>
          </cell>
          <cell r="L31">
            <v>1</v>
          </cell>
          <cell r="M31">
            <v>2</v>
          </cell>
          <cell r="N31">
            <v>2</v>
          </cell>
          <cell r="O31">
            <v>2</v>
          </cell>
          <cell r="P31">
            <v>2</v>
          </cell>
          <cell r="Q31">
            <v>1</v>
          </cell>
          <cell r="S31" t="str">
            <v>1.5</v>
          </cell>
          <cell r="T31">
            <v>1.5</v>
          </cell>
          <cell r="U31">
            <v>1.5</v>
          </cell>
          <cell r="V31">
            <v>1.5</v>
          </cell>
          <cell r="W31">
            <v>1.5</v>
          </cell>
          <cell r="X31">
            <v>1.5</v>
          </cell>
          <cell r="Z31">
            <v>1.5</v>
          </cell>
          <cell r="AA31">
            <v>1.5</v>
          </cell>
          <cell r="AB31">
            <v>1.5</v>
          </cell>
          <cell r="AD31">
            <v>1.5</v>
          </cell>
          <cell r="AE31">
            <v>0.5</v>
          </cell>
          <cell r="AG31" t="str">
            <v>Ô</v>
          </cell>
          <cell r="AH31">
            <v>24</v>
          </cell>
        </row>
        <row r="32">
          <cell r="C32">
            <v>50049</v>
          </cell>
          <cell r="E32">
            <v>43983</v>
          </cell>
          <cell r="F32" t="str">
            <v>LT</v>
          </cell>
          <cell r="G32" t="str">
            <v>LT</v>
          </cell>
          <cell r="H32" t="str">
            <v>LT</v>
          </cell>
          <cell r="I32" t="str">
            <v>LT</v>
          </cell>
          <cell r="J32" t="str">
            <v>F</v>
          </cell>
          <cell r="L32">
            <v>1</v>
          </cell>
          <cell r="M32">
            <v>2</v>
          </cell>
          <cell r="N32">
            <v>2</v>
          </cell>
          <cell r="O32">
            <v>2</v>
          </cell>
          <cell r="P32">
            <v>2</v>
          </cell>
          <cell r="Q32">
            <v>2</v>
          </cell>
          <cell r="S32" t="str">
            <v>1.5</v>
          </cell>
          <cell r="T32">
            <v>1.5</v>
          </cell>
          <cell r="U32">
            <v>1.5</v>
          </cell>
          <cell r="V32">
            <v>1.5</v>
          </cell>
          <cell r="W32">
            <v>1.5</v>
          </cell>
          <cell r="X32">
            <v>1.5</v>
          </cell>
          <cell r="Z32">
            <v>1.5</v>
          </cell>
          <cell r="AA32">
            <v>1.5</v>
          </cell>
          <cell r="AB32">
            <v>1.5</v>
          </cell>
          <cell r="AD32">
            <v>1.5</v>
          </cell>
          <cell r="AE32" t="str">
            <v>Ô</v>
          </cell>
          <cell r="AG32" t="str">
            <v>Ô</v>
          </cell>
          <cell r="AH32">
            <v>24.5</v>
          </cell>
        </row>
        <row r="33">
          <cell r="C33">
            <v>50062</v>
          </cell>
          <cell r="E33">
            <v>43990</v>
          </cell>
          <cell r="F33" t="str">
            <v>LT</v>
          </cell>
          <cell r="G33" t="str">
            <v>LT</v>
          </cell>
          <cell r="H33" t="str">
            <v>LT</v>
          </cell>
          <cell r="I33" t="str">
            <v>LT</v>
          </cell>
          <cell r="J33" t="str">
            <v>F</v>
          </cell>
          <cell r="L33">
            <v>1</v>
          </cell>
          <cell r="M33">
            <v>2</v>
          </cell>
          <cell r="N33">
            <v>2</v>
          </cell>
          <cell r="O33">
            <v>2</v>
          </cell>
          <cell r="P33">
            <v>2</v>
          </cell>
          <cell r="Q33">
            <v>2</v>
          </cell>
          <cell r="S33">
            <v>2</v>
          </cell>
          <cell r="T33">
            <v>1.5</v>
          </cell>
          <cell r="U33">
            <v>1.5</v>
          </cell>
          <cell r="V33">
            <v>1.5</v>
          </cell>
          <cell r="W33">
            <v>1.5</v>
          </cell>
          <cell r="X33">
            <v>1.5</v>
          </cell>
          <cell r="Z33">
            <v>1.5</v>
          </cell>
          <cell r="AA33">
            <v>1.5</v>
          </cell>
          <cell r="AB33">
            <v>1.5</v>
          </cell>
          <cell r="AD33">
            <v>1.5</v>
          </cell>
          <cell r="AE33">
            <v>1.5</v>
          </cell>
          <cell r="AG33">
            <v>2</v>
          </cell>
          <cell r="AH33">
            <v>30</v>
          </cell>
        </row>
        <row r="34">
          <cell r="C34">
            <v>50077</v>
          </cell>
          <cell r="E34">
            <v>44001</v>
          </cell>
          <cell r="F34" t="str">
            <v>LT</v>
          </cell>
          <cell r="G34" t="str">
            <v>LT</v>
          </cell>
          <cell r="H34" t="str">
            <v>LT</v>
          </cell>
          <cell r="I34" t="str">
            <v>LT</v>
          </cell>
          <cell r="J34" t="str">
            <v>F</v>
          </cell>
          <cell r="L34">
            <v>1</v>
          </cell>
          <cell r="M34">
            <v>2</v>
          </cell>
          <cell r="N34">
            <v>2</v>
          </cell>
          <cell r="O34">
            <v>2</v>
          </cell>
          <cell r="P34">
            <v>2</v>
          </cell>
          <cell r="Q34">
            <v>0.5</v>
          </cell>
          <cell r="S34">
            <v>2</v>
          </cell>
          <cell r="T34">
            <v>1.5</v>
          </cell>
          <cell r="U34">
            <v>1.5</v>
          </cell>
          <cell r="V34">
            <v>1.5</v>
          </cell>
          <cell r="W34">
            <v>1.5</v>
          </cell>
          <cell r="X34">
            <v>1.5</v>
          </cell>
          <cell r="Z34">
            <v>1.5</v>
          </cell>
          <cell r="AA34" t="str">
            <v>Ô</v>
          </cell>
          <cell r="AB34" t="str">
            <v>Ô</v>
          </cell>
          <cell r="AD34" t="str">
            <v>Ô</v>
          </cell>
          <cell r="AE34" t="str">
            <v>Ô</v>
          </cell>
          <cell r="AG34" t="str">
            <v>Ô</v>
          </cell>
          <cell r="AH34">
            <v>20.5</v>
          </cell>
        </row>
        <row r="35">
          <cell r="C35">
            <v>50078</v>
          </cell>
          <cell r="E35">
            <v>44007</v>
          </cell>
          <cell r="F35" t="str">
            <v>LT</v>
          </cell>
          <cell r="G35" t="str">
            <v>LT</v>
          </cell>
          <cell r="H35" t="str">
            <v>LT</v>
          </cell>
          <cell r="I35" t="str">
            <v>LT</v>
          </cell>
          <cell r="J35" t="str">
            <v>F</v>
          </cell>
          <cell r="L35">
            <v>1</v>
          </cell>
          <cell r="M35">
            <v>2</v>
          </cell>
          <cell r="N35">
            <v>2</v>
          </cell>
          <cell r="O35">
            <v>2</v>
          </cell>
          <cell r="P35">
            <v>2</v>
          </cell>
          <cell r="Q35">
            <v>2</v>
          </cell>
          <cell r="S35">
            <v>2</v>
          </cell>
          <cell r="T35">
            <v>1.5</v>
          </cell>
          <cell r="U35">
            <v>1.5</v>
          </cell>
          <cell r="V35">
            <v>1.5</v>
          </cell>
          <cell r="W35">
            <v>1.5</v>
          </cell>
          <cell r="X35">
            <v>1.5</v>
          </cell>
          <cell r="Z35">
            <v>1.5</v>
          </cell>
          <cell r="AA35">
            <v>1.5</v>
          </cell>
          <cell r="AB35">
            <v>1.5</v>
          </cell>
          <cell r="AD35">
            <v>1.5</v>
          </cell>
          <cell r="AE35">
            <v>1.5</v>
          </cell>
          <cell r="AG35" t="str">
            <v>Ô</v>
          </cell>
          <cell r="AH35">
            <v>28</v>
          </cell>
        </row>
        <row r="36">
          <cell r="C36">
            <v>50137</v>
          </cell>
          <cell r="E36">
            <v>44137</v>
          </cell>
          <cell r="F36" t="str">
            <v>LT</v>
          </cell>
          <cell r="G36" t="str">
            <v>LT</v>
          </cell>
          <cell r="H36" t="str">
            <v>LT</v>
          </cell>
          <cell r="I36" t="str">
            <v>LT</v>
          </cell>
          <cell r="J36" t="str">
            <v>F</v>
          </cell>
          <cell r="L36">
            <v>1</v>
          </cell>
          <cell r="M36">
            <v>2</v>
          </cell>
          <cell r="N36">
            <v>2</v>
          </cell>
          <cell r="O36">
            <v>2</v>
          </cell>
          <cell r="P36">
            <v>2</v>
          </cell>
          <cell r="Q36">
            <v>2</v>
          </cell>
          <cell r="S36">
            <v>0</v>
          </cell>
          <cell r="T36">
            <v>1.5</v>
          </cell>
          <cell r="U36">
            <v>1.5</v>
          </cell>
          <cell r="V36">
            <v>1.5</v>
          </cell>
          <cell r="W36">
            <v>1.5</v>
          </cell>
          <cell r="X36">
            <v>1.5</v>
          </cell>
          <cell r="Z36">
            <v>1.5</v>
          </cell>
          <cell r="AA36">
            <v>1.5</v>
          </cell>
          <cell r="AB36">
            <v>1.5</v>
          </cell>
          <cell r="AD36">
            <v>1.5</v>
          </cell>
          <cell r="AE36">
            <v>0</v>
          </cell>
          <cell r="AG36" t="str">
            <v>Ô</v>
          </cell>
          <cell r="AH36">
            <v>24.5</v>
          </cell>
        </row>
        <row r="37">
          <cell r="C37">
            <v>50174</v>
          </cell>
          <cell r="E37">
            <v>44259</v>
          </cell>
          <cell r="F37" t="str">
            <v>LT</v>
          </cell>
          <cell r="G37" t="str">
            <v>LT</v>
          </cell>
          <cell r="H37" t="str">
            <v>LT</v>
          </cell>
          <cell r="I37" t="str">
            <v>LT</v>
          </cell>
          <cell r="J37" t="str">
            <v>F</v>
          </cell>
          <cell r="L37">
            <v>1</v>
          </cell>
          <cell r="M37">
            <v>2</v>
          </cell>
          <cell r="N37" t="str">
            <v>F</v>
          </cell>
          <cell r="O37">
            <v>2</v>
          </cell>
          <cell r="P37">
            <v>2</v>
          </cell>
          <cell r="Q37">
            <v>2</v>
          </cell>
          <cell r="S37">
            <v>0</v>
          </cell>
          <cell r="T37">
            <v>0</v>
          </cell>
          <cell r="U37">
            <v>0</v>
          </cell>
          <cell r="V37">
            <v>0.5</v>
          </cell>
          <cell r="W37">
            <v>1.5</v>
          </cell>
          <cell r="X37">
            <v>1.5</v>
          </cell>
          <cell r="Z37">
            <v>1.5</v>
          </cell>
          <cell r="AA37">
            <v>1.5</v>
          </cell>
          <cell r="AB37">
            <v>1.5</v>
          </cell>
          <cell r="AD37">
            <v>1.5</v>
          </cell>
          <cell r="AE37">
            <v>1.5</v>
          </cell>
          <cell r="AG37">
            <v>2</v>
          </cell>
          <cell r="AH37">
            <v>22</v>
          </cell>
        </row>
        <row r="38">
          <cell r="C38">
            <v>50178</v>
          </cell>
          <cell r="E38">
            <v>44263</v>
          </cell>
          <cell r="F38" t="str">
            <v>LT</v>
          </cell>
          <cell r="G38" t="str">
            <v>LT</v>
          </cell>
          <cell r="H38" t="str">
            <v>LT</v>
          </cell>
          <cell r="I38" t="str">
            <v>LT</v>
          </cell>
          <cell r="J38" t="str">
            <v>F</v>
          </cell>
          <cell r="L38">
            <v>1</v>
          </cell>
          <cell r="M38">
            <v>2</v>
          </cell>
          <cell r="N38">
            <v>2</v>
          </cell>
          <cell r="O38">
            <v>2</v>
          </cell>
          <cell r="P38">
            <v>2</v>
          </cell>
          <cell r="Q38">
            <v>2</v>
          </cell>
          <cell r="S38">
            <v>2</v>
          </cell>
          <cell r="T38">
            <v>1.5</v>
          </cell>
          <cell r="U38">
            <v>1.5</v>
          </cell>
          <cell r="V38">
            <v>0</v>
          </cell>
          <cell r="W38">
            <v>1.5</v>
          </cell>
          <cell r="X38">
            <v>1.5</v>
          </cell>
          <cell r="Z38">
            <v>1.5</v>
          </cell>
          <cell r="AA38">
            <v>1.5</v>
          </cell>
          <cell r="AB38">
            <v>1.5</v>
          </cell>
          <cell r="AD38">
            <v>0</v>
          </cell>
          <cell r="AE38">
            <v>0</v>
          </cell>
          <cell r="AG38">
            <v>0</v>
          </cell>
          <cell r="AH38">
            <v>23.5</v>
          </cell>
        </row>
        <row r="39">
          <cell r="C39">
            <v>50247</v>
          </cell>
          <cell r="E39">
            <v>44308</v>
          </cell>
          <cell r="F39" t="str">
            <v>LT</v>
          </cell>
          <cell r="G39" t="str">
            <v>LT</v>
          </cell>
          <cell r="H39" t="str">
            <v>LT</v>
          </cell>
          <cell r="I39" t="str">
            <v>LT</v>
          </cell>
          <cell r="J39" t="str">
            <v>F</v>
          </cell>
          <cell r="L39">
            <v>1</v>
          </cell>
          <cell r="M39">
            <v>2</v>
          </cell>
          <cell r="N39">
            <v>2</v>
          </cell>
          <cell r="O39">
            <v>2</v>
          </cell>
          <cell r="P39">
            <v>2</v>
          </cell>
          <cell r="Q39">
            <v>2</v>
          </cell>
          <cell r="S39">
            <v>0</v>
          </cell>
          <cell r="T39">
            <v>1.5</v>
          </cell>
          <cell r="U39">
            <v>1.5</v>
          </cell>
          <cell r="V39">
            <v>1.5</v>
          </cell>
          <cell r="W39">
            <v>1.5</v>
          </cell>
          <cell r="X39">
            <v>1.5</v>
          </cell>
          <cell r="Z39">
            <v>1.5</v>
          </cell>
          <cell r="AA39">
            <v>1.5</v>
          </cell>
          <cell r="AB39">
            <v>1.5</v>
          </cell>
          <cell r="AD39" t="str">
            <v>F</v>
          </cell>
          <cell r="AE39">
            <v>1.5</v>
          </cell>
          <cell r="AG39">
            <v>2</v>
          </cell>
          <cell r="AH39">
            <v>26.5</v>
          </cell>
        </row>
        <row r="40">
          <cell r="C40">
            <v>50249</v>
          </cell>
          <cell r="E40">
            <v>44312</v>
          </cell>
          <cell r="F40" t="str">
            <v>LT</v>
          </cell>
          <cell r="G40" t="str">
            <v>LT</v>
          </cell>
          <cell r="H40" t="str">
            <v>LT</v>
          </cell>
          <cell r="I40" t="str">
            <v>LT</v>
          </cell>
          <cell r="J40" t="str">
            <v>F</v>
          </cell>
          <cell r="L40">
            <v>1</v>
          </cell>
          <cell r="M40">
            <v>2</v>
          </cell>
          <cell r="N40">
            <v>2</v>
          </cell>
          <cell r="O40">
            <v>2</v>
          </cell>
          <cell r="P40">
            <v>2</v>
          </cell>
          <cell r="Q40" t="str">
            <v>F</v>
          </cell>
          <cell r="S40">
            <v>2</v>
          </cell>
          <cell r="T40">
            <v>1.5</v>
          </cell>
          <cell r="U40">
            <v>1.5</v>
          </cell>
          <cell r="V40" t="str">
            <v>F</v>
          </cell>
          <cell r="W40">
            <v>1.5</v>
          </cell>
          <cell r="X40">
            <v>1.5</v>
          </cell>
          <cell r="Z40">
            <v>1.5</v>
          </cell>
          <cell r="AA40">
            <v>1.5</v>
          </cell>
          <cell r="AB40">
            <v>1.5</v>
          </cell>
          <cell r="AD40">
            <v>1.5</v>
          </cell>
          <cell r="AE40">
            <v>1.5</v>
          </cell>
          <cell r="AG40">
            <v>2</v>
          </cell>
          <cell r="AH40">
            <v>26.5</v>
          </cell>
        </row>
        <row r="41">
          <cell r="C41">
            <v>50251</v>
          </cell>
          <cell r="E41">
            <v>44319</v>
          </cell>
          <cell r="F41" t="str">
            <v>LT</v>
          </cell>
          <cell r="G41" t="str">
            <v>LT</v>
          </cell>
          <cell r="H41" t="str">
            <v>LT</v>
          </cell>
          <cell r="I41" t="str">
            <v>LT</v>
          </cell>
          <cell r="J41" t="str">
            <v>F</v>
          </cell>
          <cell r="L41">
            <v>1</v>
          </cell>
          <cell r="M41">
            <v>2</v>
          </cell>
          <cell r="N41">
            <v>2</v>
          </cell>
          <cell r="O41">
            <v>2</v>
          </cell>
          <cell r="P41">
            <v>2</v>
          </cell>
          <cell r="Q41">
            <v>2</v>
          </cell>
          <cell r="S41">
            <v>2</v>
          </cell>
          <cell r="T41">
            <v>1.5</v>
          </cell>
          <cell r="U41">
            <v>1.5</v>
          </cell>
          <cell r="V41">
            <v>1.5</v>
          </cell>
          <cell r="W41">
            <v>1.5</v>
          </cell>
          <cell r="X41">
            <v>1.5</v>
          </cell>
          <cell r="Z41">
            <v>1.5</v>
          </cell>
          <cell r="AA41">
            <v>1.5</v>
          </cell>
          <cell r="AB41">
            <v>1.5</v>
          </cell>
          <cell r="AD41" t="str">
            <v>Ô</v>
          </cell>
          <cell r="AE41" t="str">
            <v>Ô</v>
          </cell>
          <cell r="AG41" t="str">
            <v>Ô</v>
          </cell>
          <cell r="AH41">
            <v>25</v>
          </cell>
        </row>
        <row r="42">
          <cell r="C42">
            <v>50390</v>
          </cell>
          <cell r="E42">
            <v>44413</v>
          </cell>
          <cell r="F42" t="str">
            <v>LT</v>
          </cell>
          <cell r="G42" t="str">
            <v>LT</v>
          </cell>
          <cell r="H42" t="str">
            <v>LT</v>
          </cell>
          <cell r="I42" t="str">
            <v>LT</v>
          </cell>
          <cell r="J42" t="str">
            <v>F</v>
          </cell>
          <cell r="L42">
            <v>1</v>
          </cell>
          <cell r="M42">
            <v>2</v>
          </cell>
          <cell r="N42">
            <v>2</v>
          </cell>
          <cell r="O42">
            <v>2</v>
          </cell>
          <cell r="P42">
            <v>2</v>
          </cell>
          <cell r="Q42">
            <v>2</v>
          </cell>
          <cell r="S42">
            <v>2</v>
          </cell>
          <cell r="T42">
            <v>1.5</v>
          </cell>
          <cell r="U42">
            <v>1.5</v>
          </cell>
          <cell r="V42">
            <v>1.5</v>
          </cell>
          <cell r="W42">
            <v>1.5</v>
          </cell>
          <cell r="X42">
            <v>1.5</v>
          </cell>
          <cell r="Z42" t="str">
            <v>F</v>
          </cell>
          <cell r="AA42">
            <v>1.5</v>
          </cell>
          <cell r="AB42" t="str">
            <v>F</v>
          </cell>
          <cell r="AD42">
            <v>1.5</v>
          </cell>
          <cell r="AE42">
            <v>1.5</v>
          </cell>
          <cell r="AG42">
            <v>2</v>
          </cell>
          <cell r="AH42">
            <v>27</v>
          </cell>
        </row>
        <row r="43">
          <cell r="C43">
            <v>50404</v>
          </cell>
          <cell r="E43">
            <v>44417</v>
          </cell>
          <cell r="F43" t="str">
            <v>LT</v>
          </cell>
          <cell r="G43" t="str">
            <v>LT</v>
          </cell>
          <cell r="H43" t="str">
            <v>LT</v>
          </cell>
          <cell r="I43" t="str">
            <v>LT</v>
          </cell>
          <cell r="J43" t="str">
            <v>F</v>
          </cell>
          <cell r="L43">
            <v>1</v>
          </cell>
          <cell r="M43">
            <v>2</v>
          </cell>
          <cell r="N43">
            <v>2</v>
          </cell>
          <cell r="O43">
            <v>2</v>
          </cell>
          <cell r="P43">
            <v>2</v>
          </cell>
          <cell r="Q43">
            <v>2</v>
          </cell>
          <cell r="S43">
            <v>2</v>
          </cell>
          <cell r="T43">
            <v>1.5</v>
          </cell>
          <cell r="U43">
            <v>1.5</v>
          </cell>
          <cell r="V43">
            <v>1.5</v>
          </cell>
          <cell r="W43">
            <v>1.5</v>
          </cell>
          <cell r="X43">
            <v>1.5</v>
          </cell>
          <cell r="Z43">
            <v>1.5</v>
          </cell>
          <cell r="AA43">
            <v>1.5</v>
          </cell>
          <cell r="AB43">
            <v>1.5</v>
          </cell>
          <cell r="AD43" t="str">
            <v>Ô</v>
          </cell>
          <cell r="AE43" t="str">
            <v>Ô</v>
          </cell>
          <cell r="AG43" t="str">
            <v>Ô</v>
          </cell>
          <cell r="AH43">
            <v>25</v>
          </cell>
        </row>
        <row r="44">
          <cell r="C44">
            <v>50409</v>
          </cell>
          <cell r="E44">
            <v>44418</v>
          </cell>
          <cell r="F44" t="str">
            <v>LT</v>
          </cell>
          <cell r="G44" t="str">
            <v>LT</v>
          </cell>
          <cell r="H44" t="str">
            <v>LT</v>
          </cell>
          <cell r="I44" t="str">
            <v>LT</v>
          </cell>
          <cell r="J44" t="str">
            <v>F</v>
          </cell>
          <cell r="L44">
            <v>1</v>
          </cell>
          <cell r="M44">
            <v>2</v>
          </cell>
          <cell r="N44">
            <v>2</v>
          </cell>
          <cell r="O44">
            <v>2</v>
          </cell>
          <cell r="P44">
            <v>2</v>
          </cell>
          <cell r="Q44">
            <v>2</v>
          </cell>
          <cell r="S44">
            <v>2</v>
          </cell>
          <cell r="T44">
            <v>1.5</v>
          </cell>
          <cell r="U44">
            <v>1.5</v>
          </cell>
          <cell r="V44">
            <v>1.5</v>
          </cell>
          <cell r="W44">
            <v>1.5</v>
          </cell>
          <cell r="X44">
            <v>1.5</v>
          </cell>
          <cell r="Z44">
            <v>1.5</v>
          </cell>
          <cell r="AA44">
            <v>1.5</v>
          </cell>
          <cell r="AB44">
            <v>1.5</v>
          </cell>
          <cell r="AD44">
            <v>1.5</v>
          </cell>
          <cell r="AE44">
            <v>1.5</v>
          </cell>
          <cell r="AG44">
            <v>2</v>
          </cell>
          <cell r="AH44">
            <v>30</v>
          </cell>
        </row>
        <row r="45">
          <cell r="C45">
            <v>50551</v>
          </cell>
          <cell r="E45">
            <v>44459</v>
          </cell>
          <cell r="F45" t="str">
            <v>LT</v>
          </cell>
          <cell r="G45" t="str">
            <v>LT</v>
          </cell>
          <cell r="H45" t="str">
            <v>LT</v>
          </cell>
          <cell r="I45" t="str">
            <v>LT</v>
          </cell>
          <cell r="J45" t="str">
            <v>F</v>
          </cell>
          <cell r="L45">
            <v>1</v>
          </cell>
          <cell r="M45">
            <v>2</v>
          </cell>
          <cell r="N45">
            <v>2</v>
          </cell>
          <cell r="O45">
            <v>2</v>
          </cell>
          <cell r="P45">
            <v>2</v>
          </cell>
          <cell r="Q45">
            <v>2</v>
          </cell>
          <cell r="S45">
            <v>2</v>
          </cell>
          <cell r="T45">
            <v>1.5</v>
          </cell>
          <cell r="U45">
            <v>1.5</v>
          </cell>
          <cell r="V45">
            <v>1.5</v>
          </cell>
          <cell r="W45">
            <v>1.5</v>
          </cell>
          <cell r="X45">
            <v>1.5</v>
          </cell>
          <cell r="Z45">
            <v>1.5</v>
          </cell>
          <cell r="AA45">
            <v>1.5</v>
          </cell>
          <cell r="AB45">
            <v>1.5</v>
          </cell>
          <cell r="AD45">
            <v>1.5</v>
          </cell>
          <cell r="AE45">
            <v>1.5</v>
          </cell>
          <cell r="AG45" t="str">
            <v>Ô</v>
          </cell>
          <cell r="AH45">
            <v>28</v>
          </cell>
        </row>
        <row r="46">
          <cell r="C46">
            <v>50738</v>
          </cell>
          <cell r="E46">
            <v>44540</v>
          </cell>
          <cell r="F46" t="str">
            <v>LT</v>
          </cell>
          <cell r="G46" t="str">
            <v>LT</v>
          </cell>
          <cell r="H46" t="str">
            <v>LT</v>
          </cell>
          <cell r="I46" t="str">
            <v>LT</v>
          </cell>
          <cell r="J46" t="str">
            <v>Ro</v>
          </cell>
          <cell r="L46">
            <v>1</v>
          </cell>
          <cell r="M46">
            <v>2</v>
          </cell>
          <cell r="N46">
            <v>2</v>
          </cell>
          <cell r="O46">
            <v>2</v>
          </cell>
          <cell r="P46">
            <v>2</v>
          </cell>
          <cell r="Q46">
            <v>2</v>
          </cell>
          <cell r="S46">
            <v>2</v>
          </cell>
          <cell r="T46">
            <v>1.5</v>
          </cell>
          <cell r="U46">
            <v>1.5</v>
          </cell>
          <cell r="V46">
            <v>1.5</v>
          </cell>
          <cell r="W46">
            <v>1.5</v>
          </cell>
          <cell r="X46">
            <v>1.5</v>
          </cell>
          <cell r="Z46">
            <v>1.5</v>
          </cell>
          <cell r="AA46">
            <v>1.5</v>
          </cell>
          <cell r="AB46">
            <v>1.5</v>
          </cell>
          <cell r="AD46">
            <v>1.5</v>
          </cell>
          <cell r="AE46">
            <v>1.5</v>
          </cell>
          <cell r="AG46">
            <v>2</v>
          </cell>
          <cell r="AH46">
            <v>30</v>
          </cell>
        </row>
        <row r="47">
          <cell r="C47">
            <v>50763</v>
          </cell>
          <cell r="E47">
            <v>44466</v>
          </cell>
          <cell r="F47" t="str">
            <v>LT</v>
          </cell>
          <cell r="G47" t="str">
            <v>LT</v>
          </cell>
          <cell r="H47" t="str">
            <v>LT</v>
          </cell>
          <cell r="I47" t="str">
            <v>LT</v>
          </cell>
          <cell r="J47" t="str">
            <v>Ro</v>
          </cell>
          <cell r="L47">
            <v>1</v>
          </cell>
          <cell r="M47">
            <v>2</v>
          </cell>
          <cell r="N47">
            <v>2</v>
          </cell>
          <cell r="O47">
            <v>2</v>
          </cell>
          <cell r="P47">
            <v>2</v>
          </cell>
          <cell r="Q47">
            <v>2</v>
          </cell>
          <cell r="S47">
            <v>2</v>
          </cell>
          <cell r="T47">
            <v>1.5</v>
          </cell>
          <cell r="U47">
            <v>1.5</v>
          </cell>
          <cell r="V47">
            <v>1.5</v>
          </cell>
          <cell r="W47">
            <v>1.5</v>
          </cell>
          <cell r="X47">
            <v>1.5</v>
          </cell>
          <cell r="Z47">
            <v>1.5</v>
          </cell>
          <cell r="AA47">
            <v>1.5</v>
          </cell>
          <cell r="AB47">
            <v>1.5</v>
          </cell>
          <cell r="AD47">
            <v>0</v>
          </cell>
          <cell r="AE47">
            <v>1.5</v>
          </cell>
          <cell r="AG47">
            <v>2</v>
          </cell>
          <cell r="AH47">
            <v>28.5</v>
          </cell>
        </row>
        <row r="48">
          <cell r="C48">
            <v>50027</v>
          </cell>
          <cell r="E48">
            <v>43983</v>
          </cell>
          <cell r="F48" t="str">
            <v>LT</v>
          </cell>
          <cell r="G48" t="str">
            <v>LT</v>
          </cell>
          <cell r="H48" t="str">
            <v>LT</v>
          </cell>
          <cell r="I48" t="str">
            <v>LT</v>
          </cell>
          <cell r="J48" t="str">
            <v>F</v>
          </cell>
          <cell r="L48">
            <v>1</v>
          </cell>
          <cell r="M48">
            <v>2</v>
          </cell>
          <cell r="N48">
            <v>2</v>
          </cell>
          <cell r="O48">
            <v>2</v>
          </cell>
          <cell r="P48">
            <v>2</v>
          </cell>
          <cell r="Q48">
            <v>2</v>
          </cell>
          <cell r="S48">
            <v>2</v>
          </cell>
          <cell r="T48">
            <v>1.5</v>
          </cell>
          <cell r="U48">
            <v>1.5</v>
          </cell>
          <cell r="V48">
            <v>1.5</v>
          </cell>
          <cell r="W48">
            <v>1.5</v>
          </cell>
          <cell r="X48">
            <v>1.5</v>
          </cell>
          <cell r="Z48">
            <v>1.5</v>
          </cell>
          <cell r="AA48">
            <v>1.5</v>
          </cell>
          <cell r="AB48">
            <v>0</v>
          </cell>
          <cell r="AD48">
            <v>1.5</v>
          </cell>
          <cell r="AE48">
            <v>1.5</v>
          </cell>
          <cell r="AG48">
            <v>2</v>
          </cell>
          <cell r="AH48">
            <v>28.5</v>
          </cell>
        </row>
        <row r="49">
          <cell r="C49">
            <v>50034</v>
          </cell>
          <cell r="E49">
            <v>43983</v>
          </cell>
          <cell r="F49" t="str">
            <v>LT</v>
          </cell>
          <cell r="G49" t="str">
            <v>LT</v>
          </cell>
          <cell r="H49" t="str">
            <v>LT</v>
          </cell>
          <cell r="I49" t="str">
            <v>LT</v>
          </cell>
          <cell r="J49" t="str">
            <v>F</v>
          </cell>
          <cell r="L49">
            <v>1</v>
          </cell>
          <cell r="M49">
            <v>2</v>
          </cell>
          <cell r="N49">
            <v>2</v>
          </cell>
          <cell r="O49">
            <v>2</v>
          </cell>
          <cell r="P49">
            <v>2</v>
          </cell>
          <cell r="Q49">
            <v>2</v>
          </cell>
          <cell r="S49">
            <v>2</v>
          </cell>
          <cell r="T49">
            <v>1.5</v>
          </cell>
          <cell r="U49">
            <v>1.5</v>
          </cell>
          <cell r="V49">
            <v>1.5</v>
          </cell>
          <cell r="W49">
            <v>1.5</v>
          </cell>
          <cell r="X49">
            <v>1.5</v>
          </cell>
          <cell r="Z49">
            <v>1.5</v>
          </cell>
          <cell r="AA49">
            <v>1.5</v>
          </cell>
          <cell r="AB49">
            <v>1.5</v>
          </cell>
          <cell r="AD49">
            <v>1.5</v>
          </cell>
          <cell r="AE49">
            <v>1.5</v>
          </cell>
          <cell r="AG49">
            <v>2</v>
          </cell>
          <cell r="AH49">
            <v>30</v>
          </cell>
        </row>
        <row r="50">
          <cell r="C50">
            <v>50070</v>
          </cell>
          <cell r="E50">
            <v>43994</v>
          </cell>
          <cell r="F50" t="str">
            <v>LT</v>
          </cell>
          <cell r="G50" t="str">
            <v>LT</v>
          </cell>
          <cell r="H50" t="str">
            <v>LT</v>
          </cell>
          <cell r="I50" t="str">
            <v>LT</v>
          </cell>
          <cell r="J50" t="str">
            <v>F</v>
          </cell>
          <cell r="L50">
            <v>1</v>
          </cell>
          <cell r="M50">
            <v>2</v>
          </cell>
          <cell r="N50">
            <v>2</v>
          </cell>
          <cell r="O50">
            <v>2</v>
          </cell>
          <cell r="P50">
            <v>2</v>
          </cell>
          <cell r="Q50">
            <v>2</v>
          </cell>
          <cell r="S50">
            <v>2</v>
          </cell>
          <cell r="T50">
            <v>1.5</v>
          </cell>
          <cell r="U50">
            <v>1.5</v>
          </cell>
          <cell r="V50">
            <v>1.5</v>
          </cell>
          <cell r="W50">
            <v>1.5</v>
          </cell>
          <cell r="X50">
            <v>1.5</v>
          </cell>
          <cell r="Z50">
            <v>1.5</v>
          </cell>
          <cell r="AA50">
            <v>1.5</v>
          </cell>
          <cell r="AB50">
            <v>1.5</v>
          </cell>
          <cell r="AD50">
            <v>1.5</v>
          </cell>
          <cell r="AE50">
            <v>1.5</v>
          </cell>
          <cell r="AG50">
            <v>2</v>
          </cell>
          <cell r="AH50">
            <v>30</v>
          </cell>
        </row>
        <row r="51">
          <cell r="C51">
            <v>50101</v>
          </cell>
          <cell r="E51">
            <v>44067</v>
          </cell>
          <cell r="F51" t="str">
            <v>LT</v>
          </cell>
          <cell r="G51" t="str">
            <v>LT</v>
          </cell>
          <cell r="H51" t="str">
            <v>LT</v>
          </cell>
          <cell r="I51" t="str">
            <v>LT</v>
          </cell>
          <cell r="J51" t="str">
            <v>F</v>
          </cell>
          <cell r="L51">
            <v>1</v>
          </cell>
          <cell r="M51">
            <v>2</v>
          </cell>
          <cell r="N51">
            <v>2</v>
          </cell>
          <cell r="O51">
            <v>2</v>
          </cell>
          <cell r="P51">
            <v>2</v>
          </cell>
          <cell r="Q51">
            <v>2</v>
          </cell>
          <cell r="S51">
            <v>2</v>
          </cell>
          <cell r="T51">
            <v>1.5</v>
          </cell>
          <cell r="U51">
            <v>1.5</v>
          </cell>
          <cell r="V51">
            <v>1.5</v>
          </cell>
          <cell r="W51">
            <v>1.5</v>
          </cell>
          <cell r="X51">
            <v>1.5</v>
          </cell>
          <cell r="Z51">
            <v>1.5</v>
          </cell>
          <cell r="AA51">
            <v>1.5</v>
          </cell>
          <cell r="AB51">
            <v>1.5</v>
          </cell>
          <cell r="AD51">
            <v>1.5</v>
          </cell>
          <cell r="AE51">
            <v>1.5</v>
          </cell>
          <cell r="AG51">
            <v>2</v>
          </cell>
          <cell r="AH51">
            <v>30</v>
          </cell>
        </row>
        <row r="52">
          <cell r="C52">
            <v>50136</v>
          </cell>
          <cell r="E52">
            <v>44117</v>
          </cell>
          <cell r="F52" t="str">
            <v>LT</v>
          </cell>
          <cell r="G52" t="str">
            <v>LT</v>
          </cell>
          <cell r="H52" t="str">
            <v>LT</v>
          </cell>
          <cell r="I52" t="str">
            <v>LT</v>
          </cell>
          <cell r="J52" t="str">
            <v>F</v>
          </cell>
          <cell r="L52">
            <v>1</v>
          </cell>
          <cell r="M52">
            <v>2</v>
          </cell>
          <cell r="N52">
            <v>2</v>
          </cell>
          <cell r="O52">
            <v>2</v>
          </cell>
          <cell r="P52">
            <v>2</v>
          </cell>
          <cell r="Q52">
            <v>2</v>
          </cell>
          <cell r="S52">
            <v>2</v>
          </cell>
          <cell r="T52">
            <v>1.5</v>
          </cell>
          <cell r="U52">
            <v>1.5</v>
          </cell>
          <cell r="V52">
            <v>1.5</v>
          </cell>
          <cell r="W52">
            <v>1.5</v>
          </cell>
          <cell r="X52">
            <v>1.5</v>
          </cell>
          <cell r="Z52">
            <v>1.5</v>
          </cell>
          <cell r="AA52">
            <v>1.5</v>
          </cell>
          <cell r="AB52">
            <v>1.5</v>
          </cell>
          <cell r="AD52" t="str">
            <v>f</v>
          </cell>
          <cell r="AE52">
            <v>1.5</v>
          </cell>
          <cell r="AG52">
            <v>2</v>
          </cell>
          <cell r="AH52">
            <v>28.5</v>
          </cell>
        </row>
        <row r="53">
          <cell r="C53">
            <v>50170</v>
          </cell>
          <cell r="E53">
            <v>44253</v>
          </cell>
          <cell r="F53" t="str">
            <v>LT</v>
          </cell>
          <cell r="G53" t="str">
            <v>LT</v>
          </cell>
          <cell r="H53" t="str">
            <v>LT</v>
          </cell>
          <cell r="I53" t="str">
            <v>LT</v>
          </cell>
          <cell r="J53" t="str">
            <v>F</v>
          </cell>
          <cell r="L53">
            <v>1</v>
          </cell>
          <cell r="M53">
            <v>2</v>
          </cell>
          <cell r="N53">
            <v>2</v>
          </cell>
          <cell r="O53">
            <v>2</v>
          </cell>
          <cell r="P53">
            <v>2</v>
          </cell>
          <cell r="Q53">
            <v>2</v>
          </cell>
          <cell r="S53">
            <v>2</v>
          </cell>
          <cell r="T53">
            <v>1.5</v>
          </cell>
          <cell r="U53">
            <v>1.5</v>
          </cell>
          <cell r="V53">
            <v>1.5</v>
          </cell>
          <cell r="W53">
            <v>1.5</v>
          </cell>
          <cell r="X53">
            <v>1.5</v>
          </cell>
          <cell r="Z53">
            <v>1.5</v>
          </cell>
          <cell r="AA53">
            <v>1.5</v>
          </cell>
          <cell r="AB53">
            <v>1.5</v>
          </cell>
          <cell r="AD53">
            <v>1.5</v>
          </cell>
          <cell r="AE53">
            <v>1.5</v>
          </cell>
          <cell r="AG53">
            <v>2</v>
          </cell>
          <cell r="AH53">
            <v>30</v>
          </cell>
        </row>
        <row r="54">
          <cell r="C54">
            <v>50171</v>
          </cell>
          <cell r="E54">
            <v>44254</v>
          </cell>
          <cell r="F54" t="str">
            <v>LT</v>
          </cell>
          <cell r="G54" t="str">
            <v>LT</v>
          </cell>
          <cell r="H54" t="str">
            <v>LT</v>
          </cell>
          <cell r="I54" t="str">
            <v>LT</v>
          </cell>
          <cell r="J54" t="str">
            <v>F</v>
          </cell>
          <cell r="L54">
            <v>1</v>
          </cell>
          <cell r="M54">
            <v>2</v>
          </cell>
          <cell r="N54">
            <v>2</v>
          </cell>
          <cell r="O54">
            <v>2</v>
          </cell>
          <cell r="P54">
            <v>2</v>
          </cell>
          <cell r="Q54">
            <v>2</v>
          </cell>
          <cell r="S54">
            <v>2</v>
          </cell>
          <cell r="T54">
            <v>1.5</v>
          </cell>
          <cell r="U54">
            <v>1.5</v>
          </cell>
          <cell r="V54">
            <v>1.5</v>
          </cell>
          <cell r="W54">
            <v>1.5</v>
          </cell>
          <cell r="X54">
            <v>1.5</v>
          </cell>
          <cell r="Z54">
            <v>1.5</v>
          </cell>
          <cell r="AA54">
            <v>1.5</v>
          </cell>
          <cell r="AB54">
            <v>1.5</v>
          </cell>
          <cell r="AD54">
            <v>1.5</v>
          </cell>
          <cell r="AE54">
            <v>1.5</v>
          </cell>
          <cell r="AG54">
            <v>2</v>
          </cell>
          <cell r="AH54">
            <v>30</v>
          </cell>
        </row>
        <row r="55">
          <cell r="C55">
            <v>50176</v>
          </cell>
          <cell r="E55">
            <v>44263</v>
          </cell>
          <cell r="F55" t="str">
            <v>LT</v>
          </cell>
          <cell r="G55" t="str">
            <v>LT</v>
          </cell>
          <cell r="H55" t="str">
            <v>LT</v>
          </cell>
          <cell r="I55" t="str">
            <v>LT</v>
          </cell>
          <cell r="J55" t="str">
            <v>F</v>
          </cell>
          <cell r="L55" t="str">
            <v>RO</v>
          </cell>
          <cell r="M55">
            <v>2</v>
          </cell>
          <cell r="N55" t="str">
            <v>RO</v>
          </cell>
          <cell r="O55">
            <v>2</v>
          </cell>
          <cell r="P55">
            <v>2</v>
          </cell>
          <cell r="Q55">
            <v>2</v>
          </cell>
          <cell r="S55">
            <v>2</v>
          </cell>
          <cell r="T55">
            <v>1.5</v>
          </cell>
          <cell r="U55">
            <v>1.5</v>
          </cell>
          <cell r="V55">
            <v>1.5</v>
          </cell>
          <cell r="W55" t="str">
            <v>F</v>
          </cell>
          <cell r="X55" t="str">
            <v>F</v>
          </cell>
          <cell r="Z55">
            <v>1.5</v>
          </cell>
          <cell r="AA55">
            <v>1.5</v>
          </cell>
          <cell r="AB55" t="str">
            <v>F</v>
          </cell>
          <cell r="AD55">
            <v>1.5</v>
          </cell>
          <cell r="AE55">
            <v>1.5</v>
          </cell>
          <cell r="AG55">
            <v>2</v>
          </cell>
          <cell r="AH55">
            <v>22.5</v>
          </cell>
        </row>
        <row r="56">
          <cell r="C56">
            <v>50183</v>
          </cell>
          <cell r="E56">
            <v>44266</v>
          </cell>
          <cell r="F56" t="str">
            <v>LT</v>
          </cell>
          <cell r="G56" t="str">
            <v>LT</v>
          </cell>
          <cell r="H56" t="str">
            <v>LT</v>
          </cell>
          <cell r="I56" t="str">
            <v>LT</v>
          </cell>
          <cell r="J56" t="str">
            <v>F</v>
          </cell>
          <cell r="L56">
            <v>1</v>
          </cell>
          <cell r="M56">
            <v>2</v>
          </cell>
          <cell r="N56">
            <v>2</v>
          </cell>
          <cell r="O56">
            <v>2</v>
          </cell>
          <cell r="P56">
            <v>2</v>
          </cell>
          <cell r="Q56">
            <v>2</v>
          </cell>
          <cell r="S56">
            <v>2</v>
          </cell>
          <cell r="T56">
            <v>1.5</v>
          </cell>
          <cell r="U56">
            <v>1.5</v>
          </cell>
          <cell r="V56">
            <v>1.5</v>
          </cell>
          <cell r="W56">
            <v>1.5</v>
          </cell>
          <cell r="X56">
            <v>1.5</v>
          </cell>
          <cell r="Z56">
            <v>0</v>
          </cell>
          <cell r="AA56">
            <v>1.5</v>
          </cell>
          <cell r="AB56">
            <v>1.5</v>
          </cell>
          <cell r="AD56">
            <v>1.5</v>
          </cell>
          <cell r="AE56">
            <v>1.5</v>
          </cell>
          <cell r="AG56">
            <v>2</v>
          </cell>
          <cell r="AH56">
            <v>28.5</v>
          </cell>
        </row>
        <row r="57">
          <cell r="C57">
            <v>50223</v>
          </cell>
          <cell r="E57">
            <v>44288</v>
          </cell>
          <cell r="F57" t="str">
            <v>LT</v>
          </cell>
          <cell r="G57" t="str">
            <v>LT</v>
          </cell>
          <cell r="H57" t="str">
            <v>LT</v>
          </cell>
          <cell r="I57" t="str">
            <v>LT</v>
          </cell>
          <cell r="J57" t="str">
            <v>F</v>
          </cell>
          <cell r="L57">
            <v>1</v>
          </cell>
          <cell r="M57">
            <v>2</v>
          </cell>
          <cell r="N57">
            <v>2</v>
          </cell>
          <cell r="O57">
            <v>2</v>
          </cell>
          <cell r="P57">
            <v>2</v>
          </cell>
          <cell r="Q57">
            <v>2</v>
          </cell>
          <cell r="S57">
            <v>2</v>
          </cell>
          <cell r="T57">
            <v>1.5</v>
          </cell>
          <cell r="U57">
            <v>1.5</v>
          </cell>
          <cell r="V57">
            <v>1.5</v>
          </cell>
          <cell r="W57">
            <v>1.5</v>
          </cell>
          <cell r="X57">
            <v>1.5</v>
          </cell>
          <cell r="Z57">
            <v>1.5</v>
          </cell>
          <cell r="AA57">
            <v>1.5</v>
          </cell>
          <cell r="AB57">
            <v>1.5</v>
          </cell>
          <cell r="AD57">
            <v>1.5</v>
          </cell>
          <cell r="AE57">
            <v>1.5</v>
          </cell>
          <cell r="AG57">
            <v>2</v>
          </cell>
          <cell r="AH57">
            <v>30</v>
          </cell>
        </row>
        <row r="58">
          <cell r="C58">
            <v>50230</v>
          </cell>
          <cell r="E58">
            <v>44294</v>
          </cell>
          <cell r="F58" t="str">
            <v>LT</v>
          </cell>
          <cell r="G58" t="str">
            <v>LT</v>
          </cell>
          <cell r="H58" t="str">
            <v>LT</v>
          </cell>
          <cell r="I58" t="str">
            <v>LT</v>
          </cell>
          <cell r="J58" t="str">
            <v>F</v>
          </cell>
          <cell r="L58">
            <v>1</v>
          </cell>
          <cell r="M58">
            <v>2</v>
          </cell>
          <cell r="N58">
            <v>2</v>
          </cell>
          <cell r="O58">
            <v>2</v>
          </cell>
          <cell r="P58">
            <v>2</v>
          </cell>
          <cell r="Q58">
            <v>2</v>
          </cell>
          <cell r="S58">
            <v>2</v>
          </cell>
          <cell r="T58">
            <v>1.5</v>
          </cell>
          <cell r="U58">
            <v>1.5</v>
          </cell>
          <cell r="V58">
            <v>1.5</v>
          </cell>
          <cell r="W58">
            <v>0</v>
          </cell>
          <cell r="X58">
            <v>1.5</v>
          </cell>
          <cell r="Z58">
            <v>1.5</v>
          </cell>
          <cell r="AA58">
            <v>1.5</v>
          </cell>
          <cell r="AB58">
            <v>1.5</v>
          </cell>
          <cell r="AD58">
            <v>1.5</v>
          </cell>
          <cell r="AE58">
            <v>1.5</v>
          </cell>
          <cell r="AG58" t="str">
            <v>Ô</v>
          </cell>
          <cell r="AH58">
            <v>26.5</v>
          </cell>
        </row>
        <row r="59">
          <cell r="C59">
            <v>50233</v>
          </cell>
          <cell r="E59">
            <v>44298</v>
          </cell>
          <cell r="F59" t="str">
            <v>LT</v>
          </cell>
          <cell r="G59" t="str">
            <v>LT</v>
          </cell>
          <cell r="H59" t="str">
            <v>LT</v>
          </cell>
          <cell r="I59" t="str">
            <v>LT</v>
          </cell>
          <cell r="J59" t="str">
            <v>F</v>
          </cell>
          <cell r="L59">
            <v>1</v>
          </cell>
          <cell r="M59">
            <v>2</v>
          </cell>
          <cell r="N59">
            <v>2</v>
          </cell>
          <cell r="O59">
            <v>2</v>
          </cell>
          <cell r="P59">
            <v>2</v>
          </cell>
          <cell r="Q59">
            <v>2</v>
          </cell>
          <cell r="S59" t="str">
            <v>F</v>
          </cell>
          <cell r="T59">
            <v>1.5</v>
          </cell>
          <cell r="U59">
            <v>1.5</v>
          </cell>
          <cell r="V59">
            <v>1.5</v>
          </cell>
          <cell r="W59">
            <v>1.5</v>
          </cell>
          <cell r="X59">
            <v>1.5</v>
          </cell>
          <cell r="Z59">
            <v>1.5</v>
          </cell>
          <cell r="AA59">
            <v>1.5</v>
          </cell>
          <cell r="AB59">
            <v>1.5</v>
          </cell>
          <cell r="AD59">
            <v>1.5</v>
          </cell>
          <cell r="AE59">
            <v>1.5</v>
          </cell>
          <cell r="AG59">
            <v>0</v>
          </cell>
          <cell r="AH59">
            <v>26</v>
          </cell>
        </row>
        <row r="60">
          <cell r="C60">
            <v>50252</v>
          </cell>
          <cell r="E60">
            <v>44321</v>
          </cell>
          <cell r="F60" t="str">
            <v>LT</v>
          </cell>
          <cell r="G60" t="str">
            <v>LT</v>
          </cell>
          <cell r="H60" t="str">
            <v>LT</v>
          </cell>
          <cell r="I60" t="str">
            <v>LT</v>
          </cell>
          <cell r="J60" t="str">
            <v>F</v>
          </cell>
          <cell r="L60">
            <v>1</v>
          </cell>
          <cell r="M60">
            <v>2</v>
          </cell>
          <cell r="N60">
            <v>2</v>
          </cell>
          <cell r="O60">
            <v>2</v>
          </cell>
          <cell r="P60">
            <v>2</v>
          </cell>
          <cell r="Q60">
            <v>2</v>
          </cell>
          <cell r="S60">
            <v>2</v>
          </cell>
          <cell r="T60">
            <v>1.5</v>
          </cell>
          <cell r="U60">
            <v>1.5</v>
          </cell>
          <cell r="V60">
            <v>1.5</v>
          </cell>
          <cell r="W60">
            <v>1.5</v>
          </cell>
          <cell r="X60">
            <v>1.5</v>
          </cell>
          <cell r="Z60">
            <v>1.5</v>
          </cell>
          <cell r="AA60">
            <v>1.5</v>
          </cell>
          <cell r="AB60">
            <v>1.5</v>
          </cell>
          <cell r="AD60" t="str">
            <v>Ô</v>
          </cell>
          <cell r="AE60" t="str">
            <v>Ô</v>
          </cell>
          <cell r="AG60" t="str">
            <v>Ô</v>
          </cell>
          <cell r="AH60">
            <v>25</v>
          </cell>
        </row>
        <row r="61">
          <cell r="C61">
            <v>50253</v>
          </cell>
          <cell r="E61">
            <v>44321</v>
          </cell>
          <cell r="F61" t="str">
            <v>LT</v>
          </cell>
          <cell r="G61" t="str">
            <v>LT</v>
          </cell>
          <cell r="H61" t="str">
            <v>LT</v>
          </cell>
          <cell r="I61" t="str">
            <v>LT</v>
          </cell>
          <cell r="J61" t="str">
            <v>F</v>
          </cell>
          <cell r="L61">
            <v>1</v>
          </cell>
          <cell r="M61">
            <v>2</v>
          </cell>
          <cell r="N61">
            <v>2</v>
          </cell>
          <cell r="O61">
            <v>2</v>
          </cell>
          <cell r="P61">
            <v>2</v>
          </cell>
          <cell r="Q61">
            <v>2</v>
          </cell>
          <cell r="S61">
            <v>2</v>
          </cell>
          <cell r="T61">
            <v>1.5</v>
          </cell>
          <cell r="U61">
            <v>1.5</v>
          </cell>
          <cell r="V61">
            <v>1.5</v>
          </cell>
          <cell r="W61">
            <v>1.5</v>
          </cell>
          <cell r="X61">
            <v>1.5</v>
          </cell>
          <cell r="Z61">
            <v>1.5</v>
          </cell>
          <cell r="AA61">
            <v>1.5</v>
          </cell>
          <cell r="AB61">
            <v>1.5</v>
          </cell>
          <cell r="AD61">
            <v>1.5</v>
          </cell>
          <cell r="AE61">
            <v>1.5</v>
          </cell>
          <cell r="AG61">
            <v>2</v>
          </cell>
          <cell r="AH61">
            <v>30</v>
          </cell>
        </row>
        <row r="62">
          <cell r="C62">
            <v>50267</v>
          </cell>
          <cell r="E62">
            <v>44362</v>
          </cell>
          <cell r="F62" t="str">
            <v>LT</v>
          </cell>
          <cell r="G62" t="str">
            <v>LT</v>
          </cell>
          <cell r="H62" t="str">
            <v>LT</v>
          </cell>
          <cell r="I62" t="str">
            <v>LT</v>
          </cell>
          <cell r="J62" t="str">
            <v>F</v>
          </cell>
          <cell r="L62">
            <v>1</v>
          </cell>
          <cell r="M62">
            <v>2</v>
          </cell>
          <cell r="N62">
            <v>2</v>
          </cell>
          <cell r="O62">
            <v>2</v>
          </cell>
          <cell r="P62">
            <v>2</v>
          </cell>
          <cell r="Q62">
            <v>2</v>
          </cell>
          <cell r="S62">
            <v>2</v>
          </cell>
          <cell r="T62">
            <v>1.5</v>
          </cell>
          <cell r="U62">
            <v>1.5</v>
          </cell>
          <cell r="V62">
            <v>1.5</v>
          </cell>
          <cell r="W62">
            <v>1.5</v>
          </cell>
          <cell r="X62">
            <v>1.5</v>
          </cell>
          <cell r="Z62">
            <v>1.5</v>
          </cell>
          <cell r="AA62">
            <v>1.5</v>
          </cell>
          <cell r="AB62">
            <v>1.5</v>
          </cell>
          <cell r="AD62">
            <v>1.5</v>
          </cell>
          <cell r="AE62" t="str">
            <v>Ô</v>
          </cell>
          <cell r="AG62" t="str">
            <v>Ô</v>
          </cell>
          <cell r="AH62">
            <v>26.5</v>
          </cell>
        </row>
        <row r="63">
          <cell r="C63">
            <v>50432</v>
          </cell>
          <cell r="E63">
            <v>44421</v>
          </cell>
          <cell r="F63" t="str">
            <v>LT</v>
          </cell>
          <cell r="G63" t="str">
            <v>LT</v>
          </cell>
          <cell r="H63" t="str">
            <v>LT</v>
          </cell>
          <cell r="I63" t="str">
            <v>LT</v>
          </cell>
          <cell r="J63" t="str">
            <v>F</v>
          </cell>
          <cell r="L63">
            <v>1</v>
          </cell>
          <cell r="M63">
            <v>2</v>
          </cell>
          <cell r="N63">
            <v>2</v>
          </cell>
          <cell r="O63">
            <v>2</v>
          </cell>
          <cell r="P63">
            <v>2</v>
          </cell>
          <cell r="Q63">
            <v>2</v>
          </cell>
          <cell r="S63">
            <v>2</v>
          </cell>
          <cell r="T63">
            <v>1.5</v>
          </cell>
          <cell r="U63" t="str">
            <v>Ô</v>
          </cell>
          <cell r="V63" t="str">
            <v>Ô</v>
          </cell>
          <cell r="W63" t="str">
            <v>Ô</v>
          </cell>
          <cell r="X63" t="str">
            <v>Ô</v>
          </cell>
          <cell r="Z63" t="str">
            <v>Ô</v>
          </cell>
          <cell r="AA63" t="str">
            <v>Ô</v>
          </cell>
          <cell r="AB63" t="str">
            <v>Ô</v>
          </cell>
          <cell r="AD63">
            <v>1.5</v>
          </cell>
          <cell r="AE63" t="str">
            <v>Ô</v>
          </cell>
          <cell r="AG63" t="str">
            <v>Ô</v>
          </cell>
          <cell r="AH63">
            <v>16</v>
          </cell>
        </row>
        <row r="64">
          <cell r="C64">
            <v>50485</v>
          </cell>
          <cell r="E64">
            <v>44435</v>
          </cell>
          <cell r="F64" t="str">
            <v>LT</v>
          </cell>
          <cell r="G64" t="str">
            <v>LT</v>
          </cell>
          <cell r="H64" t="str">
            <v>LT</v>
          </cell>
          <cell r="I64" t="str">
            <v>LT</v>
          </cell>
          <cell r="J64" t="str">
            <v>F</v>
          </cell>
          <cell r="L64">
            <v>1</v>
          </cell>
          <cell r="M64">
            <v>2</v>
          </cell>
          <cell r="N64">
            <v>2</v>
          </cell>
          <cell r="O64">
            <v>2</v>
          </cell>
          <cell r="P64">
            <v>2</v>
          </cell>
          <cell r="Q64">
            <v>2</v>
          </cell>
          <cell r="S64">
            <v>2</v>
          </cell>
          <cell r="T64">
            <v>1.5</v>
          </cell>
          <cell r="U64">
            <v>1.5</v>
          </cell>
          <cell r="V64">
            <v>1.5</v>
          </cell>
          <cell r="W64">
            <v>1.5</v>
          </cell>
          <cell r="X64">
            <v>1.5</v>
          </cell>
          <cell r="Z64">
            <v>1.5</v>
          </cell>
          <cell r="AA64">
            <v>1.5</v>
          </cell>
          <cell r="AB64">
            <v>1.5</v>
          </cell>
          <cell r="AD64">
            <v>1.5</v>
          </cell>
          <cell r="AE64">
            <v>1.5</v>
          </cell>
          <cell r="AG64">
            <v>2</v>
          </cell>
          <cell r="AH64">
            <v>30</v>
          </cell>
        </row>
        <row r="65">
          <cell r="C65">
            <v>50734</v>
          </cell>
          <cell r="E65">
            <v>44538</v>
          </cell>
          <cell r="F65" t="str">
            <v>LT</v>
          </cell>
          <cell r="G65" t="str">
            <v>LT</v>
          </cell>
          <cell r="H65" t="str">
            <v>LT</v>
          </cell>
          <cell r="I65" t="str">
            <v>LT</v>
          </cell>
          <cell r="J65" t="str">
            <v>Ro</v>
          </cell>
          <cell r="L65">
            <v>1</v>
          </cell>
          <cell r="M65">
            <v>2</v>
          </cell>
          <cell r="N65">
            <v>2</v>
          </cell>
          <cell r="O65">
            <v>2</v>
          </cell>
          <cell r="P65">
            <v>2</v>
          </cell>
          <cell r="Q65">
            <v>2</v>
          </cell>
          <cell r="S65">
            <v>2</v>
          </cell>
          <cell r="T65">
            <v>1.5</v>
          </cell>
          <cell r="U65">
            <v>1.5</v>
          </cell>
          <cell r="V65">
            <v>1.5</v>
          </cell>
          <cell r="W65">
            <v>1.5</v>
          </cell>
          <cell r="X65">
            <v>1.5</v>
          </cell>
          <cell r="Z65">
            <v>1.5</v>
          </cell>
          <cell r="AA65">
            <v>1.5</v>
          </cell>
          <cell r="AB65">
            <v>1.5</v>
          </cell>
          <cell r="AD65">
            <v>1.5</v>
          </cell>
          <cell r="AE65" t="str">
            <v>Ô</v>
          </cell>
          <cell r="AG65" t="str">
            <v>Ô</v>
          </cell>
          <cell r="AH65">
            <v>26.5</v>
          </cell>
        </row>
        <row r="66">
          <cell r="C66">
            <v>50819</v>
          </cell>
          <cell r="E66">
            <v>44615</v>
          </cell>
          <cell r="AD66">
            <v>1.5</v>
          </cell>
          <cell r="AE66">
            <v>1.5</v>
          </cell>
          <cell r="AG66">
            <v>2</v>
          </cell>
          <cell r="AH66">
            <v>5</v>
          </cell>
        </row>
        <row r="67">
          <cell r="C67">
            <v>10072</v>
          </cell>
          <cell r="E67">
            <v>44609</v>
          </cell>
          <cell r="V67">
            <v>1.5</v>
          </cell>
          <cell r="W67">
            <v>1.5</v>
          </cell>
          <cell r="X67">
            <v>1.5</v>
          </cell>
          <cell r="Z67">
            <v>1.5</v>
          </cell>
          <cell r="AA67">
            <v>1.5</v>
          </cell>
          <cell r="AB67">
            <v>1.5</v>
          </cell>
          <cell r="AD67">
            <v>1.5</v>
          </cell>
          <cell r="AE67" t="str">
            <v>Ô</v>
          </cell>
          <cell r="AG67" t="str">
            <v>Ô</v>
          </cell>
          <cell r="AH67">
            <v>10.5</v>
          </cell>
        </row>
        <row r="68">
          <cell r="C68">
            <v>10073</v>
          </cell>
          <cell r="E68">
            <v>44609</v>
          </cell>
          <cell r="V68">
            <v>1.5</v>
          </cell>
          <cell r="W68">
            <v>1.5</v>
          </cell>
          <cell r="X68">
            <v>1.5</v>
          </cell>
          <cell r="Z68">
            <v>1.5</v>
          </cell>
          <cell r="AA68">
            <v>1.5</v>
          </cell>
          <cell r="AB68">
            <v>1.5</v>
          </cell>
          <cell r="AD68" t="str">
            <v>RO</v>
          </cell>
          <cell r="AE68">
            <v>1.5</v>
          </cell>
          <cell r="AG68">
            <v>2</v>
          </cell>
          <cell r="AH68">
            <v>12.5</v>
          </cell>
        </row>
        <row r="69">
          <cell r="C69">
            <v>50012</v>
          </cell>
          <cell r="E69">
            <v>43983</v>
          </cell>
          <cell r="F69" t="str">
            <v>LT</v>
          </cell>
          <cell r="G69" t="str">
            <v>LT</v>
          </cell>
          <cell r="H69" t="str">
            <v>LT</v>
          </cell>
          <cell r="I69" t="str">
            <v>LT</v>
          </cell>
          <cell r="J69" t="str">
            <v>F</v>
          </cell>
          <cell r="L69">
            <v>1</v>
          </cell>
          <cell r="M69">
            <v>2</v>
          </cell>
          <cell r="N69">
            <v>2</v>
          </cell>
          <cell r="O69">
            <v>2</v>
          </cell>
          <cell r="P69">
            <v>2</v>
          </cell>
          <cell r="Q69">
            <v>2</v>
          </cell>
          <cell r="S69">
            <v>1.5</v>
          </cell>
          <cell r="T69">
            <v>1.5</v>
          </cell>
          <cell r="U69">
            <v>1.5</v>
          </cell>
          <cell r="V69">
            <v>1.5</v>
          </cell>
          <cell r="W69">
            <v>1.5</v>
          </cell>
          <cell r="X69">
            <v>1.5</v>
          </cell>
          <cell r="Z69">
            <v>1.5</v>
          </cell>
          <cell r="AA69">
            <v>1.5</v>
          </cell>
          <cell r="AB69">
            <v>1.5</v>
          </cell>
          <cell r="AD69">
            <v>1.5</v>
          </cell>
          <cell r="AE69">
            <v>1.5</v>
          </cell>
          <cell r="AG69">
            <v>2</v>
          </cell>
          <cell r="AH69">
            <v>29.5</v>
          </cell>
        </row>
        <row r="70">
          <cell r="C70">
            <v>50193</v>
          </cell>
          <cell r="E70">
            <v>44270</v>
          </cell>
          <cell r="F70" t="str">
            <v>LT</v>
          </cell>
          <cell r="G70" t="str">
            <v>LT</v>
          </cell>
          <cell r="H70" t="str">
            <v>LT</v>
          </cell>
          <cell r="I70" t="str">
            <v>LT</v>
          </cell>
          <cell r="J70" t="str">
            <v>F</v>
          </cell>
          <cell r="L70">
            <v>1</v>
          </cell>
          <cell r="M70">
            <v>2</v>
          </cell>
          <cell r="N70">
            <v>2</v>
          </cell>
          <cell r="O70">
            <v>2</v>
          </cell>
          <cell r="P70">
            <v>2</v>
          </cell>
          <cell r="Q70">
            <v>2</v>
          </cell>
          <cell r="S70">
            <v>1.5</v>
          </cell>
          <cell r="T70">
            <v>1.5</v>
          </cell>
          <cell r="U70">
            <v>1.5</v>
          </cell>
          <cell r="V70">
            <v>1.5</v>
          </cell>
          <cell r="W70">
            <v>1.5</v>
          </cell>
          <cell r="X70">
            <v>1.5</v>
          </cell>
          <cell r="Z70">
            <v>1.5</v>
          </cell>
          <cell r="AA70">
            <v>1.5</v>
          </cell>
          <cell r="AB70">
            <v>1.5</v>
          </cell>
          <cell r="AD70">
            <v>1.5</v>
          </cell>
          <cell r="AE70">
            <v>1.5</v>
          </cell>
          <cell r="AG70">
            <v>2</v>
          </cell>
          <cell r="AH70">
            <v>29.5</v>
          </cell>
        </row>
        <row r="71">
          <cell r="C71">
            <v>50262</v>
          </cell>
          <cell r="E71">
            <v>44354</v>
          </cell>
          <cell r="F71" t="str">
            <v>LT</v>
          </cell>
          <cell r="G71" t="str">
            <v>LT</v>
          </cell>
          <cell r="H71" t="str">
            <v>LT</v>
          </cell>
          <cell r="I71" t="str">
            <v>LT</v>
          </cell>
          <cell r="J71" t="str">
            <v>F</v>
          </cell>
          <cell r="L71">
            <v>1</v>
          </cell>
          <cell r="M71">
            <v>2</v>
          </cell>
          <cell r="N71">
            <v>2</v>
          </cell>
          <cell r="O71">
            <v>2</v>
          </cell>
          <cell r="P71">
            <v>2</v>
          </cell>
          <cell r="Q71">
            <v>2</v>
          </cell>
          <cell r="S71">
            <v>1.5</v>
          </cell>
          <cell r="T71">
            <v>1.5</v>
          </cell>
          <cell r="U71">
            <v>1.5</v>
          </cell>
          <cell r="V71">
            <v>1.5</v>
          </cell>
          <cell r="W71" t="str">
            <v>Ô</v>
          </cell>
          <cell r="X71" t="str">
            <v>Ô</v>
          </cell>
          <cell r="Z71" t="str">
            <v>Ô</v>
          </cell>
          <cell r="AA71" t="str">
            <v>Ô</v>
          </cell>
          <cell r="AB71" t="str">
            <v>Ô</v>
          </cell>
          <cell r="AD71" t="str">
            <v>Ô</v>
          </cell>
          <cell r="AE71" t="str">
            <v>Ô</v>
          </cell>
          <cell r="AG71" t="str">
            <v>Ô</v>
          </cell>
          <cell r="AH71">
            <v>17</v>
          </cell>
        </row>
        <row r="72">
          <cell r="C72">
            <v>50289</v>
          </cell>
          <cell r="E72">
            <v>44387</v>
          </cell>
          <cell r="F72" t="str">
            <v>LT</v>
          </cell>
          <cell r="G72" t="str">
            <v>LT</v>
          </cell>
          <cell r="H72" t="str">
            <v>LT</v>
          </cell>
          <cell r="I72" t="str">
            <v>LT</v>
          </cell>
          <cell r="J72" t="str">
            <v>F</v>
          </cell>
          <cell r="L72">
            <v>1</v>
          </cell>
          <cell r="M72">
            <v>2</v>
          </cell>
          <cell r="N72">
            <v>2</v>
          </cell>
          <cell r="O72">
            <v>2</v>
          </cell>
          <cell r="P72">
            <v>2</v>
          </cell>
          <cell r="Q72">
            <v>2</v>
          </cell>
          <cell r="S72">
            <v>1.5</v>
          </cell>
          <cell r="T72">
            <v>1.5</v>
          </cell>
          <cell r="U72">
            <v>1.5</v>
          </cell>
          <cell r="V72">
            <v>1.5</v>
          </cell>
          <cell r="W72">
            <v>1.5</v>
          </cell>
          <cell r="X72">
            <v>1.5</v>
          </cell>
          <cell r="Z72">
            <v>1.5</v>
          </cell>
          <cell r="AA72">
            <v>1.5</v>
          </cell>
          <cell r="AB72">
            <v>1.5</v>
          </cell>
          <cell r="AD72">
            <v>1.5</v>
          </cell>
          <cell r="AE72">
            <v>1.5</v>
          </cell>
          <cell r="AG72">
            <v>2</v>
          </cell>
          <cell r="AH72">
            <v>29.5</v>
          </cell>
        </row>
        <row r="73">
          <cell r="C73">
            <v>50290</v>
          </cell>
          <cell r="E73">
            <v>44387</v>
          </cell>
          <cell r="F73" t="str">
            <v>LT</v>
          </cell>
          <cell r="G73" t="str">
            <v>LT</v>
          </cell>
          <cell r="H73" t="str">
            <v>LT</v>
          </cell>
          <cell r="I73" t="str">
            <v>LT</v>
          </cell>
          <cell r="J73" t="str">
            <v>F</v>
          </cell>
          <cell r="L73">
            <v>1</v>
          </cell>
          <cell r="M73">
            <v>2</v>
          </cell>
          <cell r="N73">
            <v>2</v>
          </cell>
          <cell r="O73">
            <v>2</v>
          </cell>
          <cell r="P73">
            <v>2</v>
          </cell>
          <cell r="Q73">
            <v>2</v>
          </cell>
          <cell r="S73">
            <v>1.5</v>
          </cell>
          <cell r="T73">
            <v>1.5</v>
          </cell>
          <cell r="U73">
            <v>1.5</v>
          </cell>
          <cell r="V73">
            <v>1.5</v>
          </cell>
          <cell r="W73">
            <v>1.5</v>
          </cell>
          <cell r="X73">
            <v>1.5</v>
          </cell>
          <cell r="Z73">
            <v>1.5</v>
          </cell>
          <cell r="AA73">
            <v>1.5</v>
          </cell>
          <cell r="AB73">
            <v>1.5</v>
          </cell>
          <cell r="AD73">
            <v>1.5</v>
          </cell>
          <cell r="AE73">
            <v>1.5</v>
          </cell>
          <cell r="AG73">
            <v>2</v>
          </cell>
          <cell r="AH73">
            <v>29.5</v>
          </cell>
        </row>
        <row r="74">
          <cell r="C74">
            <v>50292</v>
          </cell>
          <cell r="E74">
            <v>44397</v>
          </cell>
          <cell r="F74" t="str">
            <v>LT</v>
          </cell>
          <cell r="G74" t="str">
            <v>LT</v>
          </cell>
          <cell r="H74" t="str">
            <v>LT</v>
          </cell>
          <cell r="I74" t="str">
            <v>LT</v>
          </cell>
          <cell r="J74" t="str">
            <v>F</v>
          </cell>
          <cell r="L74">
            <v>1</v>
          </cell>
          <cell r="M74">
            <v>2</v>
          </cell>
          <cell r="N74">
            <v>2</v>
          </cell>
          <cell r="O74">
            <v>2</v>
          </cell>
          <cell r="P74" t="str">
            <v>Ô</v>
          </cell>
          <cell r="Q74" t="str">
            <v>Ô</v>
          </cell>
          <cell r="S74">
            <v>2</v>
          </cell>
          <cell r="T74">
            <v>1.5</v>
          </cell>
          <cell r="U74">
            <v>1.5</v>
          </cell>
          <cell r="V74">
            <v>1.5</v>
          </cell>
          <cell r="W74">
            <v>1.5</v>
          </cell>
          <cell r="X74">
            <v>1.5</v>
          </cell>
          <cell r="Z74">
            <v>1.5</v>
          </cell>
          <cell r="AA74">
            <v>1.5</v>
          </cell>
          <cell r="AB74">
            <v>1.5</v>
          </cell>
          <cell r="AD74">
            <v>1.5</v>
          </cell>
          <cell r="AE74" t="str">
            <v>Ô</v>
          </cell>
          <cell r="AG74" t="str">
            <v>Ô</v>
          </cell>
          <cell r="AH74">
            <v>22.5</v>
          </cell>
        </row>
        <row r="75">
          <cell r="C75">
            <v>50293</v>
          </cell>
          <cell r="E75">
            <v>44397</v>
          </cell>
          <cell r="F75" t="str">
            <v>LT</v>
          </cell>
          <cell r="G75" t="str">
            <v>LT</v>
          </cell>
          <cell r="H75" t="str">
            <v>LT</v>
          </cell>
          <cell r="I75" t="str">
            <v>LT</v>
          </cell>
          <cell r="J75" t="str">
            <v>F</v>
          </cell>
          <cell r="L75">
            <v>1</v>
          </cell>
          <cell r="M75">
            <v>2</v>
          </cell>
          <cell r="N75">
            <v>2</v>
          </cell>
          <cell r="O75">
            <v>2</v>
          </cell>
          <cell r="P75">
            <v>2</v>
          </cell>
          <cell r="Q75">
            <v>2</v>
          </cell>
          <cell r="S75">
            <v>2</v>
          </cell>
          <cell r="T75">
            <v>1.5</v>
          </cell>
          <cell r="U75">
            <v>1.5</v>
          </cell>
          <cell r="V75">
            <v>1.5</v>
          </cell>
          <cell r="W75">
            <v>1.5</v>
          </cell>
          <cell r="X75">
            <v>1.5</v>
          </cell>
          <cell r="Z75">
            <v>1.5</v>
          </cell>
          <cell r="AA75">
            <v>1.5</v>
          </cell>
          <cell r="AB75">
            <v>1.5</v>
          </cell>
          <cell r="AD75">
            <v>1.5</v>
          </cell>
          <cell r="AE75">
            <v>1.5</v>
          </cell>
          <cell r="AG75">
            <v>2</v>
          </cell>
          <cell r="AH75">
            <v>30</v>
          </cell>
        </row>
        <row r="76">
          <cell r="C76">
            <v>50294</v>
          </cell>
          <cell r="E76">
            <v>44397</v>
          </cell>
          <cell r="F76" t="str">
            <v>LT</v>
          </cell>
          <cell r="G76" t="str">
            <v>LT</v>
          </cell>
          <cell r="H76" t="str">
            <v>LT</v>
          </cell>
          <cell r="I76" t="str">
            <v>LT</v>
          </cell>
          <cell r="J76" t="str">
            <v>F</v>
          </cell>
          <cell r="L76">
            <v>1</v>
          </cell>
          <cell r="M76">
            <v>2</v>
          </cell>
          <cell r="N76">
            <v>2</v>
          </cell>
          <cell r="O76">
            <v>2</v>
          </cell>
          <cell r="P76">
            <v>2</v>
          </cell>
          <cell r="Q76">
            <v>2</v>
          </cell>
          <cell r="S76">
            <v>1</v>
          </cell>
          <cell r="T76" t="str">
            <v>Ô</v>
          </cell>
          <cell r="U76" t="str">
            <v>Ô</v>
          </cell>
          <cell r="V76" t="str">
            <v>Ô</v>
          </cell>
          <cell r="W76" t="str">
            <v>Ô</v>
          </cell>
          <cell r="X76" t="str">
            <v>Ô</v>
          </cell>
          <cell r="Z76" t="str">
            <v>Ô</v>
          </cell>
          <cell r="AA76">
            <v>1.5</v>
          </cell>
          <cell r="AB76">
            <v>1.5</v>
          </cell>
          <cell r="AD76">
            <v>1.5</v>
          </cell>
          <cell r="AE76">
            <v>1.5</v>
          </cell>
          <cell r="AG76" t="str">
            <v>Ô</v>
          </cell>
          <cell r="AH76">
            <v>18</v>
          </cell>
        </row>
        <row r="77">
          <cell r="C77">
            <v>50329</v>
          </cell>
          <cell r="E77">
            <v>44403</v>
          </cell>
          <cell r="F77" t="str">
            <v>LT</v>
          </cell>
          <cell r="G77" t="str">
            <v>LT</v>
          </cell>
          <cell r="H77" t="str">
            <v>LT</v>
          </cell>
          <cell r="I77" t="str">
            <v>LT</v>
          </cell>
          <cell r="J77" t="str">
            <v>F</v>
          </cell>
          <cell r="L77">
            <v>1</v>
          </cell>
          <cell r="M77">
            <v>2</v>
          </cell>
          <cell r="N77">
            <v>2</v>
          </cell>
          <cell r="O77">
            <v>2</v>
          </cell>
          <cell r="P77">
            <v>2</v>
          </cell>
          <cell r="Q77">
            <v>2</v>
          </cell>
          <cell r="S77">
            <v>2</v>
          </cell>
          <cell r="T77">
            <v>1.5</v>
          </cell>
          <cell r="U77">
            <v>1.5</v>
          </cell>
          <cell r="V77">
            <v>1.5</v>
          </cell>
          <cell r="W77">
            <v>1.5</v>
          </cell>
          <cell r="X77">
            <v>1.5</v>
          </cell>
          <cell r="Z77">
            <v>1.5</v>
          </cell>
          <cell r="AA77">
            <v>1.5</v>
          </cell>
          <cell r="AB77">
            <v>1.5</v>
          </cell>
          <cell r="AD77">
            <v>1.5</v>
          </cell>
          <cell r="AE77">
            <v>1.5</v>
          </cell>
          <cell r="AG77">
            <v>2</v>
          </cell>
          <cell r="AH77">
            <v>30</v>
          </cell>
        </row>
        <row r="78">
          <cell r="C78">
            <v>50394</v>
          </cell>
          <cell r="E78">
            <v>44414</v>
          </cell>
          <cell r="F78" t="str">
            <v>LT</v>
          </cell>
          <cell r="G78" t="str">
            <v>LT</v>
          </cell>
          <cell r="H78" t="str">
            <v>LT</v>
          </cell>
          <cell r="I78" t="str">
            <v>LT</v>
          </cell>
          <cell r="J78" t="str">
            <v>F</v>
          </cell>
          <cell r="L78">
            <v>1</v>
          </cell>
          <cell r="M78">
            <v>2</v>
          </cell>
          <cell r="N78">
            <v>2</v>
          </cell>
          <cell r="O78">
            <v>2</v>
          </cell>
          <cell r="P78">
            <v>2</v>
          </cell>
          <cell r="Q78">
            <v>2</v>
          </cell>
          <cell r="S78">
            <v>2</v>
          </cell>
          <cell r="T78">
            <v>1.5</v>
          </cell>
          <cell r="U78">
            <v>1.5</v>
          </cell>
          <cell r="V78">
            <v>1.5</v>
          </cell>
          <cell r="W78">
            <v>1.5</v>
          </cell>
          <cell r="X78">
            <v>1.5</v>
          </cell>
          <cell r="Z78">
            <v>1.5</v>
          </cell>
          <cell r="AA78">
            <v>1.5</v>
          </cell>
          <cell r="AB78">
            <v>1.5</v>
          </cell>
          <cell r="AD78">
            <v>1.5</v>
          </cell>
          <cell r="AE78">
            <v>1.5</v>
          </cell>
          <cell r="AG78">
            <v>2</v>
          </cell>
          <cell r="AH78">
            <v>30</v>
          </cell>
        </row>
        <row r="79">
          <cell r="C79">
            <v>50441</v>
          </cell>
          <cell r="E79">
            <v>44422</v>
          </cell>
          <cell r="F79" t="str">
            <v>LT</v>
          </cell>
          <cell r="G79" t="str">
            <v>LT</v>
          </cell>
          <cell r="H79" t="str">
            <v>LT</v>
          </cell>
          <cell r="I79" t="str">
            <v>LT</v>
          </cell>
          <cell r="J79" t="str">
            <v>F</v>
          </cell>
          <cell r="L79">
            <v>1</v>
          </cell>
          <cell r="M79">
            <v>2</v>
          </cell>
          <cell r="N79">
            <v>2</v>
          </cell>
          <cell r="O79">
            <v>2</v>
          </cell>
          <cell r="P79">
            <v>2</v>
          </cell>
          <cell r="Q79">
            <v>2</v>
          </cell>
          <cell r="S79">
            <v>2</v>
          </cell>
          <cell r="T79">
            <v>1.5</v>
          </cell>
          <cell r="U79">
            <v>1.5</v>
          </cell>
          <cell r="V79">
            <v>1.5</v>
          </cell>
          <cell r="W79">
            <v>1.5</v>
          </cell>
          <cell r="X79">
            <v>1.5</v>
          </cell>
          <cell r="Z79">
            <v>1.5</v>
          </cell>
          <cell r="AA79">
            <v>1.5</v>
          </cell>
          <cell r="AB79">
            <v>1.5</v>
          </cell>
          <cell r="AD79">
            <v>0</v>
          </cell>
          <cell r="AE79">
            <v>1.5</v>
          </cell>
          <cell r="AG79">
            <v>2</v>
          </cell>
          <cell r="AH79">
            <v>28.5</v>
          </cell>
        </row>
        <row r="80">
          <cell r="C80">
            <v>50454</v>
          </cell>
          <cell r="E80">
            <v>44426</v>
          </cell>
          <cell r="F80" t="str">
            <v>LT</v>
          </cell>
          <cell r="G80" t="str">
            <v>LT</v>
          </cell>
          <cell r="H80" t="str">
            <v>LT</v>
          </cell>
          <cell r="I80" t="str">
            <v>LT</v>
          </cell>
          <cell r="J80" t="str">
            <v>F</v>
          </cell>
          <cell r="L80">
            <v>1</v>
          </cell>
          <cell r="M80">
            <v>2</v>
          </cell>
          <cell r="N80">
            <v>2</v>
          </cell>
          <cell r="O80">
            <v>2</v>
          </cell>
          <cell r="P80">
            <v>2</v>
          </cell>
          <cell r="Q80">
            <v>2</v>
          </cell>
          <cell r="S80">
            <v>2</v>
          </cell>
          <cell r="T80">
            <v>1.5</v>
          </cell>
          <cell r="U80">
            <v>1.5</v>
          </cell>
          <cell r="V80">
            <v>1.5</v>
          </cell>
          <cell r="W80">
            <v>1.5</v>
          </cell>
          <cell r="X80">
            <v>1.5</v>
          </cell>
          <cell r="Z80">
            <v>1.5</v>
          </cell>
          <cell r="AA80">
            <v>1.5</v>
          </cell>
          <cell r="AB80">
            <v>1.5</v>
          </cell>
          <cell r="AD80">
            <v>1.5</v>
          </cell>
          <cell r="AE80">
            <v>1.5</v>
          </cell>
          <cell r="AG80">
            <v>2</v>
          </cell>
          <cell r="AH80">
            <v>30</v>
          </cell>
        </row>
        <row r="81">
          <cell r="C81">
            <v>50469</v>
          </cell>
          <cell r="E81">
            <v>44432</v>
          </cell>
          <cell r="F81" t="str">
            <v>LT</v>
          </cell>
          <cell r="G81" t="str">
            <v>LT</v>
          </cell>
          <cell r="H81" t="str">
            <v>LT</v>
          </cell>
          <cell r="I81" t="str">
            <v>LT</v>
          </cell>
          <cell r="J81" t="str">
            <v>F</v>
          </cell>
          <cell r="L81">
            <v>1</v>
          </cell>
          <cell r="M81">
            <v>2</v>
          </cell>
          <cell r="N81">
            <v>2</v>
          </cell>
          <cell r="O81">
            <v>2</v>
          </cell>
          <cell r="P81">
            <v>2</v>
          </cell>
          <cell r="Q81">
            <v>2</v>
          </cell>
          <cell r="S81">
            <v>2</v>
          </cell>
          <cell r="T81">
            <v>1.5</v>
          </cell>
          <cell r="U81">
            <v>1.5</v>
          </cell>
          <cell r="V81">
            <v>1.5</v>
          </cell>
          <cell r="W81">
            <v>1.5</v>
          </cell>
          <cell r="X81">
            <v>1.5</v>
          </cell>
          <cell r="Z81">
            <v>1.5</v>
          </cell>
          <cell r="AA81">
            <v>0</v>
          </cell>
          <cell r="AB81">
            <v>1.5</v>
          </cell>
          <cell r="AD81">
            <v>1.5</v>
          </cell>
          <cell r="AE81">
            <v>1.5</v>
          </cell>
          <cell r="AG81" t="str">
            <v>Ô</v>
          </cell>
          <cell r="AH81">
            <v>26.5</v>
          </cell>
        </row>
        <row r="82">
          <cell r="C82">
            <v>50579</v>
          </cell>
          <cell r="E82">
            <v>44466</v>
          </cell>
          <cell r="F82" t="str">
            <v>LT</v>
          </cell>
          <cell r="G82" t="str">
            <v>LT</v>
          </cell>
          <cell r="H82" t="str">
            <v>LT</v>
          </cell>
          <cell r="I82" t="str">
            <v>LT</v>
          </cell>
          <cell r="J82" t="str">
            <v>Ro</v>
          </cell>
          <cell r="L82">
            <v>1</v>
          </cell>
          <cell r="M82">
            <v>2</v>
          </cell>
          <cell r="N82">
            <v>2</v>
          </cell>
          <cell r="O82">
            <v>2</v>
          </cell>
          <cell r="P82">
            <v>2</v>
          </cell>
          <cell r="Q82">
            <v>2</v>
          </cell>
          <cell r="S82">
            <v>2</v>
          </cell>
          <cell r="T82">
            <v>1.5</v>
          </cell>
          <cell r="U82">
            <v>1.5</v>
          </cell>
          <cell r="V82">
            <v>1.5</v>
          </cell>
          <cell r="W82">
            <v>1.5</v>
          </cell>
          <cell r="X82">
            <v>1.5</v>
          </cell>
          <cell r="Z82">
            <v>1.5</v>
          </cell>
          <cell r="AA82">
            <v>1.5</v>
          </cell>
          <cell r="AB82">
            <v>1.5</v>
          </cell>
          <cell r="AD82">
            <v>1.5</v>
          </cell>
          <cell r="AE82">
            <v>0</v>
          </cell>
          <cell r="AG82">
            <v>2</v>
          </cell>
          <cell r="AH82">
            <v>28.5</v>
          </cell>
        </row>
        <row r="83">
          <cell r="C83">
            <v>50610</v>
          </cell>
          <cell r="E83">
            <v>44476</v>
          </cell>
          <cell r="F83" t="str">
            <v>LT</v>
          </cell>
          <cell r="G83" t="str">
            <v>LT</v>
          </cell>
          <cell r="H83" t="str">
            <v>LT</v>
          </cell>
          <cell r="I83" t="str">
            <v>LT</v>
          </cell>
          <cell r="J83" t="str">
            <v>Ro</v>
          </cell>
          <cell r="L83">
            <v>1</v>
          </cell>
          <cell r="M83">
            <v>2</v>
          </cell>
          <cell r="N83">
            <v>2</v>
          </cell>
          <cell r="O83">
            <v>0.5</v>
          </cell>
          <cell r="P83">
            <v>2</v>
          </cell>
          <cell r="Q83">
            <v>2</v>
          </cell>
          <cell r="S83">
            <v>2</v>
          </cell>
          <cell r="T83">
            <v>1.5</v>
          </cell>
          <cell r="U83">
            <v>1.5</v>
          </cell>
          <cell r="V83">
            <v>1.5</v>
          </cell>
          <cell r="W83">
            <v>1.5</v>
          </cell>
          <cell r="X83">
            <v>1.5</v>
          </cell>
          <cell r="Z83">
            <v>1.5</v>
          </cell>
          <cell r="AA83">
            <v>1.5</v>
          </cell>
          <cell r="AB83">
            <v>1.5</v>
          </cell>
          <cell r="AD83">
            <v>1.5</v>
          </cell>
          <cell r="AE83">
            <v>1.5</v>
          </cell>
          <cell r="AG83">
            <v>2</v>
          </cell>
          <cell r="AH83">
            <v>28.5</v>
          </cell>
        </row>
        <row r="84">
          <cell r="C84">
            <v>50629</v>
          </cell>
          <cell r="E84">
            <v>44489</v>
          </cell>
          <cell r="F84" t="str">
            <v>LT</v>
          </cell>
          <cell r="G84" t="str">
            <v>LT</v>
          </cell>
          <cell r="H84" t="str">
            <v>LT</v>
          </cell>
          <cell r="I84" t="str">
            <v>LT</v>
          </cell>
          <cell r="J84" t="str">
            <v>Ro</v>
          </cell>
          <cell r="L84">
            <v>1</v>
          </cell>
          <cell r="M84">
            <v>2</v>
          </cell>
          <cell r="N84">
            <v>2</v>
          </cell>
          <cell r="O84">
            <v>2</v>
          </cell>
          <cell r="P84">
            <v>2</v>
          </cell>
          <cell r="Q84">
            <v>2</v>
          </cell>
          <cell r="S84">
            <v>2</v>
          </cell>
          <cell r="T84">
            <v>1.5</v>
          </cell>
          <cell r="U84">
            <v>1.5</v>
          </cell>
          <cell r="V84">
            <v>1.5</v>
          </cell>
          <cell r="W84">
            <v>1.5</v>
          </cell>
          <cell r="X84">
            <v>1.5</v>
          </cell>
          <cell r="Z84">
            <v>1.5</v>
          </cell>
          <cell r="AA84">
            <v>1.5</v>
          </cell>
          <cell r="AB84">
            <v>1.5</v>
          </cell>
          <cell r="AD84">
            <v>1.5</v>
          </cell>
          <cell r="AE84">
            <v>1.5</v>
          </cell>
          <cell r="AG84">
            <v>2</v>
          </cell>
          <cell r="AH84">
            <v>30</v>
          </cell>
        </row>
        <row r="85">
          <cell r="C85">
            <v>50695</v>
          </cell>
          <cell r="E85">
            <v>44509</v>
          </cell>
          <cell r="F85" t="str">
            <v>LT</v>
          </cell>
          <cell r="G85" t="str">
            <v>LT</v>
          </cell>
          <cell r="H85" t="str">
            <v>LT</v>
          </cell>
          <cell r="I85" t="str">
            <v>LT</v>
          </cell>
          <cell r="J85" t="str">
            <v>Ro</v>
          </cell>
          <cell r="L85">
            <v>1</v>
          </cell>
          <cell r="M85">
            <v>2</v>
          </cell>
          <cell r="N85">
            <v>2</v>
          </cell>
          <cell r="O85">
            <v>2</v>
          </cell>
          <cell r="P85">
            <v>2</v>
          </cell>
          <cell r="Q85">
            <v>2</v>
          </cell>
          <cell r="S85">
            <v>2</v>
          </cell>
          <cell r="T85">
            <v>1.5</v>
          </cell>
          <cell r="U85">
            <v>1.5</v>
          </cell>
          <cell r="V85">
            <v>1.5</v>
          </cell>
          <cell r="W85">
            <v>1.5</v>
          </cell>
          <cell r="X85">
            <v>1.5</v>
          </cell>
          <cell r="Z85">
            <v>1.5</v>
          </cell>
          <cell r="AA85">
            <v>1.5</v>
          </cell>
          <cell r="AB85">
            <v>1.5</v>
          </cell>
          <cell r="AD85">
            <v>1.5</v>
          </cell>
          <cell r="AE85">
            <v>1.5</v>
          </cell>
          <cell r="AG85" t="str">
            <v>Ô</v>
          </cell>
          <cell r="AH85">
            <v>28</v>
          </cell>
        </row>
        <row r="86">
          <cell r="C86">
            <v>50777</v>
          </cell>
          <cell r="E86">
            <v>44602</v>
          </cell>
          <cell r="O86">
            <v>2</v>
          </cell>
          <cell r="P86">
            <v>2</v>
          </cell>
          <cell r="Q86">
            <v>2</v>
          </cell>
          <cell r="S86">
            <v>2</v>
          </cell>
          <cell r="T86">
            <v>1.5</v>
          </cell>
          <cell r="U86">
            <v>1.5</v>
          </cell>
          <cell r="V86">
            <v>1.5</v>
          </cell>
          <cell r="W86">
            <v>1.5</v>
          </cell>
          <cell r="X86">
            <v>1.5</v>
          </cell>
          <cell r="Z86">
            <v>1.5</v>
          </cell>
          <cell r="AA86">
            <v>1.5</v>
          </cell>
          <cell r="AB86">
            <v>0</v>
          </cell>
          <cell r="AD86">
            <v>1.5</v>
          </cell>
          <cell r="AE86">
            <v>1.5</v>
          </cell>
          <cell r="AG86">
            <v>2</v>
          </cell>
          <cell r="AH86">
            <v>23.5</v>
          </cell>
        </row>
        <row r="87">
          <cell r="C87">
            <v>50779</v>
          </cell>
          <cell r="E87">
            <v>44603</v>
          </cell>
          <cell r="P87">
            <v>2</v>
          </cell>
          <cell r="Q87">
            <v>2</v>
          </cell>
          <cell r="S87">
            <v>2</v>
          </cell>
          <cell r="T87">
            <v>1.5</v>
          </cell>
          <cell r="U87">
            <v>1.5</v>
          </cell>
          <cell r="V87">
            <v>1.5</v>
          </cell>
          <cell r="W87">
            <v>1.5</v>
          </cell>
          <cell r="X87">
            <v>0</v>
          </cell>
          <cell r="Z87">
            <v>1.5</v>
          </cell>
          <cell r="AA87">
            <v>1.5</v>
          </cell>
          <cell r="AB87">
            <v>1.5</v>
          </cell>
          <cell r="AD87">
            <v>1.5</v>
          </cell>
          <cell r="AE87">
            <v>1.5</v>
          </cell>
          <cell r="AG87">
            <v>2</v>
          </cell>
          <cell r="AH87">
            <v>21.5</v>
          </cell>
        </row>
        <row r="88">
          <cell r="C88">
            <v>50788</v>
          </cell>
          <cell r="E88">
            <v>44606</v>
          </cell>
          <cell r="S88">
            <v>2</v>
          </cell>
          <cell r="T88">
            <v>1.5</v>
          </cell>
          <cell r="U88">
            <v>1.5</v>
          </cell>
          <cell r="V88">
            <v>1.5</v>
          </cell>
          <cell r="W88">
            <v>1.5</v>
          </cell>
          <cell r="X88">
            <v>1.5</v>
          </cell>
          <cell r="Z88">
            <v>1.5</v>
          </cell>
          <cell r="AA88" t="str">
            <v>ô</v>
          </cell>
          <cell r="AB88">
            <v>1.5</v>
          </cell>
          <cell r="AD88" t="str">
            <v>ô</v>
          </cell>
          <cell r="AE88" t="str">
            <v>ô</v>
          </cell>
          <cell r="AG88" t="str">
            <v>ô</v>
          </cell>
          <cell r="AH88">
            <v>12.5</v>
          </cell>
        </row>
        <row r="89">
          <cell r="C89">
            <v>50790</v>
          </cell>
          <cell r="E89">
            <v>44606</v>
          </cell>
          <cell r="S89">
            <v>2</v>
          </cell>
          <cell r="T89">
            <v>1.5</v>
          </cell>
          <cell r="U89">
            <v>1.5</v>
          </cell>
          <cell r="V89">
            <v>1.5</v>
          </cell>
          <cell r="W89">
            <v>1.5</v>
          </cell>
          <cell r="X89">
            <v>1.5</v>
          </cell>
          <cell r="Z89">
            <v>1.5</v>
          </cell>
          <cell r="AA89">
            <v>1.5</v>
          </cell>
          <cell r="AB89">
            <v>1.5</v>
          </cell>
          <cell r="AD89">
            <v>1.5</v>
          </cell>
          <cell r="AE89">
            <v>1.5</v>
          </cell>
          <cell r="AG89">
            <v>2</v>
          </cell>
          <cell r="AH89">
            <v>19</v>
          </cell>
        </row>
        <row r="90">
          <cell r="C90">
            <v>50820</v>
          </cell>
          <cell r="E90">
            <v>44618</v>
          </cell>
          <cell r="AD90">
            <v>1.5</v>
          </cell>
          <cell r="AE90">
            <v>1.5</v>
          </cell>
          <cell r="AG90">
            <v>2</v>
          </cell>
          <cell r="AH90">
            <v>5</v>
          </cell>
        </row>
        <row r="91">
          <cell r="C91">
            <v>50226</v>
          </cell>
          <cell r="E91">
            <v>44291</v>
          </cell>
          <cell r="F91" t="str">
            <v>Lt</v>
          </cell>
          <cell r="G91" t="str">
            <v>Lt</v>
          </cell>
          <cell r="H91" t="str">
            <v>Lt</v>
          </cell>
          <cell r="I91" t="str">
            <v>Lt</v>
          </cell>
          <cell r="J91" t="str">
            <v>F</v>
          </cell>
          <cell r="L91">
            <v>1</v>
          </cell>
          <cell r="M91">
            <v>2</v>
          </cell>
          <cell r="N91">
            <v>2</v>
          </cell>
          <cell r="O91">
            <v>2</v>
          </cell>
          <cell r="P91">
            <v>2</v>
          </cell>
          <cell r="Q91">
            <v>2</v>
          </cell>
          <cell r="S91">
            <v>2</v>
          </cell>
          <cell r="T91">
            <v>1.5</v>
          </cell>
          <cell r="U91">
            <v>1.5</v>
          </cell>
          <cell r="V91">
            <v>1.5</v>
          </cell>
          <cell r="W91">
            <v>1.5</v>
          </cell>
          <cell r="X91">
            <v>1.5</v>
          </cell>
          <cell r="Z91" t="str">
            <v>Ô</v>
          </cell>
          <cell r="AA91" t="str">
            <v>Ô</v>
          </cell>
          <cell r="AB91" t="str">
            <v>Ô</v>
          </cell>
          <cell r="AD91" t="str">
            <v>Ô</v>
          </cell>
          <cell r="AE91" t="str">
            <v>Ô</v>
          </cell>
          <cell r="AG91" t="str">
            <v>Ô</v>
          </cell>
          <cell r="AH91">
            <v>20.5</v>
          </cell>
        </row>
        <row r="92">
          <cell r="C92">
            <v>50326</v>
          </cell>
          <cell r="E92">
            <v>44400</v>
          </cell>
          <cell r="F92" t="str">
            <v>Lt</v>
          </cell>
          <cell r="G92" t="str">
            <v>Lt</v>
          </cell>
          <cell r="H92" t="str">
            <v>Lt</v>
          </cell>
          <cell r="I92" t="str">
            <v>Lt</v>
          </cell>
          <cell r="J92" t="str">
            <v>F</v>
          </cell>
          <cell r="L92">
            <v>1</v>
          </cell>
          <cell r="M92">
            <v>2</v>
          </cell>
          <cell r="N92">
            <v>2</v>
          </cell>
          <cell r="O92">
            <v>2</v>
          </cell>
          <cell r="P92">
            <v>2</v>
          </cell>
          <cell r="Q92">
            <v>2</v>
          </cell>
          <cell r="S92">
            <v>2</v>
          </cell>
          <cell r="T92">
            <v>0</v>
          </cell>
          <cell r="U92" t="str">
            <v>Fđ</v>
          </cell>
          <cell r="V92" t="str">
            <v>Fđ</v>
          </cell>
          <cell r="W92" t="str">
            <v>Fđ</v>
          </cell>
          <cell r="X92" t="str">
            <v>Ô</v>
          </cell>
          <cell r="Z92" t="str">
            <v>Ô</v>
          </cell>
          <cell r="AA92" t="str">
            <v>Ô</v>
          </cell>
          <cell r="AB92" t="str">
            <v>Ô</v>
          </cell>
          <cell r="AD92" t="str">
            <v>Ô</v>
          </cell>
          <cell r="AE92" t="str">
            <v>Ô</v>
          </cell>
          <cell r="AG92">
            <v>0</v>
          </cell>
          <cell r="AH92">
            <v>13</v>
          </cell>
        </row>
        <row r="93">
          <cell r="C93">
            <v>50358</v>
          </cell>
          <cell r="E93">
            <v>44406</v>
          </cell>
          <cell r="F93" t="str">
            <v>Lt</v>
          </cell>
          <cell r="G93" t="str">
            <v>Lt</v>
          </cell>
          <cell r="H93" t="str">
            <v>Lt</v>
          </cell>
          <cell r="I93" t="str">
            <v>Lt</v>
          </cell>
          <cell r="J93" t="str">
            <v>F</v>
          </cell>
          <cell r="L93">
            <v>1</v>
          </cell>
          <cell r="M93">
            <v>2</v>
          </cell>
          <cell r="N93">
            <v>2</v>
          </cell>
          <cell r="O93">
            <v>2</v>
          </cell>
          <cell r="P93">
            <v>2</v>
          </cell>
          <cell r="Q93">
            <v>2</v>
          </cell>
          <cell r="S93">
            <v>2</v>
          </cell>
          <cell r="T93">
            <v>1.5</v>
          </cell>
          <cell r="U93">
            <v>1.5</v>
          </cell>
          <cell r="V93" t="str">
            <v>Ô</v>
          </cell>
          <cell r="W93" t="str">
            <v>Ô</v>
          </cell>
          <cell r="X93" t="str">
            <v>Ô</v>
          </cell>
          <cell r="Z93" t="str">
            <v>Ô</v>
          </cell>
          <cell r="AA93" t="str">
            <v>Ô</v>
          </cell>
          <cell r="AB93" t="str">
            <v>Ô</v>
          </cell>
          <cell r="AD93" t="str">
            <v>Ô</v>
          </cell>
          <cell r="AE93" t="str">
            <v>Ô</v>
          </cell>
          <cell r="AG93" t="str">
            <v>Ô</v>
          </cell>
          <cell r="AH93">
            <v>16</v>
          </cell>
        </row>
        <row r="94">
          <cell r="C94">
            <v>50362</v>
          </cell>
          <cell r="E94">
            <v>44406</v>
          </cell>
          <cell r="F94" t="str">
            <v>Lt</v>
          </cell>
          <cell r="G94" t="str">
            <v>Lt</v>
          </cell>
          <cell r="H94" t="str">
            <v>Lt</v>
          </cell>
          <cell r="I94" t="str">
            <v>Lt</v>
          </cell>
          <cell r="J94" t="str">
            <v>F</v>
          </cell>
          <cell r="L94">
            <v>1</v>
          </cell>
          <cell r="M94">
            <v>2</v>
          </cell>
          <cell r="N94">
            <v>2</v>
          </cell>
          <cell r="O94">
            <v>2</v>
          </cell>
          <cell r="P94">
            <v>2</v>
          </cell>
          <cell r="Q94">
            <v>2</v>
          </cell>
          <cell r="S94">
            <v>1</v>
          </cell>
          <cell r="T94">
            <v>1.5</v>
          </cell>
          <cell r="U94">
            <v>1.5</v>
          </cell>
          <cell r="V94">
            <v>1.5</v>
          </cell>
          <cell r="W94">
            <v>1.5</v>
          </cell>
          <cell r="X94">
            <v>1.5</v>
          </cell>
          <cell r="Z94">
            <v>1.5</v>
          </cell>
          <cell r="AA94">
            <v>1.5</v>
          </cell>
          <cell r="AB94">
            <v>1.5</v>
          </cell>
          <cell r="AD94">
            <v>1.5</v>
          </cell>
          <cell r="AE94">
            <v>1.5</v>
          </cell>
          <cell r="AG94">
            <v>0</v>
          </cell>
          <cell r="AH94">
            <v>27</v>
          </cell>
        </row>
        <row r="95">
          <cell r="C95">
            <v>50364</v>
          </cell>
          <cell r="E95">
            <v>44406</v>
          </cell>
          <cell r="F95" t="str">
            <v>Lt</v>
          </cell>
          <cell r="G95" t="str">
            <v>Lt</v>
          </cell>
          <cell r="H95" t="str">
            <v>Lt</v>
          </cell>
          <cell r="I95" t="str">
            <v>Lt</v>
          </cell>
          <cell r="J95" t="str">
            <v>F</v>
          </cell>
          <cell r="L95">
            <v>1</v>
          </cell>
          <cell r="M95">
            <v>2</v>
          </cell>
          <cell r="N95">
            <v>2</v>
          </cell>
          <cell r="O95">
            <v>2</v>
          </cell>
          <cell r="P95">
            <v>2</v>
          </cell>
          <cell r="Q95">
            <v>2</v>
          </cell>
          <cell r="S95">
            <v>2</v>
          </cell>
          <cell r="T95">
            <v>1.5</v>
          </cell>
          <cell r="U95">
            <v>1.5</v>
          </cell>
          <cell r="V95">
            <v>1.5</v>
          </cell>
          <cell r="W95">
            <v>1.5</v>
          </cell>
          <cell r="X95">
            <v>1.5</v>
          </cell>
          <cell r="Z95">
            <v>1.5</v>
          </cell>
          <cell r="AA95">
            <v>1.5</v>
          </cell>
          <cell r="AB95">
            <v>1.5</v>
          </cell>
          <cell r="AD95" t="str">
            <v>Ô</v>
          </cell>
          <cell r="AE95" t="str">
            <v>Ô</v>
          </cell>
          <cell r="AG95">
            <v>2</v>
          </cell>
          <cell r="AH95">
            <v>27</v>
          </cell>
        </row>
        <row r="96">
          <cell r="C96">
            <v>50367</v>
          </cell>
          <cell r="E96">
            <v>44406</v>
          </cell>
          <cell r="F96" t="str">
            <v>Lt</v>
          </cell>
          <cell r="G96" t="str">
            <v>Lt</v>
          </cell>
          <cell r="H96" t="str">
            <v>Lt</v>
          </cell>
          <cell r="I96" t="str">
            <v>Lt</v>
          </cell>
          <cell r="J96" t="str">
            <v>F</v>
          </cell>
          <cell r="L96">
            <v>1</v>
          </cell>
          <cell r="M96">
            <v>2</v>
          </cell>
          <cell r="N96">
            <v>2</v>
          </cell>
          <cell r="O96">
            <v>2</v>
          </cell>
          <cell r="P96">
            <v>2</v>
          </cell>
          <cell r="Q96">
            <v>0.5</v>
          </cell>
          <cell r="S96">
            <v>2</v>
          </cell>
          <cell r="T96">
            <v>1.5</v>
          </cell>
          <cell r="U96">
            <v>1.5</v>
          </cell>
          <cell r="V96">
            <v>1.5</v>
          </cell>
          <cell r="W96">
            <v>1.5</v>
          </cell>
          <cell r="X96">
            <v>1.5</v>
          </cell>
          <cell r="Z96">
            <v>1.5</v>
          </cell>
          <cell r="AA96">
            <v>1.5</v>
          </cell>
          <cell r="AB96" t="str">
            <v>Ô</v>
          </cell>
          <cell r="AD96" t="str">
            <v>Ô</v>
          </cell>
          <cell r="AE96" t="str">
            <v>Ô</v>
          </cell>
          <cell r="AG96">
            <v>2</v>
          </cell>
          <cell r="AH96">
            <v>24</v>
          </cell>
        </row>
        <row r="97">
          <cell r="C97">
            <v>50382</v>
          </cell>
          <cell r="E97">
            <v>44411</v>
          </cell>
          <cell r="F97" t="str">
            <v>Lt</v>
          </cell>
          <cell r="G97" t="str">
            <v>Lt</v>
          </cell>
          <cell r="H97" t="str">
            <v>Lt</v>
          </cell>
          <cell r="I97" t="str">
            <v>Lt</v>
          </cell>
          <cell r="J97" t="str">
            <v>F</v>
          </cell>
          <cell r="L97">
            <v>1</v>
          </cell>
          <cell r="M97">
            <v>2</v>
          </cell>
          <cell r="N97">
            <v>2</v>
          </cell>
          <cell r="O97">
            <v>0.5</v>
          </cell>
          <cell r="P97">
            <v>2</v>
          </cell>
          <cell r="Q97">
            <v>2</v>
          </cell>
          <cell r="S97">
            <v>2</v>
          </cell>
          <cell r="T97">
            <v>1.5</v>
          </cell>
          <cell r="U97">
            <v>1.5</v>
          </cell>
          <cell r="V97">
            <v>1.5</v>
          </cell>
          <cell r="W97">
            <v>1.5</v>
          </cell>
          <cell r="X97">
            <v>1.5</v>
          </cell>
          <cell r="Z97">
            <v>1.5</v>
          </cell>
          <cell r="AA97">
            <v>1.5</v>
          </cell>
          <cell r="AB97">
            <v>0</v>
          </cell>
          <cell r="AD97" t="str">
            <v>Ô</v>
          </cell>
          <cell r="AE97" t="str">
            <v>Ô</v>
          </cell>
          <cell r="AG97" t="str">
            <v>Ô</v>
          </cell>
          <cell r="AH97">
            <v>22</v>
          </cell>
        </row>
        <row r="98">
          <cell r="C98">
            <v>50401</v>
          </cell>
          <cell r="E98">
            <v>44417</v>
          </cell>
          <cell r="F98" t="str">
            <v>Lt</v>
          </cell>
          <cell r="G98" t="str">
            <v>Lt</v>
          </cell>
          <cell r="H98" t="str">
            <v>Lt</v>
          </cell>
          <cell r="I98" t="str">
            <v>Lt</v>
          </cell>
          <cell r="J98" t="str">
            <v>F</v>
          </cell>
          <cell r="L98">
            <v>1</v>
          </cell>
          <cell r="M98">
            <v>2</v>
          </cell>
          <cell r="N98" t="str">
            <v>F</v>
          </cell>
          <cell r="O98">
            <v>2</v>
          </cell>
          <cell r="P98">
            <v>2</v>
          </cell>
          <cell r="Q98">
            <v>2</v>
          </cell>
          <cell r="S98" t="str">
            <v>Ro</v>
          </cell>
          <cell r="T98" t="str">
            <v>Ro</v>
          </cell>
          <cell r="U98" t="str">
            <v>Ro</v>
          </cell>
          <cell r="V98">
            <v>1.5</v>
          </cell>
          <cell r="W98">
            <v>0</v>
          </cell>
          <cell r="X98">
            <v>1.5</v>
          </cell>
          <cell r="Z98">
            <v>1.5</v>
          </cell>
          <cell r="AA98">
            <v>1.5</v>
          </cell>
          <cell r="AB98">
            <v>1.5</v>
          </cell>
          <cell r="AD98" t="str">
            <v>Ô</v>
          </cell>
          <cell r="AE98" t="str">
            <v>Ô</v>
          </cell>
          <cell r="AG98" t="str">
            <v>Ô</v>
          </cell>
          <cell r="AH98">
            <v>16.5</v>
          </cell>
        </row>
        <row r="99">
          <cell r="C99">
            <v>50460</v>
          </cell>
          <cell r="E99">
            <v>44424</v>
          </cell>
          <cell r="F99" t="str">
            <v>Lt</v>
          </cell>
          <cell r="G99" t="str">
            <v>Lt</v>
          </cell>
          <cell r="H99" t="str">
            <v>Lt</v>
          </cell>
          <cell r="I99" t="str">
            <v>Lt</v>
          </cell>
          <cell r="J99" t="str">
            <v>F</v>
          </cell>
          <cell r="L99">
            <v>1</v>
          </cell>
          <cell r="M99">
            <v>2</v>
          </cell>
          <cell r="N99">
            <v>2</v>
          </cell>
          <cell r="O99">
            <v>2</v>
          </cell>
          <cell r="P99">
            <v>2</v>
          </cell>
          <cell r="Q99">
            <v>2</v>
          </cell>
          <cell r="S99">
            <v>2</v>
          </cell>
          <cell r="T99">
            <v>1.5</v>
          </cell>
          <cell r="U99">
            <v>1.5</v>
          </cell>
          <cell r="V99">
            <v>1.5</v>
          </cell>
          <cell r="W99">
            <v>1.5</v>
          </cell>
          <cell r="X99">
            <v>1.5</v>
          </cell>
          <cell r="Z99">
            <v>1.5</v>
          </cell>
          <cell r="AA99">
            <v>1.5</v>
          </cell>
          <cell r="AB99">
            <v>1.5</v>
          </cell>
          <cell r="AD99" t="str">
            <v>Ô</v>
          </cell>
          <cell r="AE99" t="str">
            <v>Ô</v>
          </cell>
          <cell r="AG99" t="str">
            <v>Ô</v>
          </cell>
          <cell r="AH99">
            <v>25</v>
          </cell>
        </row>
        <row r="100">
          <cell r="C100">
            <v>50477</v>
          </cell>
          <cell r="E100">
            <v>44434</v>
          </cell>
          <cell r="F100" t="str">
            <v>Lt</v>
          </cell>
          <cell r="G100" t="str">
            <v>Lt</v>
          </cell>
          <cell r="H100" t="str">
            <v>Lt</v>
          </cell>
          <cell r="I100" t="str">
            <v>Lt</v>
          </cell>
          <cell r="J100" t="str">
            <v>F</v>
          </cell>
          <cell r="L100">
            <v>1</v>
          </cell>
          <cell r="M100">
            <v>2</v>
          </cell>
          <cell r="N100">
            <v>2</v>
          </cell>
          <cell r="O100">
            <v>2</v>
          </cell>
          <cell r="P100">
            <v>2</v>
          </cell>
          <cell r="Q100">
            <v>2</v>
          </cell>
          <cell r="S100">
            <v>2</v>
          </cell>
          <cell r="T100">
            <v>1.5</v>
          </cell>
          <cell r="U100">
            <v>1.5</v>
          </cell>
          <cell r="V100">
            <v>1.5</v>
          </cell>
          <cell r="W100">
            <v>1.5</v>
          </cell>
          <cell r="X100">
            <v>1.5</v>
          </cell>
          <cell r="Z100">
            <v>1.5</v>
          </cell>
          <cell r="AA100">
            <v>1.5</v>
          </cell>
          <cell r="AB100">
            <v>0</v>
          </cell>
          <cell r="AD100" t="str">
            <v>Ô</v>
          </cell>
          <cell r="AE100" t="str">
            <v>Ô</v>
          </cell>
          <cell r="AG100" t="str">
            <v>Ô</v>
          </cell>
          <cell r="AH100">
            <v>23.5</v>
          </cell>
        </row>
        <row r="101">
          <cell r="C101">
            <v>50522</v>
          </cell>
          <cell r="E101">
            <v>44446</v>
          </cell>
          <cell r="F101" t="str">
            <v>Lt</v>
          </cell>
          <cell r="G101" t="str">
            <v>Lt</v>
          </cell>
          <cell r="H101" t="str">
            <v>Lt</v>
          </cell>
          <cell r="I101" t="str">
            <v>Lt</v>
          </cell>
          <cell r="J101" t="str">
            <v>F</v>
          </cell>
          <cell r="L101">
            <v>1</v>
          </cell>
          <cell r="M101">
            <v>2</v>
          </cell>
          <cell r="N101">
            <v>2</v>
          </cell>
          <cell r="O101">
            <v>2</v>
          </cell>
          <cell r="P101">
            <v>2</v>
          </cell>
          <cell r="Q101">
            <v>2</v>
          </cell>
          <cell r="S101">
            <v>2</v>
          </cell>
          <cell r="T101">
            <v>1.5</v>
          </cell>
          <cell r="U101">
            <v>1.5</v>
          </cell>
          <cell r="V101">
            <v>1.5</v>
          </cell>
          <cell r="W101">
            <v>1.5</v>
          </cell>
          <cell r="X101">
            <v>1.5</v>
          </cell>
          <cell r="Z101">
            <v>1.5</v>
          </cell>
          <cell r="AA101">
            <v>1.5</v>
          </cell>
          <cell r="AB101">
            <v>1.5</v>
          </cell>
          <cell r="AD101">
            <v>1.5</v>
          </cell>
          <cell r="AE101">
            <v>1.5</v>
          </cell>
          <cell r="AG101">
            <v>2</v>
          </cell>
          <cell r="AH101">
            <v>30</v>
          </cell>
        </row>
        <row r="102">
          <cell r="C102">
            <v>50531</v>
          </cell>
          <cell r="E102">
            <v>44448</v>
          </cell>
          <cell r="F102" t="str">
            <v>Lt</v>
          </cell>
          <cell r="G102" t="str">
            <v>Lt</v>
          </cell>
          <cell r="H102" t="str">
            <v>Lt</v>
          </cell>
          <cell r="I102" t="str">
            <v>Lt</v>
          </cell>
          <cell r="J102" t="str">
            <v>F</v>
          </cell>
          <cell r="L102">
            <v>1</v>
          </cell>
          <cell r="M102">
            <v>2</v>
          </cell>
          <cell r="N102">
            <v>2</v>
          </cell>
          <cell r="O102">
            <v>2</v>
          </cell>
          <cell r="P102">
            <v>2</v>
          </cell>
          <cell r="Q102">
            <v>2</v>
          </cell>
          <cell r="S102">
            <v>2</v>
          </cell>
          <cell r="T102">
            <v>1.5</v>
          </cell>
          <cell r="U102">
            <v>1.5</v>
          </cell>
          <cell r="V102">
            <v>1.5</v>
          </cell>
          <cell r="W102">
            <v>1.5</v>
          </cell>
          <cell r="X102">
            <v>1.5</v>
          </cell>
          <cell r="Z102">
            <v>1.5</v>
          </cell>
          <cell r="AA102">
            <v>1.5</v>
          </cell>
          <cell r="AB102">
            <v>1.5</v>
          </cell>
          <cell r="AD102">
            <v>1.5</v>
          </cell>
          <cell r="AE102">
            <v>1.5</v>
          </cell>
          <cell r="AG102">
            <v>2</v>
          </cell>
          <cell r="AH102">
            <v>30</v>
          </cell>
        </row>
        <row r="103">
          <cell r="C103">
            <v>50577</v>
          </cell>
          <cell r="E103">
            <v>44466</v>
          </cell>
          <cell r="F103" t="str">
            <v>Lt</v>
          </cell>
          <cell r="G103" t="str">
            <v>Lt</v>
          </cell>
          <cell r="H103" t="str">
            <v>Lt</v>
          </cell>
          <cell r="I103" t="str">
            <v>Lt</v>
          </cell>
          <cell r="J103" t="str">
            <v>F</v>
          </cell>
          <cell r="L103">
            <v>1</v>
          </cell>
          <cell r="M103">
            <v>2</v>
          </cell>
          <cell r="N103">
            <v>2</v>
          </cell>
          <cell r="O103">
            <v>2</v>
          </cell>
          <cell r="P103">
            <v>2</v>
          </cell>
          <cell r="Q103">
            <v>2</v>
          </cell>
          <cell r="S103">
            <v>2</v>
          </cell>
          <cell r="T103">
            <v>1.5</v>
          </cell>
          <cell r="U103">
            <v>1.5</v>
          </cell>
          <cell r="V103">
            <v>1.5</v>
          </cell>
          <cell r="W103">
            <v>1.5</v>
          </cell>
          <cell r="X103">
            <v>0</v>
          </cell>
          <cell r="Z103">
            <v>1.5</v>
          </cell>
          <cell r="AA103">
            <v>1.5</v>
          </cell>
          <cell r="AB103">
            <v>1.5</v>
          </cell>
          <cell r="AD103">
            <v>1.5</v>
          </cell>
          <cell r="AE103">
            <v>1.5</v>
          </cell>
          <cell r="AG103">
            <v>2</v>
          </cell>
          <cell r="AH103">
            <v>28.5</v>
          </cell>
        </row>
        <row r="104">
          <cell r="C104">
            <v>50644</v>
          </cell>
          <cell r="E104">
            <v>44406</v>
          </cell>
          <cell r="F104" t="str">
            <v>Lt</v>
          </cell>
          <cell r="G104" t="str">
            <v>Lt</v>
          </cell>
          <cell r="H104" t="str">
            <v>Lt</v>
          </cell>
          <cell r="I104" t="str">
            <v>Lt</v>
          </cell>
          <cell r="J104" t="str">
            <v>F</v>
          </cell>
          <cell r="L104">
            <v>1</v>
          </cell>
          <cell r="M104">
            <v>2</v>
          </cell>
          <cell r="N104">
            <v>2</v>
          </cell>
          <cell r="O104">
            <v>2</v>
          </cell>
          <cell r="P104">
            <v>2</v>
          </cell>
          <cell r="Q104">
            <v>2</v>
          </cell>
          <cell r="S104">
            <v>2</v>
          </cell>
          <cell r="T104" t="str">
            <v>F</v>
          </cell>
          <cell r="U104">
            <v>1.5</v>
          </cell>
          <cell r="V104">
            <v>1.5</v>
          </cell>
          <cell r="W104">
            <v>1.5</v>
          </cell>
          <cell r="X104" t="str">
            <v>Ro</v>
          </cell>
          <cell r="Z104" t="str">
            <v>Ro</v>
          </cell>
          <cell r="AA104">
            <v>1.5</v>
          </cell>
          <cell r="AB104">
            <v>1.5</v>
          </cell>
          <cell r="AD104">
            <v>1.5</v>
          </cell>
          <cell r="AE104">
            <v>1.5</v>
          </cell>
          <cell r="AG104">
            <v>2</v>
          </cell>
          <cell r="AH104">
            <v>25.5</v>
          </cell>
        </row>
        <row r="105">
          <cell r="C105">
            <v>50645</v>
          </cell>
          <cell r="E105">
            <v>44410</v>
          </cell>
          <cell r="F105" t="str">
            <v>Lt</v>
          </cell>
          <cell r="G105" t="str">
            <v>Lt</v>
          </cell>
          <cell r="H105" t="str">
            <v>Lt</v>
          </cell>
          <cell r="I105" t="str">
            <v>Lt</v>
          </cell>
          <cell r="J105" t="str">
            <v>F</v>
          </cell>
          <cell r="L105">
            <v>1</v>
          </cell>
          <cell r="M105">
            <v>2</v>
          </cell>
          <cell r="N105">
            <v>2</v>
          </cell>
          <cell r="O105">
            <v>2</v>
          </cell>
          <cell r="P105">
            <v>2</v>
          </cell>
          <cell r="Q105">
            <v>2</v>
          </cell>
          <cell r="S105">
            <v>2</v>
          </cell>
          <cell r="T105">
            <v>1.5</v>
          </cell>
          <cell r="U105">
            <v>1.5</v>
          </cell>
          <cell r="V105">
            <v>1.5</v>
          </cell>
          <cell r="W105">
            <v>1.5</v>
          </cell>
          <cell r="X105">
            <v>1.5</v>
          </cell>
          <cell r="Z105">
            <v>1.5</v>
          </cell>
          <cell r="AA105">
            <v>1.5</v>
          </cell>
          <cell r="AB105">
            <v>1.5</v>
          </cell>
          <cell r="AD105" t="str">
            <v>Ô</v>
          </cell>
          <cell r="AE105" t="str">
            <v>Ô</v>
          </cell>
          <cell r="AG105" t="str">
            <v>Ô</v>
          </cell>
          <cell r="AH105">
            <v>25</v>
          </cell>
        </row>
        <row r="106">
          <cell r="C106">
            <v>50753</v>
          </cell>
          <cell r="E106">
            <v>44406</v>
          </cell>
          <cell r="F106" t="str">
            <v>Lt</v>
          </cell>
          <cell r="G106" t="str">
            <v>Lt</v>
          </cell>
          <cell r="H106" t="str">
            <v>Lt</v>
          </cell>
          <cell r="I106" t="str">
            <v>Lt</v>
          </cell>
          <cell r="J106" t="str">
            <v>F</v>
          </cell>
          <cell r="L106">
            <v>1</v>
          </cell>
          <cell r="M106">
            <v>2</v>
          </cell>
          <cell r="N106">
            <v>2</v>
          </cell>
          <cell r="O106">
            <v>2</v>
          </cell>
          <cell r="P106">
            <v>0.5</v>
          </cell>
          <cell r="Q106">
            <v>2</v>
          </cell>
          <cell r="S106">
            <v>2</v>
          </cell>
          <cell r="T106">
            <v>1.5</v>
          </cell>
          <cell r="U106">
            <v>1.5</v>
          </cell>
          <cell r="V106">
            <v>1.5</v>
          </cell>
          <cell r="W106">
            <v>1.5</v>
          </cell>
          <cell r="X106">
            <v>1.5</v>
          </cell>
          <cell r="Z106">
            <v>1.5</v>
          </cell>
          <cell r="AA106">
            <v>1.5</v>
          </cell>
          <cell r="AB106">
            <v>1.5</v>
          </cell>
          <cell r="AD106" t="str">
            <v>Ô</v>
          </cell>
          <cell r="AE106">
            <v>1.5</v>
          </cell>
          <cell r="AG106">
            <v>2</v>
          </cell>
          <cell r="AH106">
            <v>27</v>
          </cell>
        </row>
        <row r="107">
          <cell r="C107">
            <v>50800</v>
          </cell>
          <cell r="E107">
            <v>44609</v>
          </cell>
          <cell r="V107">
            <v>1.5</v>
          </cell>
          <cell r="W107">
            <v>1.5</v>
          </cell>
          <cell r="X107">
            <v>1.5</v>
          </cell>
          <cell r="Z107">
            <v>1.5</v>
          </cell>
          <cell r="AA107">
            <v>1.5</v>
          </cell>
          <cell r="AB107">
            <v>1.5</v>
          </cell>
          <cell r="AD107">
            <v>1.5</v>
          </cell>
          <cell r="AE107">
            <v>1.5</v>
          </cell>
          <cell r="AG107">
            <v>2</v>
          </cell>
          <cell r="AH107">
            <v>14</v>
          </cell>
        </row>
        <row r="108">
          <cell r="C108">
            <v>10071</v>
          </cell>
          <cell r="E108">
            <v>44607</v>
          </cell>
          <cell r="T108">
            <v>1.5</v>
          </cell>
          <cell r="U108">
            <v>1.5</v>
          </cell>
          <cell r="V108">
            <v>1.5</v>
          </cell>
          <cell r="W108">
            <v>1.5</v>
          </cell>
          <cell r="X108">
            <v>1.5</v>
          </cell>
          <cell r="Z108">
            <v>1.5</v>
          </cell>
          <cell r="AA108">
            <v>1.5</v>
          </cell>
          <cell r="AB108">
            <v>1.5</v>
          </cell>
          <cell r="AD108">
            <v>1.5</v>
          </cell>
          <cell r="AE108">
            <v>1.5</v>
          </cell>
          <cell r="AG108">
            <v>1.5</v>
          </cell>
          <cell r="AH108">
            <v>16.5</v>
          </cell>
        </row>
        <row r="109">
          <cell r="C109">
            <v>50111</v>
          </cell>
          <cell r="E109">
            <v>44081</v>
          </cell>
          <cell r="F109" t="str">
            <v>LT</v>
          </cell>
          <cell r="G109" t="str">
            <v>LT</v>
          </cell>
          <cell r="H109" t="str">
            <v>LT</v>
          </cell>
          <cell r="I109" t="str">
            <v>LT</v>
          </cell>
          <cell r="J109" t="str">
            <v>F</v>
          </cell>
          <cell r="L109">
            <v>1</v>
          </cell>
          <cell r="M109" t="str">
            <v>f</v>
          </cell>
          <cell r="N109">
            <v>2</v>
          </cell>
          <cell r="O109">
            <v>2</v>
          </cell>
          <cell r="P109">
            <v>2</v>
          </cell>
          <cell r="Q109">
            <v>2</v>
          </cell>
          <cell r="S109">
            <v>2</v>
          </cell>
          <cell r="T109">
            <v>1.5</v>
          </cell>
          <cell r="U109">
            <v>0</v>
          </cell>
          <cell r="V109">
            <v>1.5</v>
          </cell>
          <cell r="W109">
            <v>1.5</v>
          </cell>
          <cell r="X109">
            <v>1.5</v>
          </cell>
          <cell r="Z109">
            <v>1.5</v>
          </cell>
          <cell r="AA109">
            <v>1.5</v>
          </cell>
          <cell r="AB109">
            <v>1.5</v>
          </cell>
          <cell r="AD109">
            <v>1.5</v>
          </cell>
          <cell r="AE109">
            <v>1.5</v>
          </cell>
          <cell r="AG109">
            <v>2</v>
          </cell>
          <cell r="AH109">
            <v>26.5</v>
          </cell>
        </row>
        <row r="110">
          <cell r="C110">
            <v>50231</v>
          </cell>
          <cell r="E110">
            <v>44298</v>
          </cell>
          <cell r="F110" t="str">
            <v>LT</v>
          </cell>
          <cell r="G110" t="str">
            <v>LT</v>
          </cell>
          <cell r="H110" t="str">
            <v>LT</v>
          </cell>
          <cell r="I110" t="str">
            <v>LT</v>
          </cell>
          <cell r="J110" t="str">
            <v>F</v>
          </cell>
          <cell r="L110">
            <v>1</v>
          </cell>
          <cell r="M110">
            <v>2</v>
          </cell>
          <cell r="N110">
            <v>2</v>
          </cell>
          <cell r="O110">
            <v>2</v>
          </cell>
          <cell r="P110">
            <v>2</v>
          </cell>
          <cell r="Q110">
            <v>2</v>
          </cell>
          <cell r="S110">
            <v>2</v>
          </cell>
          <cell r="T110">
            <v>1.5</v>
          </cell>
          <cell r="U110">
            <v>1.5</v>
          </cell>
          <cell r="V110">
            <v>1.5</v>
          </cell>
          <cell r="W110">
            <v>1.5</v>
          </cell>
          <cell r="X110">
            <v>1.5</v>
          </cell>
          <cell r="Z110">
            <v>1.5</v>
          </cell>
          <cell r="AA110">
            <v>1.5</v>
          </cell>
          <cell r="AB110">
            <v>1.5</v>
          </cell>
          <cell r="AD110">
            <v>1.5</v>
          </cell>
          <cell r="AE110">
            <v>1.5</v>
          </cell>
          <cell r="AG110">
            <v>2</v>
          </cell>
          <cell r="AH110">
            <v>30</v>
          </cell>
        </row>
        <row r="111">
          <cell r="C111">
            <v>50284</v>
          </cell>
          <cell r="E111">
            <v>44384</v>
          </cell>
          <cell r="F111" t="str">
            <v>LT</v>
          </cell>
          <cell r="G111" t="str">
            <v>LT</v>
          </cell>
          <cell r="H111" t="str">
            <v>LT</v>
          </cell>
          <cell r="I111" t="str">
            <v>LT</v>
          </cell>
          <cell r="J111" t="str">
            <v>F</v>
          </cell>
          <cell r="L111">
            <v>1</v>
          </cell>
          <cell r="M111">
            <v>2</v>
          </cell>
          <cell r="N111">
            <v>2</v>
          </cell>
          <cell r="O111">
            <v>2</v>
          </cell>
          <cell r="P111">
            <v>2</v>
          </cell>
          <cell r="Q111">
            <v>2</v>
          </cell>
          <cell r="S111">
            <v>2</v>
          </cell>
          <cell r="T111">
            <v>1.5</v>
          </cell>
          <cell r="U111">
            <v>1.5</v>
          </cell>
          <cell r="V111">
            <v>1.5</v>
          </cell>
          <cell r="W111">
            <v>1.5</v>
          </cell>
          <cell r="X111">
            <v>1.5</v>
          </cell>
          <cell r="Z111">
            <v>1.5</v>
          </cell>
          <cell r="AA111">
            <v>1.5</v>
          </cell>
          <cell r="AB111">
            <v>1.5</v>
          </cell>
          <cell r="AD111">
            <v>1.5</v>
          </cell>
          <cell r="AE111" t="str">
            <v>F</v>
          </cell>
          <cell r="AG111">
            <v>2</v>
          </cell>
          <cell r="AH111">
            <v>28.5</v>
          </cell>
        </row>
        <row r="112">
          <cell r="C112">
            <v>50336</v>
          </cell>
          <cell r="E112">
            <v>44403</v>
          </cell>
          <cell r="F112" t="str">
            <v>LT</v>
          </cell>
          <cell r="G112" t="str">
            <v>LT</v>
          </cell>
          <cell r="H112" t="str">
            <v>LT</v>
          </cell>
          <cell r="I112" t="str">
            <v>LT</v>
          </cell>
          <cell r="J112" t="str">
            <v>Ro</v>
          </cell>
          <cell r="L112">
            <v>1</v>
          </cell>
          <cell r="M112">
            <v>2</v>
          </cell>
          <cell r="N112">
            <v>2</v>
          </cell>
          <cell r="O112">
            <v>2</v>
          </cell>
          <cell r="P112">
            <v>2</v>
          </cell>
          <cell r="Q112">
            <v>2</v>
          </cell>
          <cell r="S112">
            <v>2</v>
          </cell>
          <cell r="T112">
            <v>1.5</v>
          </cell>
          <cell r="U112">
            <v>1.5</v>
          </cell>
          <cell r="V112">
            <v>1.5</v>
          </cell>
          <cell r="W112">
            <v>1.5</v>
          </cell>
          <cell r="X112">
            <v>1.5</v>
          </cell>
          <cell r="Z112">
            <v>1.5</v>
          </cell>
          <cell r="AA112">
            <v>1.5</v>
          </cell>
          <cell r="AB112">
            <v>1.5</v>
          </cell>
          <cell r="AD112">
            <v>1.5</v>
          </cell>
          <cell r="AE112">
            <v>1.5</v>
          </cell>
          <cell r="AG112" t="str">
            <v>Ro</v>
          </cell>
          <cell r="AH112">
            <v>28</v>
          </cell>
        </row>
        <row r="113">
          <cell r="C113">
            <v>50385</v>
          </cell>
          <cell r="E113">
            <v>44412</v>
          </cell>
          <cell r="F113" t="str">
            <v>LT</v>
          </cell>
          <cell r="G113" t="str">
            <v>LT</v>
          </cell>
          <cell r="H113" t="str">
            <v>LT</v>
          </cell>
          <cell r="I113" t="str">
            <v>LT</v>
          </cell>
          <cell r="J113" t="str">
            <v>F</v>
          </cell>
          <cell r="L113">
            <v>0</v>
          </cell>
          <cell r="M113">
            <v>2</v>
          </cell>
          <cell r="N113">
            <v>2</v>
          </cell>
          <cell r="O113">
            <v>2</v>
          </cell>
          <cell r="P113">
            <v>2</v>
          </cell>
          <cell r="Q113">
            <v>2</v>
          </cell>
          <cell r="S113">
            <v>2</v>
          </cell>
          <cell r="T113">
            <v>1.5</v>
          </cell>
          <cell r="U113">
            <v>1.5</v>
          </cell>
          <cell r="V113">
            <v>1.5</v>
          </cell>
          <cell r="W113">
            <v>1.5</v>
          </cell>
          <cell r="X113" t="str">
            <v>F</v>
          </cell>
          <cell r="Z113">
            <v>1.5</v>
          </cell>
          <cell r="AA113">
            <v>1.5</v>
          </cell>
          <cell r="AB113">
            <v>1.5</v>
          </cell>
          <cell r="AD113">
            <v>1.5</v>
          </cell>
          <cell r="AE113">
            <v>1.5</v>
          </cell>
          <cell r="AG113">
            <v>2</v>
          </cell>
          <cell r="AH113">
            <v>27.5</v>
          </cell>
        </row>
        <row r="114">
          <cell r="C114">
            <v>50422</v>
          </cell>
          <cell r="E114">
            <v>44420</v>
          </cell>
          <cell r="F114" t="str">
            <v>LT</v>
          </cell>
          <cell r="G114" t="str">
            <v>LT</v>
          </cell>
          <cell r="H114" t="str">
            <v>LT</v>
          </cell>
          <cell r="I114" t="str">
            <v>LT</v>
          </cell>
          <cell r="J114" t="str">
            <v>F</v>
          </cell>
          <cell r="L114">
            <v>1</v>
          </cell>
          <cell r="M114">
            <v>2</v>
          </cell>
          <cell r="N114">
            <v>2</v>
          </cell>
          <cell r="O114">
            <v>2</v>
          </cell>
          <cell r="P114">
            <v>2</v>
          </cell>
          <cell r="Q114">
            <v>2</v>
          </cell>
          <cell r="S114">
            <v>2</v>
          </cell>
          <cell r="T114">
            <v>1.5</v>
          </cell>
          <cell r="U114">
            <v>1.5</v>
          </cell>
          <cell r="V114">
            <v>1.5</v>
          </cell>
          <cell r="W114">
            <v>1.5</v>
          </cell>
          <cell r="X114">
            <v>1.5</v>
          </cell>
          <cell r="Z114">
            <v>1.5</v>
          </cell>
          <cell r="AA114" t="str">
            <v>F</v>
          </cell>
          <cell r="AB114">
            <v>1.5</v>
          </cell>
          <cell r="AD114">
            <v>1.5</v>
          </cell>
          <cell r="AE114">
            <v>1.5</v>
          </cell>
          <cell r="AG114">
            <v>2</v>
          </cell>
          <cell r="AH114">
            <v>28.5</v>
          </cell>
        </row>
        <row r="115">
          <cell r="C115">
            <v>50431</v>
          </cell>
          <cell r="E115">
            <v>44421</v>
          </cell>
          <cell r="F115" t="str">
            <v>LT</v>
          </cell>
          <cell r="G115" t="str">
            <v>LT</v>
          </cell>
          <cell r="H115" t="str">
            <v>LT</v>
          </cell>
          <cell r="I115" t="str">
            <v>LT</v>
          </cell>
          <cell r="J115" t="str">
            <v>F</v>
          </cell>
          <cell r="L115">
            <v>0</v>
          </cell>
          <cell r="M115">
            <v>2</v>
          </cell>
          <cell r="N115">
            <v>2</v>
          </cell>
          <cell r="O115">
            <v>2</v>
          </cell>
          <cell r="P115">
            <v>2</v>
          </cell>
          <cell r="Q115">
            <v>2</v>
          </cell>
          <cell r="S115" t="str">
            <v>F</v>
          </cell>
          <cell r="T115">
            <v>1.5</v>
          </cell>
          <cell r="U115">
            <v>1.5</v>
          </cell>
          <cell r="V115">
            <v>1.5</v>
          </cell>
          <cell r="W115">
            <v>1.5</v>
          </cell>
          <cell r="X115">
            <v>1.5</v>
          </cell>
          <cell r="Z115">
            <v>1.5</v>
          </cell>
          <cell r="AA115">
            <v>1.5</v>
          </cell>
          <cell r="AB115" t="str">
            <v>F</v>
          </cell>
          <cell r="AD115">
            <v>1.5</v>
          </cell>
          <cell r="AE115">
            <v>1.5</v>
          </cell>
          <cell r="AG115">
            <v>2</v>
          </cell>
          <cell r="AH115">
            <v>25.5</v>
          </cell>
        </row>
        <row r="116">
          <cell r="C116">
            <v>50473</v>
          </cell>
          <cell r="E116">
            <v>44432</v>
          </cell>
          <cell r="F116" t="str">
            <v>LT</v>
          </cell>
          <cell r="G116" t="str">
            <v>LT</v>
          </cell>
          <cell r="H116" t="str">
            <v>LT</v>
          </cell>
          <cell r="I116" t="str">
            <v>LT</v>
          </cell>
          <cell r="J116" t="str">
            <v>F</v>
          </cell>
          <cell r="L116">
            <v>1</v>
          </cell>
          <cell r="M116">
            <v>2</v>
          </cell>
          <cell r="N116">
            <v>2</v>
          </cell>
          <cell r="O116">
            <v>2</v>
          </cell>
          <cell r="P116">
            <v>2</v>
          </cell>
          <cell r="Q116">
            <v>2</v>
          </cell>
          <cell r="S116">
            <v>2</v>
          </cell>
          <cell r="T116">
            <v>1.5</v>
          </cell>
          <cell r="U116">
            <v>1.5</v>
          </cell>
          <cell r="V116">
            <v>1.5</v>
          </cell>
          <cell r="W116">
            <v>1.5</v>
          </cell>
          <cell r="X116">
            <v>1.5</v>
          </cell>
          <cell r="Z116">
            <v>1.5</v>
          </cell>
          <cell r="AA116">
            <v>1.5</v>
          </cell>
          <cell r="AB116">
            <v>1.5</v>
          </cell>
          <cell r="AD116">
            <v>1.5</v>
          </cell>
          <cell r="AE116">
            <v>1.5</v>
          </cell>
          <cell r="AG116">
            <v>2</v>
          </cell>
          <cell r="AH116">
            <v>30</v>
          </cell>
        </row>
        <row r="117">
          <cell r="C117">
            <v>50494</v>
          </cell>
          <cell r="E117">
            <v>44439</v>
          </cell>
          <cell r="F117" t="str">
            <v>LT</v>
          </cell>
          <cell r="G117" t="str">
            <v>LT</v>
          </cell>
          <cell r="H117" t="str">
            <v>LT</v>
          </cell>
          <cell r="I117" t="str">
            <v>LT</v>
          </cell>
          <cell r="J117" t="str">
            <v>F</v>
          </cell>
          <cell r="L117">
            <v>1</v>
          </cell>
          <cell r="M117">
            <v>2</v>
          </cell>
          <cell r="N117">
            <v>2</v>
          </cell>
          <cell r="O117">
            <v>2</v>
          </cell>
          <cell r="P117">
            <v>2</v>
          </cell>
          <cell r="Q117">
            <v>2</v>
          </cell>
          <cell r="S117">
            <v>2</v>
          </cell>
          <cell r="T117">
            <v>1.5</v>
          </cell>
          <cell r="U117">
            <v>1.5</v>
          </cell>
          <cell r="V117">
            <v>1.5</v>
          </cell>
          <cell r="W117">
            <v>1.5</v>
          </cell>
          <cell r="X117">
            <v>1.5</v>
          </cell>
          <cell r="Z117">
            <v>1.5</v>
          </cell>
          <cell r="AA117">
            <v>1.5</v>
          </cell>
          <cell r="AB117">
            <v>1.5</v>
          </cell>
          <cell r="AD117">
            <v>1.5</v>
          </cell>
          <cell r="AE117">
            <v>1.5</v>
          </cell>
          <cell r="AG117" t="str">
            <v>F</v>
          </cell>
          <cell r="AH117">
            <v>28</v>
          </cell>
        </row>
        <row r="118">
          <cell r="C118">
            <v>50541</v>
          </cell>
          <cell r="E118">
            <v>44454</v>
          </cell>
          <cell r="F118" t="str">
            <v>LT</v>
          </cell>
          <cell r="G118" t="str">
            <v>LT</v>
          </cell>
          <cell r="H118" t="str">
            <v>LT</v>
          </cell>
          <cell r="I118" t="str">
            <v>LT</v>
          </cell>
          <cell r="J118" t="str">
            <v>F</v>
          </cell>
          <cell r="L118">
            <v>1</v>
          </cell>
          <cell r="M118">
            <v>2</v>
          </cell>
          <cell r="N118">
            <v>2</v>
          </cell>
          <cell r="O118">
            <v>2</v>
          </cell>
          <cell r="P118">
            <v>2</v>
          </cell>
          <cell r="Q118">
            <v>2</v>
          </cell>
          <cell r="S118">
            <v>2</v>
          </cell>
          <cell r="T118">
            <v>1.5</v>
          </cell>
          <cell r="U118">
            <v>1.5</v>
          </cell>
          <cell r="V118">
            <v>1.5</v>
          </cell>
          <cell r="W118">
            <v>1.5</v>
          </cell>
          <cell r="X118">
            <v>1.5</v>
          </cell>
          <cell r="Z118">
            <v>1.5</v>
          </cell>
          <cell r="AA118">
            <v>1.5</v>
          </cell>
          <cell r="AB118">
            <v>1.5</v>
          </cell>
          <cell r="AD118">
            <v>1.5</v>
          </cell>
          <cell r="AE118">
            <v>1.5</v>
          </cell>
          <cell r="AG118">
            <v>2</v>
          </cell>
          <cell r="AH118">
            <v>30</v>
          </cell>
        </row>
        <row r="119">
          <cell r="C119">
            <v>50650</v>
          </cell>
          <cell r="E119">
            <v>44421</v>
          </cell>
          <cell r="F119" t="str">
            <v>LT</v>
          </cell>
          <cell r="G119" t="str">
            <v>LT</v>
          </cell>
          <cell r="H119" t="str">
            <v>LT</v>
          </cell>
          <cell r="I119" t="str">
            <v>LT</v>
          </cell>
          <cell r="J119" t="str">
            <v>Ro</v>
          </cell>
          <cell r="L119">
            <v>1</v>
          </cell>
          <cell r="M119">
            <v>2</v>
          </cell>
          <cell r="N119">
            <v>2</v>
          </cell>
          <cell r="O119">
            <v>2</v>
          </cell>
          <cell r="P119">
            <v>2</v>
          </cell>
          <cell r="Q119">
            <v>2</v>
          </cell>
          <cell r="S119">
            <v>2</v>
          </cell>
          <cell r="T119">
            <v>1.5</v>
          </cell>
          <cell r="U119">
            <v>1.5</v>
          </cell>
          <cell r="V119">
            <v>1.5</v>
          </cell>
          <cell r="W119">
            <v>1.5</v>
          </cell>
          <cell r="X119">
            <v>1.5</v>
          </cell>
          <cell r="Z119">
            <v>1.5</v>
          </cell>
          <cell r="AA119">
            <v>1.5</v>
          </cell>
          <cell r="AB119">
            <v>1.5</v>
          </cell>
          <cell r="AD119" t="str">
            <v>ô</v>
          </cell>
          <cell r="AE119" t="str">
            <v>ô</v>
          </cell>
          <cell r="AG119" t="str">
            <v>ô</v>
          </cell>
          <cell r="AH119">
            <v>25</v>
          </cell>
        </row>
        <row r="120">
          <cell r="C120">
            <v>50697</v>
          </cell>
          <cell r="E120">
            <v>44513</v>
          </cell>
          <cell r="F120" t="str">
            <v>LT</v>
          </cell>
          <cell r="G120" t="str">
            <v>LT</v>
          </cell>
          <cell r="H120" t="str">
            <v>LT</v>
          </cell>
          <cell r="I120" t="str">
            <v>LT</v>
          </cell>
          <cell r="J120" t="str">
            <v>F</v>
          </cell>
          <cell r="L120">
            <v>1</v>
          </cell>
          <cell r="M120">
            <v>2</v>
          </cell>
          <cell r="N120">
            <v>2</v>
          </cell>
          <cell r="O120">
            <v>2</v>
          </cell>
          <cell r="P120">
            <v>2</v>
          </cell>
          <cell r="Q120">
            <v>2</v>
          </cell>
          <cell r="S120">
            <v>2</v>
          </cell>
          <cell r="T120">
            <v>1.5</v>
          </cell>
          <cell r="U120">
            <v>1.5</v>
          </cell>
          <cell r="V120" t="str">
            <v>1.5</v>
          </cell>
          <cell r="W120" t="str">
            <v>Ô</v>
          </cell>
          <cell r="X120" t="str">
            <v>Ô</v>
          </cell>
          <cell r="Z120" t="str">
            <v>Ô</v>
          </cell>
          <cell r="AA120">
            <v>1.5</v>
          </cell>
          <cell r="AB120">
            <v>1.5</v>
          </cell>
          <cell r="AD120">
            <v>1.5</v>
          </cell>
          <cell r="AE120">
            <v>1.5</v>
          </cell>
          <cell r="AG120">
            <v>2</v>
          </cell>
          <cell r="AH120">
            <v>24</v>
          </cell>
        </row>
        <row r="121">
          <cell r="C121">
            <v>50700</v>
          </cell>
          <cell r="E121">
            <v>44515</v>
          </cell>
          <cell r="F121" t="str">
            <v>LT</v>
          </cell>
          <cell r="G121" t="str">
            <v>LT</v>
          </cell>
          <cell r="H121" t="str">
            <v>LT</v>
          </cell>
          <cell r="I121" t="str">
            <v>LT</v>
          </cell>
          <cell r="J121" t="str">
            <v>Ro</v>
          </cell>
          <cell r="L121" t="str">
            <v>R</v>
          </cell>
          <cell r="M121">
            <v>2</v>
          </cell>
          <cell r="N121">
            <v>2</v>
          </cell>
          <cell r="O121" t="str">
            <v>Ro</v>
          </cell>
          <cell r="P121">
            <v>2</v>
          </cell>
          <cell r="Q121">
            <v>2</v>
          </cell>
          <cell r="S121">
            <v>2</v>
          </cell>
          <cell r="T121">
            <v>1.5</v>
          </cell>
          <cell r="U121" t="str">
            <v>Ro</v>
          </cell>
          <cell r="V121">
            <v>1.5</v>
          </cell>
          <cell r="W121">
            <v>1.5</v>
          </cell>
          <cell r="X121">
            <v>1.5</v>
          </cell>
          <cell r="Z121">
            <v>1.5</v>
          </cell>
          <cell r="AA121">
            <v>1.5</v>
          </cell>
          <cell r="AB121">
            <v>1.5</v>
          </cell>
          <cell r="AD121">
            <v>1.5</v>
          </cell>
          <cell r="AE121">
            <v>1.5</v>
          </cell>
          <cell r="AG121" t="str">
            <v>Ô</v>
          </cell>
          <cell r="AH121">
            <v>23.5</v>
          </cell>
        </row>
        <row r="122">
          <cell r="C122">
            <v>50717</v>
          </cell>
          <cell r="E122">
            <v>44519</v>
          </cell>
          <cell r="F122" t="str">
            <v>LT</v>
          </cell>
          <cell r="G122" t="str">
            <v>LT</v>
          </cell>
          <cell r="H122" t="str">
            <v>LT</v>
          </cell>
          <cell r="I122" t="str">
            <v>LT</v>
          </cell>
          <cell r="J122" t="str">
            <v>Ro</v>
          </cell>
          <cell r="L122" t="str">
            <v>Ro</v>
          </cell>
          <cell r="M122">
            <v>2</v>
          </cell>
          <cell r="N122">
            <v>2</v>
          </cell>
          <cell r="O122">
            <v>2</v>
          </cell>
          <cell r="P122">
            <v>2</v>
          </cell>
          <cell r="Q122">
            <v>2</v>
          </cell>
          <cell r="S122">
            <v>2</v>
          </cell>
          <cell r="T122">
            <v>1.5</v>
          </cell>
          <cell r="U122">
            <v>1.5</v>
          </cell>
          <cell r="V122" t="str">
            <v>Ro</v>
          </cell>
          <cell r="W122">
            <v>1.5</v>
          </cell>
          <cell r="X122">
            <v>1.5</v>
          </cell>
          <cell r="Z122">
            <v>1.5</v>
          </cell>
          <cell r="AA122">
            <v>1.5</v>
          </cell>
          <cell r="AB122">
            <v>1.5</v>
          </cell>
          <cell r="AD122">
            <v>1.5</v>
          </cell>
          <cell r="AE122" t="str">
            <v>Ô</v>
          </cell>
          <cell r="AG122" t="str">
            <v>Ô</v>
          </cell>
          <cell r="AH122">
            <v>24</v>
          </cell>
        </row>
        <row r="123">
          <cell r="C123">
            <v>50756</v>
          </cell>
          <cell r="E123">
            <v>44559</v>
          </cell>
          <cell r="F123" t="str">
            <v>LT</v>
          </cell>
          <cell r="G123" t="str">
            <v>LT</v>
          </cell>
          <cell r="H123" t="str">
            <v>LT</v>
          </cell>
          <cell r="I123" t="str">
            <v>LT</v>
          </cell>
          <cell r="J123" t="str">
            <v>Ro</v>
          </cell>
          <cell r="L123">
            <v>1</v>
          </cell>
          <cell r="M123">
            <v>2</v>
          </cell>
          <cell r="N123">
            <v>2</v>
          </cell>
          <cell r="O123" t="str">
            <v>Ro</v>
          </cell>
          <cell r="P123">
            <v>2</v>
          </cell>
          <cell r="Q123">
            <v>2</v>
          </cell>
          <cell r="S123">
            <v>2</v>
          </cell>
          <cell r="T123">
            <v>1.5</v>
          </cell>
          <cell r="U123">
            <v>1.5</v>
          </cell>
          <cell r="V123">
            <v>1.5</v>
          </cell>
          <cell r="W123">
            <v>1.5</v>
          </cell>
          <cell r="X123" t="str">
            <v>Ro</v>
          </cell>
          <cell r="Z123">
            <v>1.5</v>
          </cell>
          <cell r="AA123">
            <v>1.5</v>
          </cell>
          <cell r="AB123">
            <v>1.5</v>
          </cell>
          <cell r="AD123">
            <v>1.5</v>
          </cell>
          <cell r="AE123">
            <v>1.5</v>
          </cell>
          <cell r="AG123" t="str">
            <v>Ro</v>
          </cell>
          <cell r="AH123">
            <v>24.5</v>
          </cell>
        </row>
        <row r="124">
          <cell r="C124">
            <v>50760</v>
          </cell>
          <cell r="E124">
            <v>44569</v>
          </cell>
          <cell r="F124" t="str">
            <v>LT</v>
          </cell>
          <cell r="G124" t="str">
            <v>LT</v>
          </cell>
          <cell r="H124" t="str">
            <v>LT</v>
          </cell>
          <cell r="I124" t="str">
            <v>LT</v>
          </cell>
          <cell r="J124" t="str">
            <v>Ro</v>
          </cell>
          <cell r="L124">
            <v>1</v>
          </cell>
          <cell r="M124">
            <v>2</v>
          </cell>
          <cell r="N124">
            <v>2</v>
          </cell>
          <cell r="O124">
            <v>2</v>
          </cell>
          <cell r="P124">
            <v>2</v>
          </cell>
          <cell r="Q124">
            <v>2</v>
          </cell>
          <cell r="S124">
            <v>2</v>
          </cell>
          <cell r="T124">
            <v>1.5</v>
          </cell>
          <cell r="U124">
            <v>1.5</v>
          </cell>
          <cell r="V124">
            <v>1.5</v>
          </cell>
          <cell r="W124">
            <v>1.5</v>
          </cell>
          <cell r="X124">
            <v>0</v>
          </cell>
          <cell r="Z124">
            <v>1.5</v>
          </cell>
          <cell r="AA124">
            <v>1.5</v>
          </cell>
          <cell r="AB124">
            <v>1.5</v>
          </cell>
          <cell r="AD124">
            <v>1.5</v>
          </cell>
          <cell r="AE124">
            <v>1.5</v>
          </cell>
          <cell r="AG124">
            <v>2</v>
          </cell>
          <cell r="AH124">
            <v>28.5</v>
          </cell>
        </row>
        <row r="125">
          <cell r="C125">
            <v>50801</v>
          </cell>
          <cell r="E125">
            <v>44609</v>
          </cell>
          <cell r="V125">
            <v>1.5</v>
          </cell>
          <cell r="W125">
            <v>1.5</v>
          </cell>
          <cell r="X125">
            <v>0</v>
          </cell>
          <cell r="Z125">
            <v>1.5</v>
          </cell>
          <cell r="AA125">
            <v>1.5</v>
          </cell>
          <cell r="AB125">
            <v>1.5</v>
          </cell>
          <cell r="AD125">
            <v>1.5</v>
          </cell>
          <cell r="AE125">
            <v>1.5</v>
          </cell>
          <cell r="AG125">
            <v>2</v>
          </cell>
          <cell r="AH125">
            <v>12.5</v>
          </cell>
        </row>
        <row r="126">
          <cell r="C126">
            <v>50802</v>
          </cell>
          <cell r="E126">
            <v>44610</v>
          </cell>
          <cell r="W126">
            <v>1.5</v>
          </cell>
          <cell r="X126">
            <v>0</v>
          </cell>
          <cell r="Z126">
            <v>1.5</v>
          </cell>
          <cell r="AA126">
            <v>1.5</v>
          </cell>
          <cell r="AB126">
            <v>1.5</v>
          </cell>
          <cell r="AD126">
            <v>1.5</v>
          </cell>
          <cell r="AE126">
            <v>1.5</v>
          </cell>
          <cell r="AG126">
            <v>0</v>
          </cell>
          <cell r="AH126">
            <v>9</v>
          </cell>
        </row>
        <row r="127">
          <cell r="C127">
            <v>50148</v>
          </cell>
          <cell r="E127">
            <v>44152</v>
          </cell>
          <cell r="F127" t="str">
            <v>LT</v>
          </cell>
          <cell r="G127" t="str">
            <v>LT</v>
          </cell>
          <cell r="H127" t="str">
            <v>LT</v>
          </cell>
          <cell r="I127" t="str">
            <v>LT</v>
          </cell>
          <cell r="J127" t="str">
            <v>F</v>
          </cell>
          <cell r="L127">
            <v>1</v>
          </cell>
          <cell r="M127">
            <v>2</v>
          </cell>
          <cell r="N127">
            <v>2</v>
          </cell>
          <cell r="O127">
            <v>2</v>
          </cell>
          <cell r="P127">
            <v>2</v>
          </cell>
          <cell r="Q127">
            <v>2</v>
          </cell>
          <cell r="S127">
            <v>2</v>
          </cell>
          <cell r="T127">
            <v>1.5</v>
          </cell>
          <cell r="U127">
            <v>1.5</v>
          </cell>
          <cell r="V127">
            <v>1.5</v>
          </cell>
          <cell r="W127">
            <v>1.5</v>
          </cell>
          <cell r="X127">
            <v>1.5</v>
          </cell>
          <cell r="Z127">
            <v>1.5</v>
          </cell>
          <cell r="AA127">
            <v>1.5</v>
          </cell>
          <cell r="AB127">
            <v>1.5</v>
          </cell>
          <cell r="AD127">
            <v>1.5</v>
          </cell>
          <cell r="AE127">
            <v>1.5</v>
          </cell>
          <cell r="AG127">
            <v>2</v>
          </cell>
          <cell r="AH127">
            <v>30</v>
          </cell>
        </row>
        <row r="128">
          <cell r="C128">
            <v>50213</v>
          </cell>
          <cell r="E128">
            <v>44280</v>
          </cell>
          <cell r="F128" t="str">
            <v>LT</v>
          </cell>
          <cell r="G128" t="str">
            <v>LT</v>
          </cell>
          <cell r="H128" t="str">
            <v>LT</v>
          </cell>
          <cell r="I128" t="str">
            <v>LT</v>
          </cell>
          <cell r="J128" t="str">
            <v>F</v>
          </cell>
          <cell r="L128">
            <v>1</v>
          </cell>
          <cell r="M128">
            <v>2</v>
          </cell>
          <cell r="N128">
            <v>2</v>
          </cell>
          <cell r="O128">
            <v>2</v>
          </cell>
          <cell r="P128">
            <v>2</v>
          </cell>
          <cell r="Q128">
            <v>2</v>
          </cell>
          <cell r="S128">
            <v>2</v>
          </cell>
          <cell r="T128">
            <v>1.5</v>
          </cell>
          <cell r="U128">
            <v>1.5</v>
          </cell>
          <cell r="V128">
            <v>1.5</v>
          </cell>
          <cell r="W128">
            <v>1.5</v>
          </cell>
          <cell r="X128">
            <v>1.5</v>
          </cell>
          <cell r="Z128">
            <v>1.5</v>
          </cell>
          <cell r="AA128">
            <v>1.5</v>
          </cell>
          <cell r="AB128">
            <v>1.5</v>
          </cell>
          <cell r="AD128">
            <v>1.5</v>
          </cell>
          <cell r="AE128">
            <v>1.5</v>
          </cell>
          <cell r="AG128">
            <v>2</v>
          </cell>
          <cell r="AH128">
            <v>30</v>
          </cell>
        </row>
        <row r="129">
          <cell r="C129">
            <v>50222</v>
          </cell>
          <cell r="E129">
            <v>44286</v>
          </cell>
          <cell r="F129" t="str">
            <v>LT</v>
          </cell>
          <cell r="G129" t="str">
            <v>LT</v>
          </cell>
          <cell r="H129" t="str">
            <v>LT</v>
          </cell>
          <cell r="I129" t="str">
            <v>LT</v>
          </cell>
          <cell r="J129" t="str">
            <v>F</v>
          </cell>
          <cell r="L129">
            <v>1</v>
          </cell>
          <cell r="M129">
            <v>2</v>
          </cell>
          <cell r="N129">
            <v>2</v>
          </cell>
          <cell r="O129">
            <v>2</v>
          </cell>
          <cell r="P129">
            <v>2</v>
          </cell>
          <cell r="Q129">
            <v>2</v>
          </cell>
          <cell r="S129">
            <v>2</v>
          </cell>
          <cell r="T129">
            <v>1.5</v>
          </cell>
          <cell r="U129">
            <v>1.5</v>
          </cell>
          <cell r="V129">
            <v>1.5</v>
          </cell>
          <cell r="W129">
            <v>1.5</v>
          </cell>
          <cell r="X129">
            <v>1.5</v>
          </cell>
          <cell r="Z129">
            <v>1.5</v>
          </cell>
          <cell r="AA129">
            <v>1.5</v>
          </cell>
          <cell r="AB129">
            <v>1.5</v>
          </cell>
          <cell r="AD129" t="str">
            <v>Ô</v>
          </cell>
          <cell r="AE129">
            <v>1.5</v>
          </cell>
          <cell r="AG129">
            <v>2</v>
          </cell>
          <cell r="AH129">
            <v>28.5</v>
          </cell>
        </row>
        <row r="130">
          <cell r="C130">
            <v>50224</v>
          </cell>
          <cell r="E130">
            <v>44288</v>
          </cell>
          <cell r="F130" t="str">
            <v>LT</v>
          </cell>
          <cell r="G130" t="str">
            <v>LT</v>
          </cell>
          <cell r="H130" t="str">
            <v>LT</v>
          </cell>
          <cell r="I130" t="str">
            <v>LT</v>
          </cell>
          <cell r="J130" t="str">
            <v>F</v>
          </cell>
          <cell r="L130">
            <v>1</v>
          </cell>
          <cell r="M130">
            <v>2</v>
          </cell>
          <cell r="N130">
            <v>2</v>
          </cell>
          <cell r="O130">
            <v>2</v>
          </cell>
          <cell r="P130">
            <v>2</v>
          </cell>
          <cell r="Q130">
            <v>2</v>
          </cell>
          <cell r="S130">
            <v>2</v>
          </cell>
          <cell r="T130">
            <v>1.5</v>
          </cell>
          <cell r="U130">
            <v>1.5</v>
          </cell>
          <cell r="V130">
            <v>1.5</v>
          </cell>
          <cell r="W130">
            <v>1.5</v>
          </cell>
          <cell r="X130">
            <v>1.5</v>
          </cell>
          <cell r="Z130" t="str">
            <v>ô</v>
          </cell>
          <cell r="AA130" t="str">
            <v>ô</v>
          </cell>
          <cell r="AB130" t="str">
            <v>ô</v>
          </cell>
          <cell r="AD130" t="str">
            <v>ô</v>
          </cell>
          <cell r="AE130" t="str">
            <v>ô</v>
          </cell>
          <cell r="AG130" t="str">
            <v>ô</v>
          </cell>
          <cell r="AH130">
            <v>20.5</v>
          </cell>
        </row>
        <row r="131">
          <cell r="C131">
            <v>50268</v>
          </cell>
          <cell r="E131">
            <v>44368</v>
          </cell>
          <cell r="F131" t="str">
            <v>LT</v>
          </cell>
          <cell r="G131" t="str">
            <v>LT</v>
          </cell>
          <cell r="H131" t="str">
            <v>LT</v>
          </cell>
          <cell r="I131" t="str">
            <v>LT</v>
          </cell>
          <cell r="J131" t="str">
            <v>F</v>
          </cell>
          <cell r="L131">
            <v>1</v>
          </cell>
          <cell r="M131">
            <v>2</v>
          </cell>
          <cell r="N131">
            <v>2</v>
          </cell>
          <cell r="O131">
            <v>2</v>
          </cell>
          <cell r="P131">
            <v>2</v>
          </cell>
          <cell r="Q131">
            <v>2</v>
          </cell>
          <cell r="S131">
            <v>2</v>
          </cell>
          <cell r="T131">
            <v>1.5</v>
          </cell>
          <cell r="U131">
            <v>1.5</v>
          </cell>
          <cell r="V131">
            <v>1.5</v>
          </cell>
          <cell r="W131">
            <v>1.5</v>
          </cell>
          <cell r="X131">
            <v>1.5</v>
          </cell>
          <cell r="Z131">
            <v>1.5</v>
          </cell>
          <cell r="AA131">
            <v>1.5</v>
          </cell>
          <cell r="AB131">
            <v>1.5</v>
          </cell>
          <cell r="AD131" t="str">
            <v>ô</v>
          </cell>
          <cell r="AE131" t="str">
            <v>ô</v>
          </cell>
          <cell r="AG131" t="str">
            <v>ô</v>
          </cell>
          <cell r="AH131">
            <v>25</v>
          </cell>
        </row>
        <row r="132">
          <cell r="C132">
            <v>50276</v>
          </cell>
          <cell r="E132">
            <v>44378</v>
          </cell>
          <cell r="F132" t="str">
            <v>LT</v>
          </cell>
          <cell r="G132" t="str">
            <v>LT</v>
          </cell>
          <cell r="H132" t="str">
            <v>LT</v>
          </cell>
          <cell r="I132" t="str">
            <v>LT</v>
          </cell>
          <cell r="J132" t="str">
            <v>F</v>
          </cell>
          <cell r="L132">
            <v>1</v>
          </cell>
          <cell r="M132">
            <v>2</v>
          </cell>
          <cell r="N132">
            <v>2</v>
          </cell>
          <cell r="O132">
            <v>2</v>
          </cell>
          <cell r="P132">
            <v>2</v>
          </cell>
          <cell r="Q132">
            <v>2</v>
          </cell>
          <cell r="S132">
            <v>2</v>
          </cell>
          <cell r="T132">
            <v>1.5</v>
          </cell>
          <cell r="U132">
            <v>1.5</v>
          </cell>
          <cell r="V132">
            <v>1.5</v>
          </cell>
          <cell r="W132">
            <v>1.5</v>
          </cell>
          <cell r="X132">
            <v>1.5</v>
          </cell>
          <cell r="Z132">
            <v>1.5</v>
          </cell>
          <cell r="AA132">
            <v>1.5</v>
          </cell>
          <cell r="AB132">
            <v>1.5</v>
          </cell>
          <cell r="AD132" t="str">
            <v>F</v>
          </cell>
          <cell r="AE132">
            <v>1.5</v>
          </cell>
          <cell r="AG132">
            <v>2</v>
          </cell>
          <cell r="AH132">
            <v>28.5</v>
          </cell>
        </row>
        <row r="133">
          <cell r="C133">
            <v>50474</v>
          </cell>
          <cell r="E133">
            <v>44432</v>
          </cell>
          <cell r="F133" t="str">
            <v>LT</v>
          </cell>
          <cell r="G133" t="str">
            <v>LT</v>
          </cell>
          <cell r="H133" t="str">
            <v>LT</v>
          </cell>
          <cell r="I133" t="str">
            <v>LT</v>
          </cell>
          <cell r="J133" t="str">
            <v>F</v>
          </cell>
          <cell r="L133">
            <v>1</v>
          </cell>
          <cell r="M133">
            <v>2</v>
          </cell>
          <cell r="N133">
            <v>2</v>
          </cell>
          <cell r="O133">
            <v>2</v>
          </cell>
          <cell r="P133">
            <v>2</v>
          </cell>
          <cell r="Q133">
            <v>2</v>
          </cell>
          <cell r="S133">
            <v>2</v>
          </cell>
          <cell r="T133">
            <v>1.5</v>
          </cell>
          <cell r="U133" t="str">
            <v>F</v>
          </cell>
          <cell r="V133">
            <v>1.5</v>
          </cell>
          <cell r="W133">
            <v>1.5</v>
          </cell>
          <cell r="X133">
            <v>0</v>
          </cell>
          <cell r="Z133">
            <v>1.5</v>
          </cell>
          <cell r="AA133">
            <v>1.5</v>
          </cell>
          <cell r="AB133">
            <v>1.5</v>
          </cell>
          <cell r="AD133" t="str">
            <v>Ô</v>
          </cell>
          <cell r="AE133" t="str">
            <v>Ô</v>
          </cell>
          <cell r="AG133" t="str">
            <v>Ô</v>
          </cell>
          <cell r="AH133">
            <v>22</v>
          </cell>
        </row>
        <row r="134">
          <cell r="C134">
            <v>50497</v>
          </cell>
          <cell r="E134">
            <v>44442</v>
          </cell>
          <cell r="F134" t="str">
            <v>LT</v>
          </cell>
          <cell r="G134" t="str">
            <v>LT</v>
          </cell>
          <cell r="H134" t="str">
            <v>LT</v>
          </cell>
          <cell r="I134" t="str">
            <v>LT</v>
          </cell>
          <cell r="J134" t="str">
            <v>F</v>
          </cell>
          <cell r="L134">
            <v>1</v>
          </cell>
          <cell r="M134">
            <v>2</v>
          </cell>
          <cell r="N134">
            <v>2</v>
          </cell>
          <cell r="O134">
            <v>2</v>
          </cell>
          <cell r="P134">
            <v>2</v>
          </cell>
          <cell r="Q134">
            <v>2</v>
          </cell>
          <cell r="S134">
            <v>2</v>
          </cell>
          <cell r="T134">
            <v>1.5</v>
          </cell>
          <cell r="U134">
            <v>1.5</v>
          </cell>
          <cell r="V134">
            <v>1.5</v>
          </cell>
          <cell r="W134">
            <v>0</v>
          </cell>
          <cell r="X134" t="str">
            <v>F</v>
          </cell>
          <cell r="Z134">
            <v>0.5</v>
          </cell>
          <cell r="AA134" t="str">
            <v>Ô</v>
          </cell>
          <cell r="AB134" t="str">
            <v>Ô</v>
          </cell>
          <cell r="AD134">
            <v>1.5</v>
          </cell>
          <cell r="AE134">
            <v>1.5</v>
          </cell>
          <cell r="AG134">
            <v>2</v>
          </cell>
          <cell r="AH134">
            <v>23</v>
          </cell>
        </row>
        <row r="135">
          <cell r="C135">
            <v>50501</v>
          </cell>
          <cell r="E135">
            <v>44442</v>
          </cell>
          <cell r="F135" t="str">
            <v>LT</v>
          </cell>
          <cell r="G135" t="str">
            <v>LT</v>
          </cell>
          <cell r="H135" t="str">
            <v>LT</v>
          </cell>
          <cell r="I135" t="str">
            <v>LT</v>
          </cell>
          <cell r="J135" t="str">
            <v>F</v>
          </cell>
          <cell r="L135">
            <v>1</v>
          </cell>
          <cell r="M135">
            <v>2</v>
          </cell>
          <cell r="N135">
            <v>2</v>
          </cell>
          <cell r="O135">
            <v>2</v>
          </cell>
          <cell r="P135">
            <v>2</v>
          </cell>
          <cell r="Q135">
            <v>2</v>
          </cell>
          <cell r="S135">
            <v>2</v>
          </cell>
          <cell r="T135">
            <v>1.5</v>
          </cell>
          <cell r="U135">
            <v>1.5</v>
          </cell>
          <cell r="V135">
            <v>1.5</v>
          </cell>
          <cell r="W135">
            <v>1.5</v>
          </cell>
          <cell r="X135">
            <v>1.5</v>
          </cell>
          <cell r="Z135">
            <v>1.5</v>
          </cell>
          <cell r="AA135">
            <v>1.5</v>
          </cell>
          <cell r="AB135">
            <v>1.5</v>
          </cell>
          <cell r="AD135" t="str">
            <v>Ô</v>
          </cell>
          <cell r="AE135" t="str">
            <v>Ô</v>
          </cell>
          <cell r="AG135" t="str">
            <v>Ô</v>
          </cell>
          <cell r="AH135">
            <v>25</v>
          </cell>
        </row>
        <row r="136">
          <cell r="C136">
            <v>50556</v>
          </cell>
          <cell r="E136">
            <v>44459</v>
          </cell>
          <cell r="F136" t="str">
            <v>LT</v>
          </cell>
          <cell r="G136" t="str">
            <v>LT</v>
          </cell>
          <cell r="H136" t="str">
            <v>LT</v>
          </cell>
          <cell r="I136" t="str">
            <v>LT</v>
          </cell>
          <cell r="J136" t="str">
            <v>F</v>
          </cell>
          <cell r="L136">
            <v>1</v>
          </cell>
          <cell r="M136">
            <v>2</v>
          </cell>
          <cell r="N136">
            <v>2</v>
          </cell>
          <cell r="O136">
            <v>2</v>
          </cell>
          <cell r="P136">
            <v>2</v>
          </cell>
          <cell r="Q136">
            <v>2</v>
          </cell>
          <cell r="S136">
            <v>2</v>
          </cell>
          <cell r="T136">
            <v>1.5</v>
          </cell>
          <cell r="U136">
            <v>1.5</v>
          </cell>
          <cell r="V136">
            <v>1.5</v>
          </cell>
          <cell r="W136">
            <v>1.5</v>
          </cell>
          <cell r="X136">
            <v>1.5</v>
          </cell>
          <cell r="Z136">
            <v>1.5</v>
          </cell>
          <cell r="AA136">
            <v>1.5</v>
          </cell>
          <cell r="AB136">
            <v>1.5</v>
          </cell>
          <cell r="AD136">
            <v>1.5</v>
          </cell>
          <cell r="AE136" t="str">
            <v>Ô</v>
          </cell>
          <cell r="AG136" t="str">
            <v>Ô</v>
          </cell>
          <cell r="AH136">
            <v>26.5</v>
          </cell>
        </row>
        <row r="137">
          <cell r="C137">
            <v>50568</v>
          </cell>
          <cell r="E137">
            <v>44466</v>
          </cell>
          <cell r="F137" t="str">
            <v>LT</v>
          </cell>
          <cell r="G137" t="str">
            <v>LT</v>
          </cell>
          <cell r="H137" t="str">
            <v>LT</v>
          </cell>
          <cell r="I137" t="str">
            <v>LT</v>
          </cell>
          <cell r="J137" t="str">
            <v>F</v>
          </cell>
          <cell r="L137">
            <v>1</v>
          </cell>
          <cell r="M137">
            <v>2</v>
          </cell>
          <cell r="N137">
            <v>2</v>
          </cell>
          <cell r="O137">
            <v>2</v>
          </cell>
          <cell r="P137">
            <v>2</v>
          </cell>
          <cell r="Q137">
            <v>2</v>
          </cell>
          <cell r="S137">
            <v>2</v>
          </cell>
          <cell r="T137">
            <v>1.5</v>
          </cell>
          <cell r="U137">
            <v>1.5</v>
          </cell>
          <cell r="V137">
            <v>1.5</v>
          </cell>
          <cell r="W137">
            <v>1.5</v>
          </cell>
          <cell r="X137">
            <v>1.5</v>
          </cell>
          <cell r="Z137">
            <v>1.5</v>
          </cell>
          <cell r="AA137">
            <v>1.5</v>
          </cell>
          <cell r="AB137">
            <v>1.5</v>
          </cell>
          <cell r="AD137">
            <v>1.5</v>
          </cell>
          <cell r="AE137">
            <v>1.5</v>
          </cell>
          <cell r="AG137">
            <v>2</v>
          </cell>
          <cell r="AH137">
            <v>30</v>
          </cell>
        </row>
        <row r="138">
          <cell r="C138">
            <v>50569</v>
          </cell>
          <cell r="E138">
            <v>44466</v>
          </cell>
          <cell r="F138" t="str">
            <v>LT</v>
          </cell>
          <cell r="G138" t="str">
            <v>LT</v>
          </cell>
          <cell r="H138" t="str">
            <v>LT</v>
          </cell>
          <cell r="I138" t="str">
            <v>LT</v>
          </cell>
          <cell r="J138" t="str">
            <v>F</v>
          </cell>
          <cell r="L138">
            <v>1</v>
          </cell>
          <cell r="M138">
            <v>2</v>
          </cell>
          <cell r="N138">
            <v>2</v>
          </cell>
          <cell r="O138">
            <v>2</v>
          </cell>
          <cell r="P138">
            <v>2</v>
          </cell>
          <cell r="Q138">
            <v>2</v>
          </cell>
          <cell r="S138">
            <v>2</v>
          </cell>
          <cell r="T138">
            <v>1.5</v>
          </cell>
          <cell r="U138">
            <v>1.5</v>
          </cell>
          <cell r="V138">
            <v>1.5</v>
          </cell>
          <cell r="W138">
            <v>1.5</v>
          </cell>
          <cell r="X138">
            <v>1.5</v>
          </cell>
          <cell r="Z138" t="str">
            <v>Ô</v>
          </cell>
          <cell r="AA138" t="str">
            <v>Ô</v>
          </cell>
          <cell r="AB138" t="str">
            <v>Ô</v>
          </cell>
          <cell r="AD138" t="str">
            <v>Ô</v>
          </cell>
          <cell r="AE138" t="str">
            <v>Ô</v>
          </cell>
          <cell r="AG138" t="str">
            <v>Ô</v>
          </cell>
          <cell r="AH138">
            <v>20.5</v>
          </cell>
        </row>
        <row r="139">
          <cell r="C139">
            <v>50576</v>
          </cell>
          <cell r="E139">
            <v>44466</v>
          </cell>
          <cell r="F139" t="str">
            <v>LT</v>
          </cell>
          <cell r="G139" t="str">
            <v>LT</v>
          </cell>
          <cell r="H139" t="str">
            <v>LT</v>
          </cell>
          <cell r="I139" t="str">
            <v>LT</v>
          </cell>
          <cell r="J139" t="str">
            <v>Ro</v>
          </cell>
          <cell r="L139">
            <v>1</v>
          </cell>
          <cell r="M139">
            <v>2</v>
          </cell>
          <cell r="N139">
            <v>2</v>
          </cell>
          <cell r="O139">
            <v>2</v>
          </cell>
          <cell r="P139">
            <v>2</v>
          </cell>
          <cell r="Q139">
            <v>2</v>
          </cell>
          <cell r="S139">
            <v>2</v>
          </cell>
          <cell r="T139">
            <v>1.5</v>
          </cell>
          <cell r="U139">
            <v>1.5</v>
          </cell>
          <cell r="V139">
            <v>1.5</v>
          </cell>
          <cell r="W139">
            <v>1.5</v>
          </cell>
          <cell r="X139">
            <v>1.5</v>
          </cell>
          <cell r="Z139">
            <v>1.5</v>
          </cell>
          <cell r="AA139">
            <v>1.5</v>
          </cell>
          <cell r="AB139">
            <v>1.5</v>
          </cell>
          <cell r="AD139" t="str">
            <v>Ô</v>
          </cell>
          <cell r="AE139" t="str">
            <v>Ô</v>
          </cell>
          <cell r="AG139" t="str">
            <v>Ô</v>
          </cell>
          <cell r="AH139">
            <v>25</v>
          </cell>
        </row>
        <row r="140">
          <cell r="C140">
            <v>50735</v>
          </cell>
          <cell r="E140">
            <v>44538</v>
          </cell>
          <cell r="F140" t="str">
            <v>LT</v>
          </cell>
          <cell r="G140" t="str">
            <v>LT</v>
          </cell>
          <cell r="H140" t="str">
            <v>LT</v>
          </cell>
          <cell r="I140" t="str">
            <v>LT</v>
          </cell>
          <cell r="J140" t="str">
            <v>Ro</v>
          </cell>
          <cell r="L140">
            <v>1</v>
          </cell>
          <cell r="M140">
            <v>2</v>
          </cell>
          <cell r="N140">
            <v>2</v>
          </cell>
          <cell r="O140">
            <v>2</v>
          </cell>
          <cell r="P140">
            <v>2</v>
          </cell>
          <cell r="Q140">
            <v>2</v>
          </cell>
          <cell r="S140">
            <v>2</v>
          </cell>
          <cell r="T140">
            <v>1.5</v>
          </cell>
          <cell r="U140">
            <v>1.5</v>
          </cell>
          <cell r="V140">
            <v>1.5</v>
          </cell>
          <cell r="W140">
            <v>1.5</v>
          </cell>
          <cell r="X140">
            <v>1.5</v>
          </cell>
          <cell r="Z140">
            <v>1.5</v>
          </cell>
          <cell r="AA140">
            <v>1.5</v>
          </cell>
          <cell r="AB140">
            <v>1.5</v>
          </cell>
          <cell r="AD140">
            <v>1.5</v>
          </cell>
          <cell r="AE140">
            <v>1.5</v>
          </cell>
          <cell r="AG140">
            <v>2</v>
          </cell>
          <cell r="AH140">
            <v>30</v>
          </cell>
        </row>
        <row r="141">
          <cell r="C141">
            <v>50752</v>
          </cell>
          <cell r="E141">
            <v>44406</v>
          </cell>
          <cell r="F141" t="str">
            <v>LT</v>
          </cell>
          <cell r="G141" t="str">
            <v>LT</v>
          </cell>
          <cell r="H141" t="str">
            <v>LT</v>
          </cell>
          <cell r="I141" t="str">
            <v>LT</v>
          </cell>
          <cell r="J141" t="str">
            <v>Ro</v>
          </cell>
          <cell r="L141">
            <v>1</v>
          </cell>
          <cell r="M141">
            <v>2</v>
          </cell>
          <cell r="N141">
            <v>2</v>
          </cell>
          <cell r="O141">
            <v>2</v>
          </cell>
          <cell r="P141">
            <v>2</v>
          </cell>
          <cell r="Q141">
            <v>2</v>
          </cell>
          <cell r="S141">
            <v>2</v>
          </cell>
          <cell r="T141">
            <v>1.5</v>
          </cell>
          <cell r="U141">
            <v>1.5</v>
          </cell>
          <cell r="V141">
            <v>1.5</v>
          </cell>
          <cell r="W141">
            <v>1.5</v>
          </cell>
          <cell r="X141">
            <v>1.5</v>
          </cell>
          <cell r="Z141">
            <v>1.5</v>
          </cell>
          <cell r="AA141">
            <v>1.5</v>
          </cell>
          <cell r="AB141">
            <v>1.5</v>
          </cell>
          <cell r="AD141">
            <v>1.5</v>
          </cell>
          <cell r="AE141">
            <v>1.5</v>
          </cell>
          <cell r="AG141">
            <v>2</v>
          </cell>
          <cell r="AH141">
            <v>30</v>
          </cell>
        </row>
        <row r="142">
          <cell r="C142">
            <v>50798</v>
          </cell>
          <cell r="E142">
            <v>44608</v>
          </cell>
          <cell r="T142">
            <v>1.5</v>
          </cell>
          <cell r="U142">
            <v>1.5</v>
          </cell>
          <cell r="V142">
            <v>1.5</v>
          </cell>
          <cell r="W142">
            <v>1.5</v>
          </cell>
          <cell r="X142">
            <v>1.5</v>
          </cell>
          <cell r="Z142">
            <v>1.5</v>
          </cell>
          <cell r="AA142">
            <v>1.5</v>
          </cell>
          <cell r="AB142">
            <v>1.5</v>
          </cell>
          <cell r="AD142">
            <v>1.5</v>
          </cell>
          <cell r="AE142">
            <v>1.5</v>
          </cell>
          <cell r="AG142">
            <v>1</v>
          </cell>
          <cell r="AH142">
            <v>16</v>
          </cell>
        </row>
        <row r="143">
          <cell r="C143">
            <v>50812</v>
          </cell>
          <cell r="E143">
            <v>44610</v>
          </cell>
          <cell r="W143">
            <v>1.5</v>
          </cell>
          <cell r="X143">
            <v>1.5</v>
          </cell>
          <cell r="Z143">
            <v>1.5</v>
          </cell>
          <cell r="AA143">
            <v>1.5</v>
          </cell>
          <cell r="AB143">
            <v>1.5</v>
          </cell>
          <cell r="AD143" t="str">
            <v>Ô</v>
          </cell>
          <cell r="AE143" t="str">
            <v>Ô</v>
          </cell>
          <cell r="AG143" t="str">
            <v>Ô</v>
          </cell>
          <cell r="AH143">
            <v>7.5</v>
          </cell>
        </row>
        <row r="144">
          <cell r="C144">
            <v>10070</v>
          </cell>
          <cell r="E144">
            <v>44607</v>
          </cell>
          <cell r="T144">
            <v>1.5</v>
          </cell>
          <cell r="U144">
            <v>1.5</v>
          </cell>
          <cell r="V144">
            <v>1.5</v>
          </cell>
          <cell r="W144" t="str">
            <v>R</v>
          </cell>
          <cell r="X144">
            <v>1.5</v>
          </cell>
          <cell r="Z144">
            <v>1.5</v>
          </cell>
          <cell r="AA144">
            <v>1.5</v>
          </cell>
          <cell r="AB144">
            <v>1.5</v>
          </cell>
          <cell r="AD144">
            <v>1.5</v>
          </cell>
          <cell r="AE144">
            <v>1.5</v>
          </cell>
          <cell r="AG144">
            <v>2</v>
          </cell>
          <cell r="AH144">
            <v>15.5</v>
          </cell>
        </row>
        <row r="145">
          <cell r="C145">
            <v>50823</v>
          </cell>
          <cell r="E145" t="str">
            <v>28/02/2022</v>
          </cell>
          <cell r="AG145">
            <v>2</v>
          </cell>
          <cell r="AH145">
            <v>2</v>
          </cell>
        </row>
        <row r="146">
          <cell r="C146">
            <v>50829</v>
          </cell>
          <cell r="E146">
            <v>44610</v>
          </cell>
          <cell r="W146">
            <v>1.5</v>
          </cell>
          <cell r="X146">
            <v>1.5</v>
          </cell>
          <cell r="Z146">
            <v>1.5</v>
          </cell>
          <cell r="AA146">
            <v>1.5</v>
          </cell>
          <cell r="AB146">
            <v>1.5</v>
          </cell>
          <cell r="AD146">
            <v>1.5</v>
          </cell>
          <cell r="AE146" t="str">
            <v>Ô</v>
          </cell>
          <cell r="AG146" t="str">
            <v>Ô</v>
          </cell>
          <cell r="AH146">
            <v>9</v>
          </cell>
        </row>
        <row r="147">
          <cell r="C147">
            <v>50096</v>
          </cell>
          <cell r="E147">
            <v>44049</v>
          </cell>
          <cell r="F147" t="str">
            <v>Lt</v>
          </cell>
          <cell r="G147" t="str">
            <v>Lt</v>
          </cell>
          <cell r="H147" t="str">
            <v>Lt</v>
          </cell>
          <cell r="I147" t="str">
            <v>Lt</v>
          </cell>
          <cell r="J147" t="str">
            <v>F</v>
          </cell>
          <cell r="L147">
            <v>1</v>
          </cell>
          <cell r="M147">
            <v>2</v>
          </cell>
          <cell r="N147">
            <v>2</v>
          </cell>
          <cell r="O147">
            <v>2</v>
          </cell>
          <cell r="P147">
            <v>2</v>
          </cell>
          <cell r="Q147">
            <v>2</v>
          </cell>
          <cell r="S147">
            <v>2</v>
          </cell>
          <cell r="T147">
            <v>1.5</v>
          </cell>
          <cell r="U147">
            <v>1.5</v>
          </cell>
          <cell r="V147">
            <v>1.5</v>
          </cell>
          <cell r="W147">
            <v>1.5</v>
          </cell>
          <cell r="X147">
            <v>1.5</v>
          </cell>
          <cell r="Z147">
            <v>1.5</v>
          </cell>
          <cell r="AA147">
            <v>1.5</v>
          </cell>
          <cell r="AB147">
            <v>1.5</v>
          </cell>
          <cell r="AD147">
            <v>1.5</v>
          </cell>
          <cell r="AE147">
            <v>1.5</v>
          </cell>
          <cell r="AG147">
            <v>2</v>
          </cell>
          <cell r="AH147">
            <v>30</v>
          </cell>
        </row>
        <row r="148">
          <cell r="C148">
            <v>50122</v>
          </cell>
          <cell r="E148">
            <v>44105</v>
          </cell>
          <cell r="F148" t="str">
            <v>Lt</v>
          </cell>
          <cell r="G148" t="str">
            <v>Lt</v>
          </cell>
          <cell r="H148" t="str">
            <v>Lt</v>
          </cell>
          <cell r="I148" t="str">
            <v>Lt</v>
          </cell>
          <cell r="J148" t="str">
            <v>F</v>
          </cell>
          <cell r="L148">
            <v>1</v>
          </cell>
          <cell r="M148">
            <v>2</v>
          </cell>
          <cell r="N148">
            <v>2</v>
          </cell>
          <cell r="O148">
            <v>2</v>
          </cell>
          <cell r="P148">
            <v>2</v>
          </cell>
          <cell r="Q148">
            <v>2</v>
          </cell>
          <cell r="S148">
            <v>2</v>
          </cell>
          <cell r="T148">
            <v>1.5</v>
          </cell>
          <cell r="U148">
            <v>1.5</v>
          </cell>
          <cell r="V148">
            <v>1.5</v>
          </cell>
          <cell r="W148">
            <v>1.5</v>
          </cell>
          <cell r="X148" t="str">
            <v>f</v>
          </cell>
          <cell r="Z148">
            <v>1.5</v>
          </cell>
          <cell r="AA148">
            <v>1.5</v>
          </cell>
          <cell r="AB148">
            <v>1.5</v>
          </cell>
          <cell r="AD148">
            <v>1.5</v>
          </cell>
          <cell r="AE148">
            <v>1.5</v>
          </cell>
          <cell r="AG148">
            <v>2</v>
          </cell>
          <cell r="AH148">
            <v>28.5</v>
          </cell>
        </row>
        <row r="149">
          <cell r="C149">
            <v>50229</v>
          </cell>
          <cell r="E149">
            <v>44294</v>
          </cell>
          <cell r="F149" t="str">
            <v>Lt</v>
          </cell>
          <cell r="G149" t="str">
            <v>Lt</v>
          </cell>
          <cell r="H149" t="str">
            <v>Lt</v>
          </cell>
          <cell r="I149" t="str">
            <v>Lt</v>
          </cell>
          <cell r="J149" t="str">
            <v>F</v>
          </cell>
          <cell r="L149">
            <v>1</v>
          </cell>
          <cell r="M149">
            <v>2</v>
          </cell>
          <cell r="N149">
            <v>2</v>
          </cell>
          <cell r="O149">
            <v>2</v>
          </cell>
          <cell r="P149">
            <v>2</v>
          </cell>
          <cell r="Q149">
            <v>2</v>
          </cell>
          <cell r="S149">
            <v>2</v>
          </cell>
          <cell r="T149">
            <v>1.5</v>
          </cell>
          <cell r="U149">
            <v>1.5</v>
          </cell>
          <cell r="V149">
            <v>1.5</v>
          </cell>
          <cell r="W149">
            <v>1.5</v>
          </cell>
          <cell r="X149">
            <v>1.5</v>
          </cell>
          <cell r="Z149">
            <v>1.5</v>
          </cell>
          <cell r="AA149">
            <v>1.5</v>
          </cell>
          <cell r="AB149">
            <v>1.5</v>
          </cell>
          <cell r="AD149">
            <v>1.5</v>
          </cell>
          <cell r="AE149">
            <v>1.5</v>
          </cell>
          <cell r="AG149">
            <v>2</v>
          </cell>
          <cell r="AH149">
            <v>30</v>
          </cell>
        </row>
        <row r="150">
          <cell r="C150">
            <v>50255</v>
          </cell>
          <cell r="E150">
            <v>44324</v>
          </cell>
          <cell r="F150" t="str">
            <v>Lt</v>
          </cell>
          <cell r="G150" t="str">
            <v>Lt</v>
          </cell>
          <cell r="H150" t="str">
            <v>Lt</v>
          </cell>
          <cell r="I150" t="str">
            <v>Lt</v>
          </cell>
          <cell r="J150" t="str">
            <v>F</v>
          </cell>
          <cell r="L150">
            <v>1</v>
          </cell>
          <cell r="M150">
            <v>2</v>
          </cell>
          <cell r="N150">
            <v>2</v>
          </cell>
          <cell r="O150">
            <v>2</v>
          </cell>
          <cell r="P150">
            <v>2</v>
          </cell>
          <cell r="Q150">
            <v>2</v>
          </cell>
          <cell r="S150">
            <v>2</v>
          </cell>
          <cell r="T150">
            <v>1.5</v>
          </cell>
          <cell r="U150">
            <v>1.5</v>
          </cell>
          <cell r="V150">
            <v>1.5</v>
          </cell>
          <cell r="W150">
            <v>1.5</v>
          </cell>
          <cell r="X150">
            <v>1.5</v>
          </cell>
          <cell r="Z150">
            <v>1.5</v>
          </cell>
          <cell r="AA150">
            <v>1.5</v>
          </cell>
          <cell r="AB150">
            <v>0</v>
          </cell>
          <cell r="AD150" t="str">
            <v>ô</v>
          </cell>
          <cell r="AE150" t="str">
            <v>ô</v>
          </cell>
          <cell r="AG150" t="str">
            <v>ô</v>
          </cell>
          <cell r="AH150">
            <v>23.5</v>
          </cell>
        </row>
        <row r="151">
          <cell r="C151">
            <v>50274</v>
          </cell>
          <cell r="E151">
            <v>44377</v>
          </cell>
          <cell r="F151" t="str">
            <v>Lt</v>
          </cell>
          <cell r="G151" t="str">
            <v>Lt</v>
          </cell>
          <cell r="H151" t="str">
            <v>Lt</v>
          </cell>
          <cell r="I151" t="str">
            <v>Lt</v>
          </cell>
          <cell r="J151" t="str">
            <v>F</v>
          </cell>
          <cell r="L151">
            <v>1</v>
          </cell>
          <cell r="M151">
            <v>2</v>
          </cell>
          <cell r="N151">
            <v>2</v>
          </cell>
          <cell r="O151">
            <v>2</v>
          </cell>
          <cell r="P151">
            <v>2</v>
          </cell>
          <cell r="Q151">
            <v>2</v>
          </cell>
          <cell r="S151">
            <v>0</v>
          </cell>
          <cell r="T151">
            <v>1.5</v>
          </cell>
          <cell r="U151">
            <v>1.5</v>
          </cell>
          <cell r="V151">
            <v>1.5</v>
          </cell>
          <cell r="W151">
            <v>1.5</v>
          </cell>
          <cell r="X151">
            <v>1.5</v>
          </cell>
          <cell r="Z151" t="str">
            <v>ô</v>
          </cell>
          <cell r="AA151" t="str">
            <v>ô</v>
          </cell>
          <cell r="AB151" t="str">
            <v>ô</v>
          </cell>
          <cell r="AD151" t="str">
            <v>ô</v>
          </cell>
          <cell r="AE151" t="str">
            <v>ô</v>
          </cell>
          <cell r="AG151" t="str">
            <v>ô</v>
          </cell>
          <cell r="AH151">
            <v>18.5</v>
          </cell>
        </row>
        <row r="152">
          <cell r="C152">
            <v>50301</v>
          </cell>
          <cell r="E152">
            <v>44397</v>
          </cell>
          <cell r="F152" t="str">
            <v>Lt</v>
          </cell>
          <cell r="G152" t="str">
            <v>Lt</v>
          </cell>
          <cell r="H152" t="str">
            <v>Lt</v>
          </cell>
          <cell r="I152" t="str">
            <v>Lt</v>
          </cell>
          <cell r="J152" t="str">
            <v>F</v>
          </cell>
          <cell r="L152">
            <v>1</v>
          </cell>
          <cell r="M152">
            <v>2</v>
          </cell>
          <cell r="N152">
            <v>2</v>
          </cell>
          <cell r="O152">
            <v>2</v>
          </cell>
          <cell r="P152">
            <v>2</v>
          </cell>
          <cell r="Q152">
            <v>2</v>
          </cell>
          <cell r="S152">
            <v>2</v>
          </cell>
          <cell r="T152">
            <v>1.5</v>
          </cell>
          <cell r="U152">
            <v>1.5</v>
          </cell>
          <cell r="V152">
            <v>1.5</v>
          </cell>
          <cell r="W152">
            <v>1.5</v>
          </cell>
          <cell r="X152">
            <v>1.5</v>
          </cell>
          <cell r="Z152">
            <v>1.5</v>
          </cell>
          <cell r="AA152">
            <v>1.5</v>
          </cell>
          <cell r="AB152">
            <v>1.5</v>
          </cell>
          <cell r="AD152">
            <v>1.5</v>
          </cell>
          <cell r="AE152">
            <v>1.5</v>
          </cell>
          <cell r="AG152">
            <v>2</v>
          </cell>
          <cell r="AH152">
            <v>30</v>
          </cell>
        </row>
        <row r="153">
          <cell r="C153">
            <v>50341</v>
          </cell>
          <cell r="E153">
            <v>44404</v>
          </cell>
          <cell r="F153" t="str">
            <v>Lt</v>
          </cell>
          <cell r="G153" t="str">
            <v>Lt</v>
          </cell>
          <cell r="H153" t="str">
            <v>Lt</v>
          </cell>
          <cell r="I153" t="str">
            <v>Lt</v>
          </cell>
          <cell r="J153" t="str">
            <v>F</v>
          </cell>
          <cell r="L153">
            <v>1</v>
          </cell>
          <cell r="M153">
            <v>2</v>
          </cell>
          <cell r="N153">
            <v>2</v>
          </cell>
          <cell r="O153">
            <v>2</v>
          </cell>
          <cell r="P153">
            <v>2</v>
          </cell>
          <cell r="Q153">
            <v>2</v>
          </cell>
          <cell r="S153">
            <v>2</v>
          </cell>
          <cell r="T153">
            <v>1.5</v>
          </cell>
          <cell r="U153">
            <v>1.5</v>
          </cell>
          <cell r="V153">
            <v>1.5</v>
          </cell>
          <cell r="W153" t="str">
            <v>ô</v>
          </cell>
          <cell r="X153" t="str">
            <v>ô</v>
          </cell>
          <cell r="Z153" t="str">
            <v>ô</v>
          </cell>
          <cell r="AA153" t="str">
            <v>ô</v>
          </cell>
          <cell r="AB153" t="str">
            <v>ô</v>
          </cell>
          <cell r="AD153" t="str">
            <v>ô</v>
          </cell>
          <cell r="AE153" t="str">
            <v>ô</v>
          </cell>
          <cell r="AG153" t="str">
            <v>ô</v>
          </cell>
          <cell r="AH153">
            <v>17.5</v>
          </cell>
        </row>
        <row r="154">
          <cell r="C154">
            <v>50342</v>
          </cell>
          <cell r="E154">
            <v>44404</v>
          </cell>
          <cell r="F154" t="str">
            <v>Lt</v>
          </cell>
          <cell r="G154" t="str">
            <v>Lt</v>
          </cell>
          <cell r="H154" t="str">
            <v>Lt</v>
          </cell>
          <cell r="I154" t="str">
            <v>Lt</v>
          </cell>
          <cell r="J154" t="str">
            <v>F</v>
          </cell>
          <cell r="L154">
            <v>1</v>
          </cell>
          <cell r="M154">
            <v>2</v>
          </cell>
          <cell r="N154">
            <v>2</v>
          </cell>
          <cell r="O154">
            <v>2</v>
          </cell>
          <cell r="P154">
            <v>2</v>
          </cell>
          <cell r="Q154">
            <v>2</v>
          </cell>
          <cell r="S154">
            <v>2</v>
          </cell>
          <cell r="T154">
            <v>1.5</v>
          </cell>
          <cell r="U154">
            <v>1.5</v>
          </cell>
          <cell r="V154">
            <v>1.5</v>
          </cell>
          <cell r="W154">
            <v>1.5</v>
          </cell>
          <cell r="X154">
            <v>1.5</v>
          </cell>
          <cell r="Z154">
            <v>1.5</v>
          </cell>
          <cell r="AA154">
            <v>1.5</v>
          </cell>
          <cell r="AB154">
            <v>1.5</v>
          </cell>
          <cell r="AD154">
            <v>1.5</v>
          </cell>
          <cell r="AE154">
            <v>1.5</v>
          </cell>
          <cell r="AG154">
            <v>2</v>
          </cell>
          <cell r="AH154">
            <v>30</v>
          </cell>
        </row>
        <row r="155">
          <cell r="C155">
            <v>50343</v>
          </cell>
          <cell r="E155">
            <v>44404</v>
          </cell>
          <cell r="F155" t="str">
            <v>Lt</v>
          </cell>
          <cell r="G155" t="str">
            <v>Lt</v>
          </cell>
          <cell r="H155" t="str">
            <v>Lt</v>
          </cell>
          <cell r="I155" t="str">
            <v>Lt</v>
          </cell>
          <cell r="J155" t="str">
            <v>F</v>
          </cell>
          <cell r="L155">
            <v>1</v>
          </cell>
          <cell r="M155">
            <v>2</v>
          </cell>
          <cell r="N155">
            <v>2</v>
          </cell>
          <cell r="O155">
            <v>2</v>
          </cell>
          <cell r="P155">
            <v>2</v>
          </cell>
          <cell r="Q155">
            <v>2</v>
          </cell>
          <cell r="S155">
            <v>2</v>
          </cell>
          <cell r="T155">
            <v>1.5</v>
          </cell>
          <cell r="U155">
            <v>1.5</v>
          </cell>
          <cell r="V155">
            <v>1.5</v>
          </cell>
          <cell r="W155">
            <v>1.5</v>
          </cell>
          <cell r="X155">
            <v>1.5</v>
          </cell>
          <cell r="Z155">
            <v>1.5</v>
          </cell>
          <cell r="AA155">
            <v>1.5</v>
          </cell>
          <cell r="AB155">
            <v>1.5</v>
          </cell>
          <cell r="AD155">
            <v>1.5</v>
          </cell>
          <cell r="AE155">
            <v>1.5</v>
          </cell>
          <cell r="AG155">
            <v>2</v>
          </cell>
          <cell r="AH155">
            <v>30</v>
          </cell>
        </row>
        <row r="156">
          <cell r="C156">
            <v>50396</v>
          </cell>
          <cell r="E156">
            <v>44415</v>
          </cell>
          <cell r="F156" t="str">
            <v>Lt</v>
          </cell>
          <cell r="G156" t="str">
            <v>Lt</v>
          </cell>
          <cell r="H156" t="str">
            <v>Lt</v>
          </cell>
          <cell r="I156" t="str">
            <v>Lt</v>
          </cell>
          <cell r="J156" t="str">
            <v>F</v>
          </cell>
          <cell r="L156">
            <v>1</v>
          </cell>
          <cell r="M156">
            <v>2</v>
          </cell>
          <cell r="N156">
            <v>2</v>
          </cell>
          <cell r="O156">
            <v>2</v>
          </cell>
          <cell r="P156">
            <v>2</v>
          </cell>
          <cell r="Q156">
            <v>2</v>
          </cell>
          <cell r="S156">
            <v>2</v>
          </cell>
          <cell r="T156">
            <v>1.5</v>
          </cell>
          <cell r="U156">
            <v>1.5</v>
          </cell>
          <cell r="V156">
            <v>1.5</v>
          </cell>
          <cell r="W156">
            <v>1.5</v>
          </cell>
          <cell r="X156" t="str">
            <v>Ro</v>
          </cell>
          <cell r="Z156">
            <v>1.5</v>
          </cell>
          <cell r="AA156">
            <v>1.5</v>
          </cell>
          <cell r="AB156">
            <v>0</v>
          </cell>
          <cell r="AD156">
            <v>1.5</v>
          </cell>
          <cell r="AE156" t="str">
            <v>ô</v>
          </cell>
          <cell r="AG156" t="str">
            <v>ô</v>
          </cell>
          <cell r="AH156">
            <v>23.5</v>
          </cell>
        </row>
        <row r="157">
          <cell r="C157">
            <v>50488</v>
          </cell>
          <cell r="E157">
            <v>44436</v>
          </cell>
          <cell r="F157" t="str">
            <v>Lt</v>
          </cell>
          <cell r="G157" t="str">
            <v>Lt</v>
          </cell>
          <cell r="H157" t="str">
            <v>Lt</v>
          </cell>
          <cell r="I157" t="str">
            <v>Lt</v>
          </cell>
          <cell r="J157" t="str">
            <v>F</v>
          </cell>
          <cell r="L157">
            <v>1</v>
          </cell>
          <cell r="M157">
            <v>2</v>
          </cell>
          <cell r="N157">
            <v>2</v>
          </cell>
          <cell r="O157">
            <v>2</v>
          </cell>
          <cell r="P157">
            <v>2</v>
          </cell>
          <cell r="Q157">
            <v>2</v>
          </cell>
          <cell r="S157">
            <v>2</v>
          </cell>
          <cell r="T157">
            <v>1.5</v>
          </cell>
          <cell r="U157">
            <v>1.5</v>
          </cell>
          <cell r="V157">
            <v>1.5</v>
          </cell>
          <cell r="W157">
            <v>1.5</v>
          </cell>
          <cell r="X157">
            <v>1.5</v>
          </cell>
          <cell r="Z157">
            <v>1.5</v>
          </cell>
          <cell r="AA157">
            <v>1.5</v>
          </cell>
          <cell r="AB157" t="str">
            <v>ô</v>
          </cell>
          <cell r="AD157" t="str">
            <v>ô</v>
          </cell>
          <cell r="AE157" t="str">
            <v>ô</v>
          </cell>
          <cell r="AG157" t="str">
            <v>ô</v>
          </cell>
          <cell r="AH157">
            <v>23.5</v>
          </cell>
        </row>
        <row r="158">
          <cell r="C158">
            <v>50521</v>
          </cell>
          <cell r="E158">
            <v>44446</v>
          </cell>
          <cell r="F158" t="str">
            <v>Lt</v>
          </cell>
          <cell r="G158" t="str">
            <v>Lt</v>
          </cell>
          <cell r="H158" t="str">
            <v>Lt</v>
          </cell>
          <cell r="I158" t="str">
            <v>Lt</v>
          </cell>
          <cell r="J158" t="str">
            <v>F</v>
          </cell>
          <cell r="L158">
            <v>1</v>
          </cell>
          <cell r="M158">
            <v>2</v>
          </cell>
          <cell r="N158">
            <v>2</v>
          </cell>
          <cell r="O158">
            <v>2</v>
          </cell>
          <cell r="P158">
            <v>2</v>
          </cell>
          <cell r="Q158">
            <v>2</v>
          </cell>
          <cell r="S158">
            <v>2</v>
          </cell>
          <cell r="T158">
            <v>1.5</v>
          </cell>
          <cell r="U158">
            <v>1.5</v>
          </cell>
          <cell r="V158" t="str">
            <v>ro</v>
          </cell>
          <cell r="W158">
            <v>1.5</v>
          </cell>
          <cell r="X158">
            <v>1.5</v>
          </cell>
          <cell r="Z158">
            <v>1.5</v>
          </cell>
          <cell r="AA158">
            <v>1.5</v>
          </cell>
          <cell r="AB158">
            <v>1.5</v>
          </cell>
          <cell r="AD158">
            <v>1.5</v>
          </cell>
          <cell r="AE158">
            <v>1.5</v>
          </cell>
          <cell r="AG158">
            <v>0</v>
          </cell>
          <cell r="AH158">
            <v>26.5</v>
          </cell>
        </row>
        <row r="159">
          <cell r="C159">
            <v>50549</v>
          </cell>
          <cell r="E159">
            <v>44459</v>
          </cell>
          <cell r="F159" t="str">
            <v>Lt</v>
          </cell>
          <cell r="G159" t="str">
            <v>Lt</v>
          </cell>
          <cell r="H159" t="str">
            <v>Lt</v>
          </cell>
          <cell r="I159" t="str">
            <v>Lt</v>
          </cell>
          <cell r="J159" t="str">
            <v>Ro</v>
          </cell>
          <cell r="L159">
            <v>1</v>
          </cell>
          <cell r="M159">
            <v>2</v>
          </cell>
          <cell r="N159">
            <v>2</v>
          </cell>
          <cell r="O159">
            <v>0</v>
          </cell>
          <cell r="P159">
            <v>2</v>
          </cell>
          <cell r="Q159">
            <v>2</v>
          </cell>
          <cell r="S159">
            <v>2</v>
          </cell>
          <cell r="T159">
            <v>1.5</v>
          </cell>
          <cell r="U159" t="str">
            <v>1.5</v>
          </cell>
          <cell r="V159">
            <v>1.5</v>
          </cell>
          <cell r="W159">
            <v>1.5</v>
          </cell>
          <cell r="X159">
            <v>1.5</v>
          </cell>
          <cell r="Z159">
            <v>1.5</v>
          </cell>
          <cell r="AA159">
            <v>1.5</v>
          </cell>
          <cell r="AB159">
            <v>1.5</v>
          </cell>
          <cell r="AD159">
            <v>1.5</v>
          </cell>
          <cell r="AE159" t="str">
            <v>ô</v>
          </cell>
          <cell r="AG159" t="str">
            <v>ô</v>
          </cell>
          <cell r="AH159">
            <v>23</v>
          </cell>
        </row>
        <row r="160">
          <cell r="C160">
            <v>50550</v>
          </cell>
          <cell r="E160">
            <v>44459</v>
          </cell>
          <cell r="F160" t="str">
            <v>Lt</v>
          </cell>
          <cell r="G160" t="str">
            <v>Lt</v>
          </cell>
          <cell r="H160" t="str">
            <v>Lt</v>
          </cell>
          <cell r="I160" t="str">
            <v>Lt</v>
          </cell>
          <cell r="J160" t="str">
            <v>F</v>
          </cell>
          <cell r="L160">
            <v>1</v>
          </cell>
          <cell r="M160">
            <v>2</v>
          </cell>
          <cell r="N160">
            <v>2</v>
          </cell>
          <cell r="O160">
            <v>2</v>
          </cell>
          <cell r="P160">
            <v>2</v>
          </cell>
          <cell r="Q160">
            <v>2</v>
          </cell>
          <cell r="S160">
            <v>2</v>
          </cell>
          <cell r="T160">
            <v>1.5</v>
          </cell>
          <cell r="U160">
            <v>1.5</v>
          </cell>
          <cell r="V160">
            <v>1.5</v>
          </cell>
          <cell r="W160">
            <v>1.5</v>
          </cell>
          <cell r="X160">
            <v>1.5</v>
          </cell>
          <cell r="Z160">
            <v>1.5</v>
          </cell>
          <cell r="AA160">
            <v>1.5</v>
          </cell>
          <cell r="AB160">
            <v>1.5</v>
          </cell>
          <cell r="AD160" t="str">
            <v>ô</v>
          </cell>
          <cell r="AE160" t="str">
            <v>ô</v>
          </cell>
          <cell r="AG160" t="str">
            <v>ô</v>
          </cell>
          <cell r="AH160">
            <v>25</v>
          </cell>
        </row>
        <row r="161">
          <cell r="C161">
            <v>50615</v>
          </cell>
          <cell r="E161">
            <v>44481</v>
          </cell>
          <cell r="F161" t="str">
            <v>Lt</v>
          </cell>
          <cell r="G161" t="str">
            <v>Lt</v>
          </cell>
          <cell r="H161" t="str">
            <v>Lt</v>
          </cell>
          <cell r="I161" t="str">
            <v>Lt</v>
          </cell>
          <cell r="J161" t="str">
            <v>F</v>
          </cell>
          <cell r="L161">
            <v>1</v>
          </cell>
          <cell r="M161" t="str">
            <v>.5</v>
          </cell>
          <cell r="N161">
            <v>2</v>
          </cell>
          <cell r="O161">
            <v>2</v>
          </cell>
          <cell r="P161">
            <v>2</v>
          </cell>
          <cell r="Q161">
            <v>2</v>
          </cell>
          <cell r="S161">
            <v>2</v>
          </cell>
          <cell r="T161">
            <v>1.5</v>
          </cell>
          <cell r="U161">
            <v>1.5</v>
          </cell>
          <cell r="V161">
            <v>1.5</v>
          </cell>
          <cell r="W161">
            <v>1.5</v>
          </cell>
          <cell r="X161">
            <v>1.5</v>
          </cell>
          <cell r="Z161">
            <v>1.5</v>
          </cell>
          <cell r="AA161">
            <v>1.5</v>
          </cell>
          <cell r="AB161">
            <v>1.5</v>
          </cell>
          <cell r="AD161">
            <v>1.5</v>
          </cell>
          <cell r="AE161">
            <v>1.5</v>
          </cell>
          <cell r="AG161">
            <v>2</v>
          </cell>
          <cell r="AH161">
            <v>28</v>
          </cell>
        </row>
        <row r="162">
          <cell r="C162">
            <v>50654</v>
          </cell>
          <cell r="E162">
            <v>44442</v>
          </cell>
          <cell r="F162" t="str">
            <v>Lt</v>
          </cell>
          <cell r="G162" t="str">
            <v>Lt</v>
          </cell>
          <cell r="H162" t="str">
            <v>Lt</v>
          </cell>
          <cell r="I162" t="str">
            <v>Lt</v>
          </cell>
          <cell r="J162" t="str">
            <v>F</v>
          </cell>
          <cell r="L162">
            <v>1</v>
          </cell>
          <cell r="M162">
            <v>2</v>
          </cell>
          <cell r="N162">
            <v>2</v>
          </cell>
          <cell r="O162">
            <v>2</v>
          </cell>
          <cell r="P162">
            <v>2</v>
          </cell>
          <cell r="Q162">
            <v>2</v>
          </cell>
          <cell r="S162">
            <v>2</v>
          </cell>
          <cell r="T162">
            <v>1.5</v>
          </cell>
          <cell r="U162" t="str">
            <v>F</v>
          </cell>
          <cell r="V162">
            <v>1.5</v>
          </cell>
          <cell r="W162">
            <v>1.5</v>
          </cell>
          <cell r="X162">
            <v>1.5</v>
          </cell>
          <cell r="Z162">
            <v>1.5</v>
          </cell>
          <cell r="AA162">
            <v>1.5</v>
          </cell>
          <cell r="AB162">
            <v>1.5</v>
          </cell>
          <cell r="AD162">
            <v>1.5</v>
          </cell>
          <cell r="AE162">
            <v>1.5</v>
          </cell>
          <cell r="AG162">
            <v>2</v>
          </cell>
          <cell r="AH162">
            <v>28.5</v>
          </cell>
        </row>
        <row r="163">
          <cell r="C163">
            <v>50796</v>
          </cell>
          <cell r="E163">
            <v>44607</v>
          </cell>
          <cell r="T163">
            <v>1.5</v>
          </cell>
          <cell r="U163">
            <v>1.5</v>
          </cell>
          <cell r="V163">
            <v>1.5</v>
          </cell>
          <cell r="W163">
            <v>1.5</v>
          </cell>
          <cell r="X163">
            <v>1.5</v>
          </cell>
          <cell r="Z163">
            <v>1.5</v>
          </cell>
          <cell r="AA163">
            <v>1.5</v>
          </cell>
          <cell r="AB163">
            <v>1.5</v>
          </cell>
          <cell r="AD163" t="str">
            <v>ô</v>
          </cell>
          <cell r="AE163" t="str">
            <v>ô</v>
          </cell>
          <cell r="AG163" t="str">
            <v>ô</v>
          </cell>
          <cell r="AH163">
            <v>12</v>
          </cell>
        </row>
        <row r="164">
          <cell r="C164">
            <v>50803</v>
          </cell>
          <cell r="E164">
            <v>44609</v>
          </cell>
          <cell r="V164">
            <v>1.5</v>
          </cell>
          <cell r="W164">
            <v>1.5</v>
          </cell>
          <cell r="X164">
            <v>1.5</v>
          </cell>
          <cell r="Z164">
            <v>1.5</v>
          </cell>
          <cell r="AA164">
            <v>1.5</v>
          </cell>
          <cell r="AB164" t="str">
            <v>Ro</v>
          </cell>
          <cell r="AD164" t="str">
            <v>Ro</v>
          </cell>
          <cell r="AE164">
            <v>1.5</v>
          </cell>
          <cell r="AG164">
            <v>2</v>
          </cell>
          <cell r="AH164">
            <v>11</v>
          </cell>
        </row>
        <row r="165">
          <cell r="C165">
            <v>50804</v>
          </cell>
          <cell r="E165">
            <v>44613</v>
          </cell>
          <cell r="Z165">
            <v>1.5</v>
          </cell>
          <cell r="AA165">
            <v>1.5</v>
          </cell>
          <cell r="AB165">
            <v>1.5</v>
          </cell>
          <cell r="AD165">
            <v>1.5</v>
          </cell>
          <cell r="AE165">
            <v>1.5</v>
          </cell>
          <cell r="AG165">
            <v>2</v>
          </cell>
          <cell r="AH165">
            <v>9.5</v>
          </cell>
        </row>
        <row r="166">
          <cell r="C166">
            <v>50073</v>
          </cell>
          <cell r="E166">
            <v>43997</v>
          </cell>
          <cell r="F166" t="str">
            <v>Lt</v>
          </cell>
          <cell r="G166" t="str">
            <v>Lt</v>
          </cell>
          <cell r="H166" t="str">
            <v>Lt</v>
          </cell>
          <cell r="I166" t="str">
            <v>Lt</v>
          </cell>
          <cell r="J166" t="str">
            <v>F</v>
          </cell>
          <cell r="L166">
            <v>1</v>
          </cell>
          <cell r="M166">
            <v>2</v>
          </cell>
          <cell r="N166">
            <v>2</v>
          </cell>
          <cell r="O166">
            <v>2</v>
          </cell>
          <cell r="P166">
            <v>2</v>
          </cell>
          <cell r="Q166">
            <v>2</v>
          </cell>
          <cell r="S166">
            <v>2</v>
          </cell>
          <cell r="T166">
            <v>1.5</v>
          </cell>
          <cell r="U166">
            <v>1.5</v>
          </cell>
          <cell r="V166">
            <v>1.5</v>
          </cell>
          <cell r="W166">
            <v>1.5</v>
          </cell>
          <cell r="X166">
            <v>1.5</v>
          </cell>
          <cell r="Z166">
            <v>0</v>
          </cell>
          <cell r="AA166" t="str">
            <v>ô</v>
          </cell>
          <cell r="AB166" t="str">
            <v>ô</v>
          </cell>
          <cell r="AD166" t="str">
            <v>ô</v>
          </cell>
          <cell r="AE166" t="str">
            <v>ô</v>
          </cell>
          <cell r="AG166" t="str">
            <v>ô</v>
          </cell>
          <cell r="AH166">
            <v>20.5</v>
          </cell>
        </row>
        <row r="167">
          <cell r="C167">
            <v>50154</v>
          </cell>
          <cell r="E167">
            <v>44177</v>
          </cell>
          <cell r="F167" t="str">
            <v>Lt</v>
          </cell>
          <cell r="G167" t="str">
            <v>Lt</v>
          </cell>
          <cell r="H167" t="str">
            <v>Lt</v>
          </cell>
          <cell r="I167" t="str">
            <v>Lt</v>
          </cell>
          <cell r="J167" t="str">
            <v>F</v>
          </cell>
          <cell r="L167">
            <v>1</v>
          </cell>
          <cell r="M167">
            <v>2</v>
          </cell>
          <cell r="N167">
            <v>2</v>
          </cell>
          <cell r="O167">
            <v>2</v>
          </cell>
          <cell r="P167">
            <v>2</v>
          </cell>
          <cell r="Q167">
            <v>2</v>
          </cell>
          <cell r="S167">
            <v>2</v>
          </cell>
          <cell r="T167">
            <v>1.5</v>
          </cell>
          <cell r="U167">
            <v>0</v>
          </cell>
          <cell r="V167">
            <v>1.5</v>
          </cell>
          <cell r="W167">
            <v>1.5</v>
          </cell>
          <cell r="X167">
            <v>1.5</v>
          </cell>
          <cell r="Z167">
            <v>1.5</v>
          </cell>
          <cell r="AA167">
            <v>1.5</v>
          </cell>
          <cell r="AB167">
            <v>1.5</v>
          </cell>
          <cell r="AD167">
            <v>0</v>
          </cell>
          <cell r="AE167" t="str">
            <v>ô</v>
          </cell>
          <cell r="AG167" t="str">
            <v>ô</v>
          </cell>
          <cell r="AH167">
            <v>23.5</v>
          </cell>
        </row>
        <row r="168">
          <cell r="C168">
            <v>50158</v>
          </cell>
          <cell r="E168">
            <v>44183</v>
          </cell>
          <cell r="F168" t="str">
            <v>Lt</v>
          </cell>
          <cell r="G168" t="str">
            <v>Lt</v>
          </cell>
          <cell r="H168" t="str">
            <v>Lt</v>
          </cell>
          <cell r="I168" t="str">
            <v>Lt</v>
          </cell>
          <cell r="J168" t="str">
            <v>F</v>
          </cell>
          <cell r="L168">
            <v>1</v>
          </cell>
          <cell r="M168">
            <v>2</v>
          </cell>
          <cell r="N168">
            <v>2</v>
          </cell>
          <cell r="O168">
            <v>2</v>
          </cell>
          <cell r="P168">
            <v>2</v>
          </cell>
          <cell r="Q168">
            <v>2</v>
          </cell>
          <cell r="S168">
            <v>2</v>
          </cell>
          <cell r="T168">
            <v>1.5</v>
          </cell>
          <cell r="U168">
            <v>1.5</v>
          </cell>
          <cell r="V168">
            <v>1.5</v>
          </cell>
          <cell r="W168">
            <v>1.5</v>
          </cell>
          <cell r="X168">
            <v>1.5</v>
          </cell>
          <cell r="Z168">
            <v>1.5</v>
          </cell>
          <cell r="AA168">
            <v>1.5</v>
          </cell>
          <cell r="AB168">
            <v>1.5</v>
          </cell>
          <cell r="AD168">
            <v>1.5</v>
          </cell>
          <cell r="AE168">
            <v>1.5</v>
          </cell>
          <cell r="AG168">
            <v>2</v>
          </cell>
          <cell r="AH168">
            <v>30</v>
          </cell>
        </row>
        <row r="169">
          <cell r="C169">
            <v>50225</v>
          </cell>
          <cell r="E169">
            <v>44291</v>
          </cell>
          <cell r="F169" t="str">
            <v>Lt</v>
          </cell>
          <cell r="G169" t="str">
            <v>Lt</v>
          </cell>
          <cell r="H169" t="str">
            <v>Lt</v>
          </cell>
          <cell r="I169" t="str">
            <v>Lt</v>
          </cell>
          <cell r="J169" t="str">
            <v>F</v>
          </cell>
          <cell r="L169">
            <v>1</v>
          </cell>
          <cell r="M169">
            <v>2</v>
          </cell>
          <cell r="N169">
            <v>2</v>
          </cell>
          <cell r="O169">
            <v>2</v>
          </cell>
          <cell r="P169">
            <v>2</v>
          </cell>
          <cell r="Q169">
            <v>2</v>
          </cell>
          <cell r="S169">
            <v>2</v>
          </cell>
          <cell r="T169">
            <v>1.5</v>
          </cell>
          <cell r="U169">
            <v>0</v>
          </cell>
          <cell r="V169" t="str">
            <v>Cô</v>
          </cell>
          <cell r="W169" t="str">
            <v>Cô</v>
          </cell>
          <cell r="X169" t="str">
            <v>Cô</v>
          </cell>
          <cell r="Z169" t="str">
            <v>Cô</v>
          </cell>
          <cell r="AA169" t="str">
            <v>Cô</v>
          </cell>
          <cell r="AB169">
            <v>1.5</v>
          </cell>
          <cell r="AD169">
            <v>1.5</v>
          </cell>
          <cell r="AE169">
            <v>1.5</v>
          </cell>
          <cell r="AG169">
            <v>2</v>
          </cell>
          <cell r="AH169">
            <v>21</v>
          </cell>
        </row>
        <row r="170">
          <cell r="C170">
            <v>50240</v>
          </cell>
          <cell r="E170">
            <v>44300</v>
          </cell>
          <cell r="F170" t="str">
            <v>Lt</v>
          </cell>
          <cell r="G170" t="str">
            <v>Lt</v>
          </cell>
          <cell r="H170" t="str">
            <v>Lt</v>
          </cell>
          <cell r="I170" t="str">
            <v>Lt</v>
          </cell>
          <cell r="J170" t="str">
            <v>F</v>
          </cell>
          <cell r="L170">
            <v>1</v>
          </cell>
          <cell r="M170">
            <v>2</v>
          </cell>
          <cell r="N170">
            <v>2</v>
          </cell>
          <cell r="O170">
            <v>2</v>
          </cell>
          <cell r="P170">
            <v>2</v>
          </cell>
          <cell r="Q170">
            <v>2</v>
          </cell>
          <cell r="S170">
            <v>2</v>
          </cell>
          <cell r="T170">
            <v>1.5</v>
          </cell>
          <cell r="U170" t="str">
            <v>f</v>
          </cell>
          <cell r="V170">
            <v>1.5</v>
          </cell>
          <cell r="W170">
            <v>1.5</v>
          </cell>
          <cell r="X170" t="str">
            <v>ô</v>
          </cell>
          <cell r="Z170" t="str">
            <v>ô</v>
          </cell>
          <cell r="AA170" t="str">
            <v>ô</v>
          </cell>
          <cell r="AB170" t="str">
            <v>ô</v>
          </cell>
          <cell r="AD170" t="str">
            <v>ô</v>
          </cell>
          <cell r="AE170" t="str">
            <v>ô</v>
          </cell>
          <cell r="AG170">
            <v>2</v>
          </cell>
          <cell r="AH170">
            <v>19.5</v>
          </cell>
        </row>
        <row r="171">
          <cell r="C171">
            <v>50302</v>
          </cell>
          <cell r="E171">
            <v>44397</v>
          </cell>
          <cell r="F171" t="str">
            <v>Lt</v>
          </cell>
          <cell r="G171" t="str">
            <v>Lt</v>
          </cell>
          <cell r="H171" t="str">
            <v>Lt</v>
          </cell>
          <cell r="I171" t="str">
            <v>Lt</v>
          </cell>
          <cell r="J171" t="str">
            <v>F</v>
          </cell>
          <cell r="L171">
            <v>1</v>
          </cell>
          <cell r="M171">
            <v>2</v>
          </cell>
          <cell r="N171">
            <v>2</v>
          </cell>
          <cell r="O171">
            <v>2</v>
          </cell>
          <cell r="P171">
            <v>2</v>
          </cell>
          <cell r="Q171">
            <v>2</v>
          </cell>
          <cell r="S171">
            <v>2</v>
          </cell>
          <cell r="T171">
            <v>1.5</v>
          </cell>
          <cell r="U171">
            <v>1.5</v>
          </cell>
          <cell r="V171">
            <v>1.5</v>
          </cell>
          <cell r="W171">
            <v>1.5</v>
          </cell>
          <cell r="X171">
            <v>1.5</v>
          </cell>
          <cell r="Z171">
            <v>1.5</v>
          </cell>
          <cell r="AA171">
            <v>1.5</v>
          </cell>
          <cell r="AB171">
            <v>1.5</v>
          </cell>
          <cell r="AD171">
            <v>0</v>
          </cell>
          <cell r="AE171" t="str">
            <v>ô</v>
          </cell>
          <cell r="AG171" t="str">
            <v>ô</v>
          </cell>
          <cell r="AH171">
            <v>25</v>
          </cell>
        </row>
        <row r="172">
          <cell r="C172">
            <v>50339</v>
          </cell>
          <cell r="E172">
            <v>44404</v>
          </cell>
          <cell r="F172" t="str">
            <v>Lt</v>
          </cell>
          <cell r="G172" t="str">
            <v>Lt</v>
          </cell>
          <cell r="H172" t="str">
            <v>Lt</v>
          </cell>
          <cell r="I172" t="str">
            <v>Lt</v>
          </cell>
          <cell r="J172" t="str">
            <v>F</v>
          </cell>
          <cell r="L172">
            <v>1</v>
          </cell>
          <cell r="M172">
            <v>2</v>
          </cell>
          <cell r="N172">
            <v>2</v>
          </cell>
          <cell r="O172">
            <v>2</v>
          </cell>
          <cell r="P172">
            <v>2</v>
          </cell>
          <cell r="Q172">
            <v>2</v>
          </cell>
          <cell r="S172">
            <v>2</v>
          </cell>
          <cell r="T172">
            <v>1.5</v>
          </cell>
          <cell r="U172">
            <v>1.5</v>
          </cell>
          <cell r="V172">
            <v>1.5</v>
          </cell>
          <cell r="W172">
            <v>1.5</v>
          </cell>
          <cell r="X172">
            <v>1.5</v>
          </cell>
          <cell r="Z172">
            <v>1.5</v>
          </cell>
          <cell r="AA172">
            <v>1.5</v>
          </cell>
          <cell r="AB172">
            <v>1.5</v>
          </cell>
          <cell r="AD172">
            <v>1.5</v>
          </cell>
          <cell r="AE172">
            <v>1.5</v>
          </cell>
          <cell r="AG172" t="str">
            <v>ô</v>
          </cell>
          <cell r="AH172">
            <v>28</v>
          </cell>
        </row>
        <row r="173">
          <cell r="C173">
            <v>50427</v>
          </cell>
          <cell r="E173">
            <v>44420</v>
          </cell>
          <cell r="F173" t="str">
            <v>Lt</v>
          </cell>
          <cell r="G173" t="str">
            <v>Lt</v>
          </cell>
          <cell r="H173" t="str">
            <v>Lt</v>
          </cell>
          <cell r="I173" t="str">
            <v>Lt</v>
          </cell>
          <cell r="J173" t="str">
            <v>F</v>
          </cell>
          <cell r="L173">
            <v>1</v>
          </cell>
          <cell r="M173">
            <v>2</v>
          </cell>
          <cell r="N173">
            <v>2</v>
          </cell>
          <cell r="O173">
            <v>2</v>
          </cell>
          <cell r="P173">
            <v>2</v>
          </cell>
          <cell r="Q173">
            <v>2</v>
          </cell>
          <cell r="S173">
            <v>2</v>
          </cell>
          <cell r="T173">
            <v>1.5</v>
          </cell>
          <cell r="U173">
            <v>1.5</v>
          </cell>
          <cell r="V173">
            <v>1.5</v>
          </cell>
          <cell r="W173">
            <v>1.5</v>
          </cell>
          <cell r="X173">
            <v>1.5</v>
          </cell>
          <cell r="Z173">
            <v>1.5</v>
          </cell>
          <cell r="AA173">
            <v>1.5</v>
          </cell>
          <cell r="AB173">
            <v>1.5</v>
          </cell>
          <cell r="AD173">
            <v>1.5</v>
          </cell>
          <cell r="AE173">
            <v>1.5</v>
          </cell>
          <cell r="AG173">
            <v>2</v>
          </cell>
          <cell r="AH173">
            <v>30</v>
          </cell>
        </row>
        <row r="174">
          <cell r="C174">
            <v>50487</v>
          </cell>
          <cell r="E174">
            <v>44436</v>
          </cell>
          <cell r="F174" t="str">
            <v>Lt</v>
          </cell>
          <cell r="G174" t="str">
            <v>Lt</v>
          </cell>
          <cell r="H174" t="str">
            <v>Lt</v>
          </cell>
          <cell r="I174" t="str">
            <v>Lt</v>
          </cell>
          <cell r="J174" t="str">
            <v>F</v>
          </cell>
          <cell r="L174">
            <v>1</v>
          </cell>
          <cell r="M174">
            <v>2</v>
          </cell>
          <cell r="N174">
            <v>2</v>
          </cell>
          <cell r="O174">
            <v>2</v>
          </cell>
          <cell r="P174">
            <v>2</v>
          </cell>
          <cell r="Q174">
            <v>2</v>
          </cell>
          <cell r="S174" t="str">
            <v>ro</v>
          </cell>
          <cell r="T174">
            <v>1.5</v>
          </cell>
          <cell r="U174">
            <v>1.5</v>
          </cell>
          <cell r="V174">
            <v>1.5</v>
          </cell>
          <cell r="W174">
            <v>1.5</v>
          </cell>
          <cell r="X174">
            <v>1.5</v>
          </cell>
          <cell r="Z174" t="str">
            <v>ô</v>
          </cell>
          <cell r="AA174" t="str">
            <v>ô</v>
          </cell>
          <cell r="AB174" t="str">
            <v>ô</v>
          </cell>
          <cell r="AD174" t="str">
            <v>ô</v>
          </cell>
          <cell r="AE174" t="str">
            <v>ô</v>
          </cell>
          <cell r="AG174" t="str">
            <v>ô</v>
          </cell>
          <cell r="AH174">
            <v>18.5</v>
          </cell>
        </row>
        <row r="175">
          <cell r="C175">
            <v>50562</v>
          </cell>
          <cell r="E175">
            <v>44459</v>
          </cell>
          <cell r="F175" t="str">
            <v>Lt</v>
          </cell>
          <cell r="G175" t="str">
            <v>Lt</v>
          </cell>
          <cell r="H175" t="str">
            <v>Lt</v>
          </cell>
          <cell r="I175" t="str">
            <v>Lt</v>
          </cell>
          <cell r="J175" t="str">
            <v>Ro</v>
          </cell>
          <cell r="L175">
            <v>1</v>
          </cell>
          <cell r="M175">
            <v>2</v>
          </cell>
          <cell r="N175">
            <v>2</v>
          </cell>
          <cell r="O175">
            <v>2</v>
          </cell>
          <cell r="P175">
            <v>2</v>
          </cell>
          <cell r="Q175">
            <v>2</v>
          </cell>
          <cell r="S175">
            <v>2</v>
          </cell>
          <cell r="T175">
            <v>1.5</v>
          </cell>
          <cell r="U175">
            <v>1.5</v>
          </cell>
          <cell r="V175">
            <v>1.5</v>
          </cell>
          <cell r="W175">
            <v>1.5</v>
          </cell>
          <cell r="X175">
            <v>1.5</v>
          </cell>
          <cell r="Z175">
            <v>1.5</v>
          </cell>
          <cell r="AA175">
            <v>1.5</v>
          </cell>
          <cell r="AB175">
            <v>1.5</v>
          </cell>
          <cell r="AD175">
            <v>1.5</v>
          </cell>
          <cell r="AE175">
            <v>1.5</v>
          </cell>
          <cell r="AG175" t="str">
            <v>ô</v>
          </cell>
          <cell r="AH175">
            <v>28</v>
          </cell>
        </row>
        <row r="176">
          <cell r="C176">
            <v>50570</v>
          </cell>
          <cell r="E176">
            <v>44466</v>
          </cell>
          <cell r="F176" t="str">
            <v>Lt</v>
          </cell>
          <cell r="G176" t="str">
            <v>Lt</v>
          </cell>
          <cell r="H176" t="str">
            <v>Lt</v>
          </cell>
          <cell r="I176" t="str">
            <v>Lt</v>
          </cell>
          <cell r="J176" t="str">
            <v>F</v>
          </cell>
          <cell r="L176">
            <v>1</v>
          </cell>
          <cell r="M176">
            <v>2</v>
          </cell>
          <cell r="N176">
            <v>2</v>
          </cell>
          <cell r="O176">
            <v>2</v>
          </cell>
          <cell r="P176">
            <v>2</v>
          </cell>
          <cell r="Q176">
            <v>2</v>
          </cell>
          <cell r="S176">
            <v>2</v>
          </cell>
          <cell r="T176">
            <v>1.5</v>
          </cell>
          <cell r="U176">
            <v>1.5</v>
          </cell>
          <cell r="V176">
            <v>1.5</v>
          </cell>
          <cell r="W176">
            <v>1.5</v>
          </cell>
          <cell r="X176">
            <v>1.5</v>
          </cell>
          <cell r="Z176">
            <v>1.5</v>
          </cell>
          <cell r="AA176">
            <v>1.5</v>
          </cell>
          <cell r="AB176">
            <v>1.5</v>
          </cell>
          <cell r="AD176">
            <v>0</v>
          </cell>
          <cell r="AE176">
            <v>1.5</v>
          </cell>
          <cell r="AG176">
            <v>2</v>
          </cell>
          <cell r="AH176">
            <v>28.5</v>
          </cell>
        </row>
        <row r="177">
          <cell r="C177">
            <v>50582</v>
          </cell>
          <cell r="E177">
            <v>44517</v>
          </cell>
          <cell r="F177" t="str">
            <v>Lt</v>
          </cell>
          <cell r="G177" t="str">
            <v>Lt</v>
          </cell>
          <cell r="H177" t="str">
            <v>Lt</v>
          </cell>
          <cell r="I177" t="str">
            <v>Lt</v>
          </cell>
          <cell r="J177" t="str">
            <v>Ro</v>
          </cell>
          <cell r="L177">
            <v>1</v>
          </cell>
          <cell r="M177">
            <v>2</v>
          </cell>
          <cell r="N177">
            <v>2</v>
          </cell>
          <cell r="O177">
            <v>2</v>
          </cell>
          <cell r="P177">
            <v>2</v>
          </cell>
          <cell r="Q177">
            <v>2</v>
          </cell>
          <cell r="S177">
            <v>2</v>
          </cell>
          <cell r="T177">
            <v>1.5</v>
          </cell>
          <cell r="U177">
            <v>1.5</v>
          </cell>
          <cell r="V177">
            <v>1.5</v>
          </cell>
          <cell r="W177">
            <v>1.5</v>
          </cell>
          <cell r="X177">
            <v>1.5</v>
          </cell>
          <cell r="Z177">
            <v>1.5</v>
          </cell>
          <cell r="AA177">
            <v>1.5</v>
          </cell>
          <cell r="AB177">
            <v>1.5</v>
          </cell>
          <cell r="AD177">
            <v>1.5</v>
          </cell>
          <cell r="AE177" t="str">
            <v>Ro</v>
          </cell>
          <cell r="AG177">
            <v>2</v>
          </cell>
          <cell r="AH177">
            <v>28.5</v>
          </cell>
        </row>
        <row r="178">
          <cell r="C178">
            <v>50613</v>
          </cell>
          <cell r="E178">
            <v>44480</v>
          </cell>
          <cell r="F178" t="str">
            <v>Lt</v>
          </cell>
          <cell r="G178" t="str">
            <v>Lt</v>
          </cell>
          <cell r="H178" t="str">
            <v>Lt</v>
          </cell>
          <cell r="I178" t="str">
            <v>Lt</v>
          </cell>
          <cell r="J178" t="str">
            <v>F</v>
          </cell>
          <cell r="L178">
            <v>1</v>
          </cell>
          <cell r="M178">
            <v>2</v>
          </cell>
          <cell r="N178">
            <v>2</v>
          </cell>
          <cell r="O178">
            <v>0.5</v>
          </cell>
          <cell r="P178">
            <v>2</v>
          </cell>
          <cell r="Q178">
            <v>2</v>
          </cell>
          <cell r="S178">
            <v>2</v>
          </cell>
          <cell r="T178">
            <v>1.5</v>
          </cell>
          <cell r="U178">
            <v>1.5</v>
          </cell>
          <cell r="V178" t="str">
            <v>Ro</v>
          </cell>
          <cell r="W178" t="str">
            <v>Ro</v>
          </cell>
          <cell r="X178" t="str">
            <v>Ro</v>
          </cell>
          <cell r="Z178">
            <v>1.5</v>
          </cell>
          <cell r="AA178">
            <v>1.5</v>
          </cell>
          <cell r="AB178">
            <v>1.5</v>
          </cell>
          <cell r="AD178">
            <v>0</v>
          </cell>
          <cell r="AE178" t="str">
            <v>Ô</v>
          </cell>
          <cell r="AG178" t="str">
            <v>Ô</v>
          </cell>
          <cell r="AH178">
            <v>19</v>
          </cell>
        </row>
        <row r="179">
          <cell r="C179">
            <v>50616</v>
          </cell>
          <cell r="E179">
            <v>44481</v>
          </cell>
          <cell r="F179" t="str">
            <v>Lt</v>
          </cell>
          <cell r="G179" t="str">
            <v>Lt</v>
          </cell>
          <cell r="H179" t="str">
            <v>Lt</v>
          </cell>
          <cell r="I179" t="str">
            <v>Lt</v>
          </cell>
          <cell r="J179" t="str">
            <v>F</v>
          </cell>
          <cell r="L179">
            <v>1</v>
          </cell>
          <cell r="M179">
            <v>2</v>
          </cell>
          <cell r="N179">
            <v>2</v>
          </cell>
          <cell r="O179">
            <v>2</v>
          </cell>
          <cell r="P179">
            <v>2</v>
          </cell>
          <cell r="Q179">
            <v>2</v>
          </cell>
          <cell r="S179">
            <v>2</v>
          </cell>
          <cell r="T179">
            <v>1.5</v>
          </cell>
          <cell r="U179">
            <v>1.5</v>
          </cell>
          <cell r="V179">
            <v>1.5</v>
          </cell>
          <cell r="W179">
            <v>1.5</v>
          </cell>
          <cell r="X179">
            <v>1.5</v>
          </cell>
          <cell r="Z179">
            <v>1.5</v>
          </cell>
          <cell r="AA179">
            <v>1.5</v>
          </cell>
          <cell r="AB179" t="str">
            <v>F</v>
          </cell>
          <cell r="AD179">
            <v>1.5</v>
          </cell>
          <cell r="AE179">
            <v>1.5</v>
          </cell>
          <cell r="AG179">
            <v>2</v>
          </cell>
          <cell r="AH179">
            <v>28.5</v>
          </cell>
        </row>
        <row r="180">
          <cell r="C180">
            <v>50703</v>
          </cell>
          <cell r="E180">
            <v>44379</v>
          </cell>
          <cell r="F180" t="str">
            <v>Lt</v>
          </cell>
          <cell r="G180" t="str">
            <v>Lt</v>
          </cell>
          <cell r="H180" t="str">
            <v>Lt</v>
          </cell>
          <cell r="I180" t="str">
            <v>Lt</v>
          </cell>
          <cell r="J180" t="str">
            <v>F</v>
          </cell>
          <cell r="L180">
            <v>1</v>
          </cell>
          <cell r="M180">
            <v>2</v>
          </cell>
          <cell r="N180">
            <v>2</v>
          </cell>
          <cell r="O180">
            <v>2</v>
          </cell>
          <cell r="P180">
            <v>2</v>
          </cell>
          <cell r="Q180">
            <v>2</v>
          </cell>
          <cell r="S180">
            <v>2</v>
          </cell>
          <cell r="T180">
            <v>1.5</v>
          </cell>
          <cell r="U180">
            <v>1.5</v>
          </cell>
          <cell r="V180">
            <v>1.5</v>
          </cell>
          <cell r="W180">
            <v>1.5</v>
          </cell>
          <cell r="X180">
            <v>1.5</v>
          </cell>
          <cell r="Z180">
            <v>1.5</v>
          </cell>
          <cell r="AA180">
            <v>1.5</v>
          </cell>
          <cell r="AB180">
            <v>1.5</v>
          </cell>
          <cell r="AD180" t="str">
            <v>ô</v>
          </cell>
          <cell r="AE180" t="str">
            <v>ô</v>
          </cell>
          <cell r="AG180" t="str">
            <v>ô</v>
          </cell>
          <cell r="AH180">
            <v>25</v>
          </cell>
        </row>
        <row r="181">
          <cell r="C181">
            <v>50797</v>
          </cell>
          <cell r="E181">
            <v>44607</v>
          </cell>
          <cell r="T181">
            <v>1.5</v>
          </cell>
          <cell r="U181">
            <v>1.5</v>
          </cell>
          <cell r="V181">
            <v>1.5</v>
          </cell>
          <cell r="W181">
            <v>1.5</v>
          </cell>
          <cell r="X181">
            <v>1.5</v>
          </cell>
          <cell r="Z181">
            <v>1.5</v>
          </cell>
          <cell r="AA181">
            <v>1.5</v>
          </cell>
          <cell r="AB181">
            <v>1.5</v>
          </cell>
          <cell r="AD181">
            <v>1.5</v>
          </cell>
          <cell r="AE181">
            <v>1.5</v>
          </cell>
          <cell r="AG181">
            <v>2</v>
          </cell>
          <cell r="AH181">
            <v>17</v>
          </cell>
        </row>
        <row r="182">
          <cell r="C182">
            <v>50805</v>
          </cell>
          <cell r="E182">
            <v>44609</v>
          </cell>
          <cell r="V182">
            <v>1.5</v>
          </cell>
          <cell r="W182">
            <v>1.5</v>
          </cell>
          <cell r="X182">
            <v>1.5</v>
          </cell>
          <cell r="Z182">
            <v>1.5</v>
          </cell>
          <cell r="AA182">
            <v>1.5</v>
          </cell>
          <cell r="AB182">
            <v>1.5</v>
          </cell>
          <cell r="AD182">
            <v>1.5</v>
          </cell>
          <cell r="AE182">
            <v>1.5</v>
          </cell>
          <cell r="AG182">
            <v>0</v>
          </cell>
          <cell r="AH182">
            <v>12</v>
          </cell>
        </row>
        <row r="183">
          <cell r="C183">
            <v>50806</v>
          </cell>
          <cell r="E183">
            <v>44610</v>
          </cell>
          <cell r="W183">
            <v>1.5</v>
          </cell>
          <cell r="X183">
            <v>1.5</v>
          </cell>
          <cell r="Z183">
            <v>1.5</v>
          </cell>
          <cell r="AA183">
            <v>1.5</v>
          </cell>
          <cell r="AB183">
            <v>1.5</v>
          </cell>
          <cell r="AD183">
            <v>1.5</v>
          </cell>
          <cell r="AE183">
            <v>1.5</v>
          </cell>
          <cell r="AG183">
            <v>2</v>
          </cell>
          <cell r="AH183">
            <v>12.5</v>
          </cell>
        </row>
        <row r="184">
          <cell r="C184">
            <v>50807</v>
          </cell>
          <cell r="E184">
            <v>44614</v>
          </cell>
          <cell r="AA184">
            <v>1.5</v>
          </cell>
          <cell r="AB184">
            <v>1.5</v>
          </cell>
          <cell r="AD184">
            <v>1.5</v>
          </cell>
          <cell r="AE184">
            <v>1.5</v>
          </cell>
          <cell r="AG184">
            <v>2</v>
          </cell>
          <cell r="AH184">
            <v>8</v>
          </cell>
        </row>
        <row r="185">
          <cell r="C185">
            <v>50818</v>
          </cell>
          <cell r="E185">
            <v>44616</v>
          </cell>
          <cell r="AD185">
            <v>1.5</v>
          </cell>
          <cell r="AE185">
            <v>1.5</v>
          </cell>
          <cell r="AG185">
            <v>2</v>
          </cell>
          <cell r="AH185">
            <v>5</v>
          </cell>
        </row>
        <row r="186">
          <cell r="C186">
            <v>50019</v>
          </cell>
          <cell r="E186">
            <v>43983</v>
          </cell>
          <cell r="F186" t="str">
            <v>LT</v>
          </cell>
          <cell r="G186" t="str">
            <v>LT</v>
          </cell>
          <cell r="H186" t="str">
            <v>LT</v>
          </cell>
          <cell r="I186" t="str">
            <v>LT</v>
          </cell>
          <cell r="J186" t="str">
            <v>F</v>
          </cell>
          <cell r="L186">
            <v>1</v>
          </cell>
          <cell r="M186">
            <v>2</v>
          </cell>
          <cell r="N186">
            <v>2</v>
          </cell>
          <cell r="O186">
            <v>2</v>
          </cell>
          <cell r="P186">
            <v>2</v>
          </cell>
          <cell r="Q186">
            <v>2</v>
          </cell>
          <cell r="S186">
            <v>2</v>
          </cell>
          <cell r="T186">
            <v>1.5</v>
          </cell>
          <cell r="U186">
            <v>1.5</v>
          </cell>
          <cell r="V186">
            <v>1.5</v>
          </cell>
          <cell r="W186">
            <v>1.5</v>
          </cell>
          <cell r="X186">
            <v>1.5</v>
          </cell>
          <cell r="Z186">
            <v>1.5</v>
          </cell>
          <cell r="AA186">
            <v>1.5</v>
          </cell>
          <cell r="AB186">
            <v>1.5</v>
          </cell>
          <cell r="AD186">
            <v>1.5</v>
          </cell>
          <cell r="AE186" t="str">
            <v>ô</v>
          </cell>
          <cell r="AG186" t="str">
            <v>ô</v>
          </cell>
          <cell r="AH186">
            <v>26.5</v>
          </cell>
        </row>
        <row r="187">
          <cell r="C187">
            <v>50063</v>
          </cell>
          <cell r="E187">
            <v>43990</v>
          </cell>
          <cell r="F187" t="str">
            <v>LT</v>
          </cell>
          <cell r="G187" t="str">
            <v>LT</v>
          </cell>
          <cell r="H187" t="str">
            <v>LT</v>
          </cell>
          <cell r="I187" t="str">
            <v>LT</v>
          </cell>
          <cell r="J187" t="str">
            <v>F</v>
          </cell>
          <cell r="L187">
            <v>1</v>
          </cell>
          <cell r="M187">
            <v>2</v>
          </cell>
          <cell r="N187">
            <v>2</v>
          </cell>
          <cell r="O187">
            <v>2</v>
          </cell>
          <cell r="P187">
            <v>2</v>
          </cell>
          <cell r="Q187">
            <v>2</v>
          </cell>
          <cell r="S187">
            <v>2</v>
          </cell>
          <cell r="T187">
            <v>1.5</v>
          </cell>
          <cell r="U187">
            <v>1.5</v>
          </cell>
          <cell r="V187">
            <v>1.5</v>
          </cell>
          <cell r="W187">
            <v>1.5</v>
          </cell>
          <cell r="X187">
            <v>1.5</v>
          </cell>
          <cell r="Z187">
            <v>1.5</v>
          </cell>
          <cell r="AA187">
            <v>1.5</v>
          </cell>
          <cell r="AB187">
            <v>1.5</v>
          </cell>
          <cell r="AD187">
            <v>1.5</v>
          </cell>
          <cell r="AE187">
            <v>1.5</v>
          </cell>
          <cell r="AG187">
            <v>2</v>
          </cell>
          <cell r="AH187">
            <v>30</v>
          </cell>
        </row>
        <row r="188">
          <cell r="C188">
            <v>50082</v>
          </cell>
          <cell r="E188">
            <v>44019</v>
          </cell>
          <cell r="F188" t="str">
            <v>LT</v>
          </cell>
          <cell r="G188" t="str">
            <v>LT</v>
          </cell>
          <cell r="H188" t="str">
            <v>LT</v>
          </cell>
          <cell r="I188" t="str">
            <v>LT</v>
          </cell>
          <cell r="J188" t="str">
            <v>F</v>
          </cell>
          <cell r="L188">
            <v>1</v>
          </cell>
          <cell r="M188">
            <v>2</v>
          </cell>
          <cell r="N188">
            <v>2</v>
          </cell>
          <cell r="O188">
            <v>2</v>
          </cell>
          <cell r="P188">
            <v>2</v>
          </cell>
          <cell r="Q188">
            <v>2</v>
          </cell>
          <cell r="S188">
            <v>2</v>
          </cell>
          <cell r="T188">
            <v>1.5</v>
          </cell>
          <cell r="U188">
            <v>1.5</v>
          </cell>
          <cell r="V188">
            <v>1.5</v>
          </cell>
          <cell r="W188">
            <v>1.5</v>
          </cell>
          <cell r="X188">
            <v>1.5</v>
          </cell>
          <cell r="Z188">
            <v>1.5</v>
          </cell>
          <cell r="AA188">
            <v>1.5</v>
          </cell>
          <cell r="AB188">
            <v>1.5</v>
          </cell>
          <cell r="AD188" t="str">
            <v>ô</v>
          </cell>
          <cell r="AE188" t="str">
            <v>ô</v>
          </cell>
          <cell r="AG188" t="str">
            <v>ô</v>
          </cell>
          <cell r="AH188">
            <v>25</v>
          </cell>
        </row>
        <row r="189">
          <cell r="C189">
            <v>50089</v>
          </cell>
          <cell r="E189">
            <v>44043</v>
          </cell>
          <cell r="F189" t="str">
            <v>LT</v>
          </cell>
          <cell r="G189" t="str">
            <v>LT</v>
          </cell>
          <cell r="H189" t="str">
            <v>LT</v>
          </cell>
          <cell r="I189" t="str">
            <v>LT</v>
          </cell>
          <cell r="J189" t="str">
            <v>F</v>
          </cell>
          <cell r="L189">
            <v>1</v>
          </cell>
          <cell r="M189">
            <v>2</v>
          </cell>
          <cell r="N189">
            <v>2</v>
          </cell>
          <cell r="O189">
            <v>2</v>
          </cell>
          <cell r="P189">
            <v>2</v>
          </cell>
          <cell r="Q189">
            <v>2</v>
          </cell>
          <cell r="S189">
            <v>2</v>
          </cell>
          <cell r="T189">
            <v>1.5</v>
          </cell>
          <cell r="U189">
            <v>1.5</v>
          </cell>
          <cell r="V189" t="str">
            <v>F</v>
          </cell>
          <cell r="W189">
            <v>1.5</v>
          </cell>
          <cell r="X189">
            <v>1.5</v>
          </cell>
          <cell r="Z189">
            <v>1.5</v>
          </cell>
          <cell r="AA189">
            <v>1.5</v>
          </cell>
          <cell r="AB189">
            <v>1.5</v>
          </cell>
          <cell r="AD189">
            <v>1.5</v>
          </cell>
          <cell r="AE189">
            <v>1.5</v>
          </cell>
          <cell r="AG189">
            <v>2</v>
          </cell>
          <cell r="AH189">
            <v>28.5</v>
          </cell>
        </row>
        <row r="190">
          <cell r="C190">
            <v>50125</v>
          </cell>
          <cell r="E190">
            <v>44109</v>
          </cell>
          <cell r="F190" t="str">
            <v>LT</v>
          </cell>
          <cell r="G190" t="str">
            <v>LT</v>
          </cell>
          <cell r="H190" t="str">
            <v>LT</v>
          </cell>
          <cell r="I190" t="str">
            <v>LT</v>
          </cell>
          <cell r="J190" t="str">
            <v>F</v>
          </cell>
          <cell r="L190">
            <v>1</v>
          </cell>
          <cell r="M190">
            <v>2</v>
          </cell>
          <cell r="N190">
            <v>2</v>
          </cell>
          <cell r="O190">
            <v>2</v>
          </cell>
          <cell r="P190">
            <v>0</v>
          </cell>
          <cell r="Q190">
            <v>2</v>
          </cell>
          <cell r="S190">
            <v>2</v>
          </cell>
          <cell r="T190" t="str">
            <v>F</v>
          </cell>
          <cell r="U190">
            <v>1.5</v>
          </cell>
          <cell r="V190">
            <v>1.5</v>
          </cell>
          <cell r="W190">
            <v>1.5</v>
          </cell>
          <cell r="X190">
            <v>1.5</v>
          </cell>
          <cell r="Z190">
            <v>1.5</v>
          </cell>
          <cell r="AA190">
            <v>1.5</v>
          </cell>
          <cell r="AB190">
            <v>1.5</v>
          </cell>
          <cell r="AD190">
            <v>1.5</v>
          </cell>
          <cell r="AE190">
            <v>1.5</v>
          </cell>
          <cell r="AG190">
            <v>0</v>
          </cell>
          <cell r="AH190">
            <v>24.5</v>
          </cell>
        </row>
        <row r="191">
          <cell r="C191">
            <v>50139</v>
          </cell>
          <cell r="E191">
            <v>44137</v>
          </cell>
          <cell r="F191" t="str">
            <v>LT</v>
          </cell>
          <cell r="G191" t="str">
            <v>LT</v>
          </cell>
          <cell r="H191" t="str">
            <v>LT</v>
          </cell>
          <cell r="I191" t="str">
            <v>LT</v>
          </cell>
          <cell r="J191" t="str">
            <v>F</v>
          </cell>
          <cell r="L191">
            <v>1</v>
          </cell>
          <cell r="M191">
            <v>2</v>
          </cell>
          <cell r="N191">
            <v>2</v>
          </cell>
          <cell r="O191">
            <v>2</v>
          </cell>
          <cell r="P191">
            <v>2</v>
          </cell>
          <cell r="Q191">
            <v>2</v>
          </cell>
          <cell r="S191">
            <v>2</v>
          </cell>
          <cell r="T191">
            <v>1.5</v>
          </cell>
          <cell r="U191">
            <v>1.5</v>
          </cell>
          <cell r="V191">
            <v>1.5</v>
          </cell>
          <cell r="W191">
            <v>1.5</v>
          </cell>
          <cell r="X191">
            <v>1.5</v>
          </cell>
          <cell r="Z191">
            <v>1.5</v>
          </cell>
          <cell r="AA191">
            <v>1.5</v>
          </cell>
          <cell r="AB191">
            <v>1.5</v>
          </cell>
          <cell r="AD191">
            <v>1.5</v>
          </cell>
          <cell r="AE191">
            <v>1.5</v>
          </cell>
          <cell r="AG191">
            <v>2</v>
          </cell>
          <cell r="AH191">
            <v>30</v>
          </cell>
        </row>
        <row r="192">
          <cell r="C192">
            <v>50258</v>
          </cell>
          <cell r="E192">
            <v>44334</v>
          </cell>
          <cell r="F192" t="str">
            <v>LT</v>
          </cell>
          <cell r="G192" t="str">
            <v>LT</v>
          </cell>
          <cell r="H192" t="str">
            <v>LT</v>
          </cell>
          <cell r="I192" t="str">
            <v>LT</v>
          </cell>
          <cell r="J192" t="str">
            <v>F</v>
          </cell>
          <cell r="L192">
            <v>1</v>
          </cell>
          <cell r="M192">
            <v>2</v>
          </cell>
          <cell r="N192">
            <v>2</v>
          </cell>
          <cell r="O192">
            <v>2</v>
          </cell>
          <cell r="P192">
            <v>2</v>
          </cell>
          <cell r="Q192">
            <v>2</v>
          </cell>
          <cell r="S192">
            <v>2</v>
          </cell>
          <cell r="T192">
            <v>1.5</v>
          </cell>
          <cell r="U192">
            <v>1.5</v>
          </cell>
          <cell r="V192">
            <v>1.5</v>
          </cell>
          <cell r="W192">
            <v>1.5</v>
          </cell>
          <cell r="X192">
            <v>1.5</v>
          </cell>
          <cell r="Z192">
            <v>1.5</v>
          </cell>
          <cell r="AA192">
            <v>1.5</v>
          </cell>
          <cell r="AB192">
            <v>1.5</v>
          </cell>
          <cell r="AD192">
            <v>1.5</v>
          </cell>
          <cell r="AE192">
            <v>1.5</v>
          </cell>
          <cell r="AG192">
            <v>2</v>
          </cell>
          <cell r="AH192">
            <v>30</v>
          </cell>
        </row>
        <row r="193">
          <cell r="C193">
            <v>50317</v>
          </cell>
          <cell r="E193">
            <v>44398</v>
          </cell>
          <cell r="F193" t="str">
            <v>LT</v>
          </cell>
          <cell r="G193" t="str">
            <v>LT</v>
          </cell>
          <cell r="H193" t="str">
            <v>LT</v>
          </cell>
          <cell r="I193" t="str">
            <v>LT</v>
          </cell>
          <cell r="J193" t="str">
            <v>F</v>
          </cell>
          <cell r="L193">
            <v>1</v>
          </cell>
          <cell r="M193">
            <v>2</v>
          </cell>
          <cell r="N193">
            <v>2</v>
          </cell>
          <cell r="O193">
            <v>2</v>
          </cell>
          <cell r="P193">
            <v>2</v>
          </cell>
          <cell r="Q193">
            <v>2</v>
          </cell>
          <cell r="S193" t="str">
            <v>ô</v>
          </cell>
          <cell r="T193">
            <v>1.5</v>
          </cell>
          <cell r="U193" t="str">
            <v>ô</v>
          </cell>
          <cell r="V193">
            <v>1.5</v>
          </cell>
          <cell r="W193">
            <v>1.5</v>
          </cell>
          <cell r="X193">
            <v>1.5</v>
          </cell>
          <cell r="Z193">
            <v>1.5</v>
          </cell>
          <cell r="AA193">
            <v>1.5</v>
          </cell>
          <cell r="AB193">
            <v>1.5</v>
          </cell>
          <cell r="AD193" t="str">
            <v>ô</v>
          </cell>
          <cell r="AE193" t="str">
            <v>ô</v>
          </cell>
          <cell r="AG193" t="str">
            <v>ô</v>
          </cell>
          <cell r="AH193">
            <v>21.5</v>
          </cell>
        </row>
        <row r="194">
          <cell r="C194">
            <v>50350</v>
          </cell>
          <cell r="E194">
            <v>44401</v>
          </cell>
          <cell r="F194" t="str">
            <v>LT</v>
          </cell>
          <cell r="G194" t="str">
            <v>LT</v>
          </cell>
          <cell r="H194" t="str">
            <v>LT</v>
          </cell>
          <cell r="I194" t="str">
            <v>LT</v>
          </cell>
          <cell r="J194" t="str">
            <v>F</v>
          </cell>
          <cell r="L194">
            <v>1</v>
          </cell>
          <cell r="M194">
            <v>2</v>
          </cell>
          <cell r="N194">
            <v>2</v>
          </cell>
          <cell r="O194">
            <v>2</v>
          </cell>
          <cell r="P194">
            <v>2</v>
          </cell>
          <cell r="Q194">
            <v>2</v>
          </cell>
          <cell r="S194">
            <v>2</v>
          </cell>
          <cell r="T194">
            <v>1.5</v>
          </cell>
          <cell r="U194">
            <v>0</v>
          </cell>
          <cell r="V194">
            <v>1.5</v>
          </cell>
          <cell r="W194">
            <v>1.5</v>
          </cell>
          <cell r="X194">
            <v>1.5</v>
          </cell>
          <cell r="Z194">
            <v>1.5</v>
          </cell>
          <cell r="AA194">
            <v>1.5</v>
          </cell>
          <cell r="AB194">
            <v>1.5</v>
          </cell>
          <cell r="AD194">
            <v>1.5</v>
          </cell>
          <cell r="AE194">
            <v>1.5</v>
          </cell>
          <cell r="AG194">
            <v>2</v>
          </cell>
          <cell r="AH194">
            <v>28.5</v>
          </cell>
        </row>
        <row r="195">
          <cell r="C195">
            <v>50482</v>
          </cell>
          <cell r="E195">
            <v>44434</v>
          </cell>
          <cell r="F195" t="str">
            <v>LT</v>
          </cell>
          <cell r="G195" t="str">
            <v>LT</v>
          </cell>
          <cell r="H195" t="str">
            <v>LT</v>
          </cell>
          <cell r="I195" t="str">
            <v>LT</v>
          </cell>
          <cell r="J195" t="str">
            <v>F</v>
          </cell>
          <cell r="L195">
            <v>1</v>
          </cell>
          <cell r="M195">
            <v>2</v>
          </cell>
          <cell r="N195">
            <v>2</v>
          </cell>
          <cell r="O195">
            <v>2</v>
          </cell>
          <cell r="P195">
            <v>2</v>
          </cell>
          <cell r="Q195">
            <v>2</v>
          </cell>
          <cell r="S195">
            <v>2</v>
          </cell>
          <cell r="T195">
            <v>1.5</v>
          </cell>
          <cell r="U195">
            <v>1.5</v>
          </cell>
          <cell r="V195">
            <v>1.5</v>
          </cell>
          <cell r="W195">
            <v>1.5</v>
          </cell>
          <cell r="X195">
            <v>1.5</v>
          </cell>
          <cell r="Z195">
            <v>1.5</v>
          </cell>
          <cell r="AA195" t="str">
            <v>ô</v>
          </cell>
          <cell r="AB195" t="str">
            <v>ô</v>
          </cell>
          <cell r="AD195" t="str">
            <v>ô</v>
          </cell>
          <cell r="AE195" t="str">
            <v>ô</v>
          </cell>
          <cell r="AG195" t="str">
            <v>ô</v>
          </cell>
          <cell r="AH195">
            <v>22</v>
          </cell>
        </row>
        <row r="196">
          <cell r="C196">
            <v>50528</v>
          </cell>
          <cell r="E196">
            <v>44448</v>
          </cell>
          <cell r="F196" t="str">
            <v>LT</v>
          </cell>
          <cell r="G196" t="str">
            <v>LT</v>
          </cell>
          <cell r="H196" t="str">
            <v>LT</v>
          </cell>
          <cell r="I196" t="str">
            <v>LT</v>
          </cell>
          <cell r="J196" t="str">
            <v>F</v>
          </cell>
          <cell r="L196">
            <v>1</v>
          </cell>
          <cell r="M196">
            <v>2</v>
          </cell>
          <cell r="N196">
            <v>2</v>
          </cell>
          <cell r="O196" t="str">
            <v>ô</v>
          </cell>
          <cell r="P196">
            <v>2</v>
          </cell>
          <cell r="Q196">
            <v>2</v>
          </cell>
          <cell r="S196">
            <v>2</v>
          </cell>
          <cell r="T196">
            <v>1.5</v>
          </cell>
          <cell r="U196">
            <v>1.5</v>
          </cell>
          <cell r="V196">
            <v>1.5</v>
          </cell>
          <cell r="W196">
            <v>1.5</v>
          </cell>
          <cell r="X196">
            <v>1.5</v>
          </cell>
          <cell r="Z196">
            <v>1.5</v>
          </cell>
          <cell r="AA196">
            <v>1.5</v>
          </cell>
          <cell r="AB196">
            <v>1.5</v>
          </cell>
          <cell r="AD196" t="str">
            <v>ô</v>
          </cell>
          <cell r="AE196" t="str">
            <v>ô</v>
          </cell>
          <cell r="AG196" t="str">
            <v>ô</v>
          </cell>
          <cell r="AH196">
            <v>23</v>
          </cell>
        </row>
        <row r="197">
          <cell r="C197">
            <v>50565</v>
          </cell>
          <cell r="E197">
            <v>44466</v>
          </cell>
          <cell r="F197" t="str">
            <v>LT</v>
          </cell>
          <cell r="G197" t="str">
            <v>LT</v>
          </cell>
          <cell r="H197" t="str">
            <v>LT</v>
          </cell>
          <cell r="I197" t="str">
            <v>LT</v>
          </cell>
          <cell r="J197" t="str">
            <v>F</v>
          </cell>
          <cell r="L197">
            <v>1</v>
          </cell>
          <cell r="M197">
            <v>2</v>
          </cell>
          <cell r="N197">
            <v>2</v>
          </cell>
          <cell r="O197">
            <v>2</v>
          </cell>
          <cell r="P197">
            <v>2</v>
          </cell>
          <cell r="Q197">
            <v>2</v>
          </cell>
          <cell r="S197">
            <v>2</v>
          </cell>
          <cell r="T197">
            <v>1.5</v>
          </cell>
          <cell r="U197">
            <v>1.5</v>
          </cell>
          <cell r="V197">
            <v>1.5</v>
          </cell>
          <cell r="W197">
            <v>1.5</v>
          </cell>
          <cell r="X197">
            <v>1.5</v>
          </cell>
          <cell r="Z197">
            <v>1.5</v>
          </cell>
          <cell r="AA197">
            <v>1.5</v>
          </cell>
          <cell r="AB197">
            <v>1.5</v>
          </cell>
          <cell r="AD197">
            <v>1.5</v>
          </cell>
          <cell r="AE197">
            <v>1.5</v>
          </cell>
          <cell r="AG197">
            <v>2</v>
          </cell>
          <cell r="AH197">
            <v>30</v>
          </cell>
        </row>
        <row r="198">
          <cell r="C198">
            <v>50776</v>
          </cell>
          <cell r="E198">
            <v>44602</v>
          </cell>
          <cell r="O198">
            <v>2</v>
          </cell>
          <cell r="P198">
            <v>2</v>
          </cell>
          <cell r="Q198">
            <v>2</v>
          </cell>
          <cell r="S198">
            <v>2</v>
          </cell>
          <cell r="T198">
            <v>1.5</v>
          </cell>
          <cell r="U198">
            <v>1.5</v>
          </cell>
          <cell r="V198">
            <v>1.5</v>
          </cell>
          <cell r="W198">
            <v>1.5</v>
          </cell>
          <cell r="X198">
            <v>1.5</v>
          </cell>
          <cell r="Z198">
            <v>1.5</v>
          </cell>
          <cell r="AA198">
            <v>1.5</v>
          </cell>
          <cell r="AB198">
            <v>1.5</v>
          </cell>
          <cell r="AD198">
            <v>0</v>
          </cell>
          <cell r="AE198">
            <v>1.5</v>
          </cell>
          <cell r="AG198">
            <v>2</v>
          </cell>
          <cell r="AH198">
            <v>23.5</v>
          </cell>
        </row>
        <row r="199">
          <cell r="C199">
            <v>50778</v>
          </cell>
          <cell r="E199">
            <v>44602</v>
          </cell>
          <cell r="O199">
            <v>2</v>
          </cell>
          <cell r="P199">
            <v>2</v>
          </cell>
          <cell r="Q199">
            <v>2</v>
          </cell>
          <cell r="S199">
            <v>2</v>
          </cell>
          <cell r="T199">
            <v>1.5</v>
          </cell>
          <cell r="U199">
            <v>1.5</v>
          </cell>
          <cell r="V199">
            <v>1.5</v>
          </cell>
          <cell r="W199">
            <v>1.5</v>
          </cell>
          <cell r="X199">
            <v>1.5</v>
          </cell>
          <cell r="Z199">
            <v>1.5</v>
          </cell>
          <cell r="AA199">
            <v>1.5</v>
          </cell>
          <cell r="AB199">
            <v>1.5</v>
          </cell>
          <cell r="AD199">
            <v>0</v>
          </cell>
          <cell r="AE199">
            <v>1.5</v>
          </cell>
          <cell r="AG199">
            <v>2</v>
          </cell>
          <cell r="AH199">
            <v>23.5</v>
          </cell>
        </row>
        <row r="200">
          <cell r="C200">
            <v>50808</v>
          </cell>
          <cell r="E200">
            <v>44613</v>
          </cell>
          <cell r="Z200">
            <v>1.5</v>
          </cell>
          <cell r="AA200">
            <v>1.5</v>
          </cell>
          <cell r="AB200">
            <v>1.5</v>
          </cell>
          <cell r="AD200">
            <v>1.5</v>
          </cell>
          <cell r="AE200">
            <v>1.5</v>
          </cell>
          <cell r="AG200">
            <v>2</v>
          </cell>
          <cell r="AH200">
            <v>9.5</v>
          </cell>
        </row>
        <row r="201">
          <cell r="C201">
            <v>50809</v>
          </cell>
          <cell r="E201">
            <v>44610</v>
          </cell>
          <cell r="W201">
            <v>1.5</v>
          </cell>
          <cell r="X201">
            <v>1.5</v>
          </cell>
          <cell r="Z201">
            <v>1.5</v>
          </cell>
          <cell r="AA201">
            <v>1.5</v>
          </cell>
          <cell r="AB201">
            <v>1.5</v>
          </cell>
          <cell r="AD201">
            <v>1.5</v>
          </cell>
          <cell r="AE201">
            <v>1.5</v>
          </cell>
          <cell r="AG201">
            <v>2</v>
          </cell>
          <cell r="AH201">
            <v>12.5</v>
          </cell>
        </row>
        <row r="202">
          <cell r="C202">
            <v>50200</v>
          </cell>
          <cell r="E202">
            <v>44274</v>
          </cell>
          <cell r="F202" t="str">
            <v>LT</v>
          </cell>
          <cell r="G202" t="str">
            <v>LT</v>
          </cell>
          <cell r="H202" t="str">
            <v>LT</v>
          </cell>
          <cell r="I202" t="str">
            <v>LT</v>
          </cell>
          <cell r="J202" t="str">
            <v>F</v>
          </cell>
          <cell r="L202">
            <v>1</v>
          </cell>
          <cell r="M202">
            <v>2</v>
          </cell>
          <cell r="N202">
            <v>2</v>
          </cell>
          <cell r="O202">
            <v>2</v>
          </cell>
          <cell r="P202">
            <v>2</v>
          </cell>
          <cell r="Q202">
            <v>2</v>
          </cell>
          <cell r="S202">
            <v>2</v>
          </cell>
          <cell r="T202">
            <v>1.5</v>
          </cell>
          <cell r="U202">
            <v>1.5</v>
          </cell>
          <cell r="V202">
            <v>1.5</v>
          </cell>
          <cell r="W202">
            <v>1.5</v>
          </cell>
          <cell r="X202">
            <v>1.5</v>
          </cell>
          <cell r="Z202">
            <v>1.5</v>
          </cell>
          <cell r="AA202">
            <v>1.5</v>
          </cell>
          <cell r="AB202">
            <v>1.5</v>
          </cell>
          <cell r="AD202">
            <v>1.5</v>
          </cell>
          <cell r="AE202" t="str">
            <v>ô</v>
          </cell>
          <cell r="AG202" t="str">
            <v>ô</v>
          </cell>
          <cell r="AH202">
            <v>26.5</v>
          </cell>
        </row>
        <row r="203">
          <cell r="C203">
            <v>50313</v>
          </cell>
          <cell r="E203">
            <v>44398</v>
          </cell>
          <cell r="F203" t="str">
            <v>LT</v>
          </cell>
          <cell r="G203" t="str">
            <v>LT</v>
          </cell>
          <cell r="H203" t="str">
            <v>LT</v>
          </cell>
          <cell r="I203" t="str">
            <v>LT</v>
          </cell>
          <cell r="J203" t="str">
            <v>F</v>
          </cell>
          <cell r="L203">
            <v>1</v>
          </cell>
          <cell r="M203">
            <v>2</v>
          </cell>
          <cell r="N203">
            <v>2</v>
          </cell>
          <cell r="O203">
            <v>2</v>
          </cell>
          <cell r="P203">
            <v>2</v>
          </cell>
          <cell r="Q203">
            <v>2</v>
          </cell>
          <cell r="S203">
            <v>2</v>
          </cell>
          <cell r="T203">
            <v>1.5</v>
          </cell>
          <cell r="U203">
            <v>1.5</v>
          </cell>
          <cell r="V203">
            <v>1.5</v>
          </cell>
          <cell r="W203">
            <v>1.5</v>
          </cell>
          <cell r="X203">
            <v>1.5</v>
          </cell>
          <cell r="Z203">
            <v>1.5</v>
          </cell>
          <cell r="AA203">
            <v>1.5</v>
          </cell>
          <cell r="AB203">
            <v>1.5</v>
          </cell>
          <cell r="AD203">
            <v>1.5</v>
          </cell>
          <cell r="AE203" t="str">
            <v>Ô</v>
          </cell>
          <cell r="AG203" t="str">
            <v>ô</v>
          </cell>
          <cell r="AH203">
            <v>26.5</v>
          </cell>
        </row>
        <row r="204">
          <cell r="C204">
            <v>50407</v>
          </cell>
          <cell r="E204">
            <v>44418</v>
          </cell>
          <cell r="F204" t="str">
            <v>LT</v>
          </cell>
          <cell r="G204" t="str">
            <v>LT</v>
          </cell>
          <cell r="H204" t="str">
            <v>LT</v>
          </cell>
          <cell r="I204" t="str">
            <v>LT</v>
          </cell>
          <cell r="J204" t="str">
            <v>F</v>
          </cell>
          <cell r="L204">
            <v>1</v>
          </cell>
          <cell r="M204">
            <v>2</v>
          </cell>
          <cell r="N204">
            <v>2</v>
          </cell>
          <cell r="O204">
            <v>2</v>
          </cell>
          <cell r="P204">
            <v>2</v>
          </cell>
          <cell r="Q204">
            <v>2</v>
          </cell>
          <cell r="S204">
            <v>2</v>
          </cell>
          <cell r="T204">
            <v>1.5</v>
          </cell>
          <cell r="U204">
            <v>1.5</v>
          </cell>
          <cell r="V204">
            <v>1.5</v>
          </cell>
          <cell r="W204">
            <v>1.5</v>
          </cell>
          <cell r="X204">
            <v>1.5</v>
          </cell>
          <cell r="Z204">
            <v>1.5</v>
          </cell>
          <cell r="AA204">
            <v>1.5</v>
          </cell>
          <cell r="AB204">
            <v>0.5</v>
          </cell>
          <cell r="AD204">
            <v>1.5</v>
          </cell>
          <cell r="AE204" t="str">
            <v>ô</v>
          </cell>
          <cell r="AG204" t="str">
            <v>ô</v>
          </cell>
          <cell r="AH204">
            <v>25.5</v>
          </cell>
        </row>
        <row r="205">
          <cell r="C205">
            <v>50592</v>
          </cell>
          <cell r="E205">
            <v>44473</v>
          </cell>
          <cell r="F205" t="str">
            <v>LT</v>
          </cell>
          <cell r="G205" t="str">
            <v>LT</v>
          </cell>
          <cell r="H205" t="str">
            <v>LT</v>
          </cell>
          <cell r="I205" t="str">
            <v>LT</v>
          </cell>
          <cell r="J205" t="str">
            <v>F</v>
          </cell>
          <cell r="L205">
            <v>1</v>
          </cell>
          <cell r="M205">
            <v>2</v>
          </cell>
          <cell r="N205">
            <v>2</v>
          </cell>
          <cell r="O205">
            <v>2</v>
          </cell>
          <cell r="P205">
            <v>2</v>
          </cell>
          <cell r="Q205">
            <v>2</v>
          </cell>
          <cell r="S205">
            <v>2</v>
          </cell>
          <cell r="T205">
            <v>1.5</v>
          </cell>
          <cell r="U205">
            <v>1.5</v>
          </cell>
          <cell r="V205">
            <v>1.5</v>
          </cell>
          <cell r="W205">
            <v>1.5</v>
          </cell>
          <cell r="X205">
            <v>1.5</v>
          </cell>
          <cell r="Z205">
            <v>1.5</v>
          </cell>
          <cell r="AA205">
            <v>1.5</v>
          </cell>
          <cell r="AB205">
            <v>1.5</v>
          </cell>
          <cell r="AD205">
            <v>1.5</v>
          </cell>
          <cell r="AE205">
            <v>0</v>
          </cell>
          <cell r="AG205" t="str">
            <v>ô</v>
          </cell>
          <cell r="AH205">
            <v>26.5</v>
          </cell>
        </row>
        <row r="206">
          <cell r="C206">
            <v>50593</v>
          </cell>
          <cell r="E206">
            <v>44473</v>
          </cell>
          <cell r="F206" t="str">
            <v>LT</v>
          </cell>
          <cell r="G206" t="str">
            <v>LT</v>
          </cell>
          <cell r="H206" t="str">
            <v>LT</v>
          </cell>
          <cell r="I206" t="str">
            <v>LT</v>
          </cell>
          <cell r="J206" t="str">
            <v>Ro</v>
          </cell>
          <cell r="L206">
            <v>1</v>
          </cell>
          <cell r="M206">
            <v>2</v>
          </cell>
          <cell r="N206">
            <v>2</v>
          </cell>
          <cell r="O206">
            <v>2</v>
          </cell>
          <cell r="P206">
            <v>2</v>
          </cell>
          <cell r="Q206">
            <v>2</v>
          </cell>
          <cell r="S206">
            <v>2</v>
          </cell>
          <cell r="T206">
            <v>1.5</v>
          </cell>
          <cell r="U206">
            <v>1.5</v>
          </cell>
          <cell r="V206">
            <v>1.5</v>
          </cell>
          <cell r="W206">
            <v>1.5</v>
          </cell>
          <cell r="X206">
            <v>1.5</v>
          </cell>
          <cell r="Z206" t="str">
            <v>rô</v>
          </cell>
          <cell r="AA206">
            <v>1.5</v>
          </cell>
          <cell r="AB206">
            <v>1.5</v>
          </cell>
          <cell r="AD206">
            <v>1.5</v>
          </cell>
          <cell r="AE206">
            <v>1.5</v>
          </cell>
          <cell r="AG206">
            <v>2</v>
          </cell>
          <cell r="AH206">
            <v>28.5</v>
          </cell>
        </row>
        <row r="207">
          <cell r="C207">
            <v>50636</v>
          </cell>
          <cell r="E207">
            <v>44489</v>
          </cell>
          <cell r="F207" t="str">
            <v>LT</v>
          </cell>
          <cell r="G207" t="str">
            <v>LT</v>
          </cell>
          <cell r="H207" t="str">
            <v>LT</v>
          </cell>
          <cell r="I207" t="str">
            <v>LT</v>
          </cell>
          <cell r="J207" t="str">
            <v>F</v>
          </cell>
          <cell r="L207">
            <v>1</v>
          </cell>
          <cell r="M207">
            <v>2</v>
          </cell>
          <cell r="N207">
            <v>2</v>
          </cell>
          <cell r="O207">
            <v>2</v>
          </cell>
          <cell r="P207">
            <v>2</v>
          </cell>
          <cell r="Q207">
            <v>2</v>
          </cell>
          <cell r="S207">
            <v>2</v>
          </cell>
          <cell r="T207">
            <v>1.5</v>
          </cell>
          <cell r="U207">
            <v>1.5</v>
          </cell>
          <cell r="V207">
            <v>1.5</v>
          </cell>
          <cell r="W207">
            <v>1.5</v>
          </cell>
          <cell r="X207">
            <v>1.5</v>
          </cell>
          <cell r="Z207">
            <v>1.5</v>
          </cell>
          <cell r="AA207">
            <v>1.5</v>
          </cell>
          <cell r="AB207">
            <v>1.5</v>
          </cell>
          <cell r="AD207">
            <v>1.5</v>
          </cell>
          <cell r="AE207" t="str">
            <v>Ô</v>
          </cell>
          <cell r="AG207" t="str">
            <v>Ô</v>
          </cell>
          <cell r="AH207">
            <v>26.5</v>
          </cell>
        </row>
        <row r="208">
          <cell r="C208">
            <v>50637</v>
          </cell>
          <cell r="E208">
            <v>44489</v>
          </cell>
          <cell r="F208" t="str">
            <v>LT</v>
          </cell>
          <cell r="G208" t="str">
            <v>LT</v>
          </cell>
          <cell r="H208" t="str">
            <v>LT</v>
          </cell>
          <cell r="I208" t="str">
            <v>LT</v>
          </cell>
          <cell r="J208" t="str">
            <v>F</v>
          </cell>
          <cell r="L208">
            <v>1</v>
          </cell>
          <cell r="M208">
            <v>2</v>
          </cell>
          <cell r="N208">
            <v>2</v>
          </cell>
          <cell r="O208">
            <v>2</v>
          </cell>
          <cell r="P208">
            <v>2</v>
          </cell>
          <cell r="Q208">
            <v>2</v>
          </cell>
          <cell r="S208">
            <v>2</v>
          </cell>
          <cell r="T208">
            <v>1.5</v>
          </cell>
          <cell r="U208">
            <v>1.5</v>
          </cell>
          <cell r="V208">
            <v>1.5</v>
          </cell>
          <cell r="W208">
            <v>1.5</v>
          </cell>
          <cell r="X208">
            <v>1.5</v>
          </cell>
          <cell r="Z208">
            <v>1.5</v>
          </cell>
          <cell r="AA208">
            <v>1.5</v>
          </cell>
          <cell r="AB208">
            <v>1.5</v>
          </cell>
          <cell r="AD208">
            <v>1.5</v>
          </cell>
          <cell r="AE208">
            <v>1.5</v>
          </cell>
          <cell r="AG208">
            <v>2</v>
          </cell>
          <cell r="AH208">
            <v>30</v>
          </cell>
        </row>
        <row r="209">
          <cell r="C209">
            <v>50705</v>
          </cell>
          <cell r="E209">
            <v>44473</v>
          </cell>
          <cell r="F209" t="str">
            <v>LT</v>
          </cell>
          <cell r="G209" t="str">
            <v>LT</v>
          </cell>
          <cell r="H209" t="str">
            <v>LT</v>
          </cell>
          <cell r="I209" t="str">
            <v>LT</v>
          </cell>
          <cell r="J209" t="str">
            <v>Ro</v>
          </cell>
          <cell r="L209">
            <v>1</v>
          </cell>
          <cell r="M209">
            <v>2</v>
          </cell>
          <cell r="N209">
            <v>2</v>
          </cell>
          <cell r="O209">
            <v>0</v>
          </cell>
          <cell r="P209">
            <v>2</v>
          </cell>
          <cell r="Q209">
            <v>2</v>
          </cell>
          <cell r="S209">
            <v>2</v>
          </cell>
          <cell r="T209">
            <v>1.5</v>
          </cell>
          <cell r="U209" t="str">
            <v>Ro</v>
          </cell>
          <cell r="V209">
            <v>1.5</v>
          </cell>
          <cell r="W209">
            <v>0</v>
          </cell>
          <cell r="X209" t="str">
            <v>Ro</v>
          </cell>
          <cell r="Z209">
            <v>1.5</v>
          </cell>
          <cell r="AA209">
            <v>1.5</v>
          </cell>
          <cell r="AB209">
            <v>1.5</v>
          </cell>
          <cell r="AD209">
            <v>1.5</v>
          </cell>
          <cell r="AE209">
            <v>1.5</v>
          </cell>
          <cell r="AG209">
            <v>2</v>
          </cell>
          <cell r="AH209">
            <v>23.5</v>
          </cell>
        </row>
        <row r="210">
          <cell r="C210">
            <v>50724</v>
          </cell>
          <cell r="E210">
            <v>44531</v>
          </cell>
          <cell r="F210" t="str">
            <v>LT</v>
          </cell>
          <cell r="G210" t="str">
            <v>LT</v>
          </cell>
          <cell r="H210" t="str">
            <v>LT</v>
          </cell>
          <cell r="I210" t="str">
            <v>LT</v>
          </cell>
          <cell r="J210" t="str">
            <v>Ro</v>
          </cell>
          <cell r="L210">
            <v>1</v>
          </cell>
          <cell r="M210" t="str">
            <v>Ro</v>
          </cell>
          <cell r="N210">
            <v>2</v>
          </cell>
          <cell r="O210">
            <v>2</v>
          </cell>
          <cell r="P210">
            <v>2</v>
          </cell>
          <cell r="Q210">
            <v>2</v>
          </cell>
          <cell r="S210">
            <v>2</v>
          </cell>
          <cell r="T210">
            <v>1.5</v>
          </cell>
          <cell r="U210">
            <v>1.5</v>
          </cell>
          <cell r="V210">
            <v>1.5</v>
          </cell>
          <cell r="W210" t="str">
            <v>Ro</v>
          </cell>
          <cell r="X210">
            <v>1.5</v>
          </cell>
          <cell r="Z210" t="str">
            <v>ô</v>
          </cell>
          <cell r="AA210" t="str">
            <v>ô</v>
          </cell>
          <cell r="AB210" t="str">
            <v>ô</v>
          </cell>
          <cell r="AD210" t="str">
            <v>ô</v>
          </cell>
          <cell r="AE210" t="str">
            <v>ô</v>
          </cell>
          <cell r="AG210" t="str">
            <v>ô</v>
          </cell>
          <cell r="AH210">
            <v>17</v>
          </cell>
        </row>
        <row r="211">
          <cell r="C211">
            <v>50746</v>
          </cell>
          <cell r="E211">
            <v>44551</v>
          </cell>
          <cell r="F211" t="str">
            <v>LT</v>
          </cell>
          <cell r="G211" t="str">
            <v>LT</v>
          </cell>
          <cell r="H211" t="str">
            <v>LT</v>
          </cell>
          <cell r="I211" t="str">
            <v>LT</v>
          </cell>
          <cell r="J211" t="str">
            <v>Ro</v>
          </cell>
          <cell r="L211">
            <v>1</v>
          </cell>
          <cell r="M211">
            <v>2</v>
          </cell>
          <cell r="N211">
            <v>2</v>
          </cell>
          <cell r="O211">
            <v>2</v>
          </cell>
          <cell r="P211">
            <v>2</v>
          </cell>
          <cell r="Q211">
            <v>2</v>
          </cell>
          <cell r="S211">
            <v>2</v>
          </cell>
          <cell r="T211">
            <v>1.5</v>
          </cell>
          <cell r="U211">
            <v>0</v>
          </cell>
          <cell r="V211">
            <v>1.5</v>
          </cell>
          <cell r="W211">
            <v>1.5</v>
          </cell>
          <cell r="X211">
            <v>1.5</v>
          </cell>
          <cell r="Z211">
            <v>1.5</v>
          </cell>
          <cell r="AA211">
            <v>1.5</v>
          </cell>
          <cell r="AB211">
            <v>1.5</v>
          </cell>
          <cell r="AD211">
            <v>1.5</v>
          </cell>
          <cell r="AE211" t="str">
            <v>ô</v>
          </cell>
          <cell r="AG211">
            <v>2</v>
          </cell>
          <cell r="AH211">
            <v>27</v>
          </cell>
        </row>
        <row r="212">
          <cell r="C212">
            <v>50768</v>
          </cell>
          <cell r="E212">
            <v>44601</v>
          </cell>
          <cell r="N212">
            <v>2</v>
          </cell>
          <cell r="O212">
            <v>2</v>
          </cell>
          <cell r="P212">
            <v>2</v>
          </cell>
          <cell r="Q212">
            <v>2</v>
          </cell>
          <cell r="S212">
            <v>2</v>
          </cell>
          <cell r="T212">
            <v>1.5</v>
          </cell>
          <cell r="U212">
            <v>1.5</v>
          </cell>
          <cell r="V212">
            <v>1.5</v>
          </cell>
          <cell r="W212">
            <v>1.5</v>
          </cell>
          <cell r="X212">
            <v>1.5</v>
          </cell>
          <cell r="Z212">
            <v>1.5</v>
          </cell>
          <cell r="AA212">
            <v>1.5</v>
          </cell>
          <cell r="AB212">
            <v>1.5</v>
          </cell>
          <cell r="AD212">
            <v>1.5</v>
          </cell>
          <cell r="AE212">
            <v>1.5</v>
          </cell>
          <cell r="AG212">
            <v>2</v>
          </cell>
          <cell r="AH212">
            <v>27</v>
          </cell>
        </row>
        <row r="213">
          <cell r="C213">
            <v>50769</v>
          </cell>
          <cell r="E213">
            <v>44601</v>
          </cell>
          <cell r="M213">
            <v>2</v>
          </cell>
          <cell r="N213">
            <v>2</v>
          </cell>
          <cell r="O213">
            <v>2</v>
          </cell>
          <cell r="P213">
            <v>2</v>
          </cell>
          <cell r="Q213">
            <v>2</v>
          </cell>
          <cell r="S213">
            <v>2</v>
          </cell>
          <cell r="T213">
            <v>1.5</v>
          </cell>
          <cell r="U213">
            <v>1.5</v>
          </cell>
          <cell r="V213">
            <v>1.5</v>
          </cell>
          <cell r="W213">
            <v>1.5</v>
          </cell>
          <cell r="X213">
            <v>1.5</v>
          </cell>
          <cell r="Z213">
            <v>1.5</v>
          </cell>
          <cell r="AA213">
            <v>1.5</v>
          </cell>
          <cell r="AB213">
            <v>1.5</v>
          </cell>
          <cell r="AD213">
            <v>1.5</v>
          </cell>
          <cell r="AE213">
            <v>1.5</v>
          </cell>
          <cell r="AG213">
            <v>2</v>
          </cell>
          <cell r="AH213">
            <v>29</v>
          </cell>
        </row>
        <row r="214">
          <cell r="C214">
            <v>50773</v>
          </cell>
          <cell r="E214">
            <v>44601</v>
          </cell>
          <cell r="N214">
            <v>2</v>
          </cell>
          <cell r="O214" t="str">
            <v>Ro</v>
          </cell>
          <cell r="P214">
            <v>2</v>
          </cell>
          <cell r="Q214">
            <v>2</v>
          </cell>
          <cell r="S214">
            <v>2</v>
          </cell>
          <cell r="T214">
            <v>1.5</v>
          </cell>
          <cell r="U214">
            <v>1.5</v>
          </cell>
          <cell r="V214">
            <v>1.5</v>
          </cell>
          <cell r="W214">
            <v>1.5</v>
          </cell>
          <cell r="X214">
            <v>1.5</v>
          </cell>
          <cell r="Z214">
            <v>1.5</v>
          </cell>
          <cell r="AA214">
            <v>1.5</v>
          </cell>
          <cell r="AB214">
            <v>1.5</v>
          </cell>
          <cell r="AD214">
            <v>1.5</v>
          </cell>
          <cell r="AE214" t="str">
            <v>ô</v>
          </cell>
          <cell r="AG214" t="str">
            <v>ô</v>
          </cell>
          <cell r="AH214">
            <v>21.5</v>
          </cell>
        </row>
        <row r="215">
          <cell r="C215">
            <v>50784</v>
          </cell>
          <cell r="E215">
            <v>44603</v>
          </cell>
          <cell r="P215">
            <v>2</v>
          </cell>
          <cell r="Q215">
            <v>2</v>
          </cell>
          <cell r="S215">
            <v>2</v>
          </cell>
          <cell r="T215">
            <v>1.5</v>
          </cell>
          <cell r="U215">
            <v>1.5</v>
          </cell>
          <cell r="V215">
            <v>1.5</v>
          </cell>
          <cell r="W215">
            <v>1.5</v>
          </cell>
          <cell r="X215">
            <v>1.5</v>
          </cell>
          <cell r="Z215" t="str">
            <v>Ro</v>
          </cell>
          <cell r="AA215">
            <v>1.5</v>
          </cell>
          <cell r="AB215">
            <v>1.5</v>
          </cell>
          <cell r="AD215">
            <v>1.5</v>
          </cell>
          <cell r="AE215">
            <v>1.5</v>
          </cell>
          <cell r="AG215">
            <v>2</v>
          </cell>
          <cell r="AH215">
            <v>21.5</v>
          </cell>
        </row>
        <row r="216">
          <cell r="C216">
            <v>50787</v>
          </cell>
          <cell r="E216">
            <v>44606</v>
          </cell>
          <cell r="S216">
            <v>2</v>
          </cell>
          <cell r="T216">
            <v>1.5</v>
          </cell>
          <cell r="U216">
            <v>1.5</v>
          </cell>
          <cell r="V216">
            <v>1.5</v>
          </cell>
          <cell r="W216">
            <v>1.5</v>
          </cell>
          <cell r="X216">
            <v>1.5</v>
          </cell>
          <cell r="Z216">
            <v>1.5</v>
          </cell>
          <cell r="AA216">
            <v>1.5</v>
          </cell>
          <cell r="AB216">
            <v>1.5</v>
          </cell>
          <cell r="AD216">
            <v>1.5</v>
          </cell>
          <cell r="AE216">
            <v>1.5</v>
          </cell>
          <cell r="AG216">
            <v>2</v>
          </cell>
          <cell r="AH216">
            <v>19</v>
          </cell>
        </row>
        <row r="217">
          <cell r="C217">
            <v>50810</v>
          </cell>
          <cell r="E217">
            <v>44610</v>
          </cell>
          <cell r="W217">
            <v>1.5</v>
          </cell>
          <cell r="X217">
            <v>1.5</v>
          </cell>
          <cell r="Z217">
            <v>1.5</v>
          </cell>
          <cell r="AA217" t="str">
            <v>Ô</v>
          </cell>
          <cell r="AB217" t="str">
            <v>Ô</v>
          </cell>
          <cell r="AD217" t="str">
            <v>Ô</v>
          </cell>
          <cell r="AE217" t="str">
            <v>Ô</v>
          </cell>
          <cell r="AG217" t="str">
            <v>Ô</v>
          </cell>
          <cell r="AH217">
            <v>4.5</v>
          </cell>
        </row>
        <row r="218">
          <cell r="C218">
            <v>10057</v>
          </cell>
          <cell r="E218">
            <v>44476</v>
          </cell>
          <cell r="F218" t="str">
            <v>LT</v>
          </cell>
          <cell r="G218" t="str">
            <v>LT</v>
          </cell>
          <cell r="H218" t="str">
            <v>LT</v>
          </cell>
          <cell r="I218" t="str">
            <v>LT</v>
          </cell>
          <cell r="J218" t="str">
            <v>Ro</v>
          </cell>
          <cell r="L218">
            <v>1</v>
          </cell>
          <cell r="M218">
            <v>2</v>
          </cell>
          <cell r="N218">
            <v>2</v>
          </cell>
          <cell r="O218">
            <v>2</v>
          </cell>
          <cell r="P218">
            <v>2</v>
          </cell>
          <cell r="Q218">
            <v>2</v>
          </cell>
          <cell r="S218">
            <v>2</v>
          </cell>
          <cell r="T218">
            <v>1.5</v>
          </cell>
          <cell r="U218">
            <v>1.5</v>
          </cell>
          <cell r="V218">
            <v>1.5</v>
          </cell>
          <cell r="W218">
            <v>1.5</v>
          </cell>
          <cell r="X218">
            <v>1.5</v>
          </cell>
          <cell r="Z218">
            <v>1.5</v>
          </cell>
          <cell r="AA218">
            <v>1.5</v>
          </cell>
          <cell r="AB218">
            <v>1.5</v>
          </cell>
          <cell r="AD218">
            <v>1.5</v>
          </cell>
          <cell r="AE218" t="str">
            <v>ô</v>
          </cell>
          <cell r="AG218">
            <v>2</v>
          </cell>
          <cell r="AH218">
            <v>28.5</v>
          </cell>
        </row>
        <row r="219">
          <cell r="C219">
            <v>50056</v>
          </cell>
          <cell r="E219">
            <v>43983</v>
          </cell>
          <cell r="F219" t="str">
            <v>Lt</v>
          </cell>
          <cell r="G219" t="str">
            <v>Lt</v>
          </cell>
          <cell r="H219" t="str">
            <v>Lt</v>
          </cell>
          <cell r="I219" t="str">
            <v>Lt</v>
          </cell>
          <cell r="J219" t="str">
            <v>F</v>
          </cell>
          <cell r="L219">
            <v>1</v>
          </cell>
          <cell r="M219">
            <v>2</v>
          </cell>
          <cell r="N219">
            <v>2</v>
          </cell>
          <cell r="O219">
            <v>2</v>
          </cell>
          <cell r="P219">
            <v>2</v>
          </cell>
          <cell r="Q219">
            <v>2</v>
          </cell>
          <cell r="S219">
            <v>2</v>
          </cell>
          <cell r="T219">
            <v>1.5</v>
          </cell>
          <cell r="U219">
            <v>1.5</v>
          </cell>
          <cell r="V219">
            <v>1.5</v>
          </cell>
          <cell r="W219">
            <v>1.5</v>
          </cell>
          <cell r="X219">
            <v>1.5</v>
          </cell>
          <cell r="Z219">
            <v>1.5</v>
          </cell>
          <cell r="AA219">
            <v>1.5</v>
          </cell>
          <cell r="AB219">
            <v>1.5</v>
          </cell>
          <cell r="AD219">
            <v>1.5</v>
          </cell>
          <cell r="AE219">
            <v>1.5</v>
          </cell>
          <cell r="AG219">
            <v>2</v>
          </cell>
          <cell r="AH219">
            <v>30</v>
          </cell>
        </row>
        <row r="220">
          <cell r="C220">
            <v>50180</v>
          </cell>
          <cell r="E220">
            <v>44263</v>
          </cell>
          <cell r="F220" t="str">
            <v>Lt</v>
          </cell>
          <cell r="G220" t="str">
            <v>Lt</v>
          </cell>
          <cell r="H220" t="str">
            <v>Lt</v>
          </cell>
          <cell r="I220" t="str">
            <v>Lt</v>
          </cell>
          <cell r="J220" t="str">
            <v>F</v>
          </cell>
          <cell r="L220">
            <v>1</v>
          </cell>
          <cell r="M220">
            <v>2</v>
          </cell>
          <cell r="N220">
            <v>2</v>
          </cell>
          <cell r="O220" t="str">
            <v>F</v>
          </cell>
          <cell r="P220">
            <v>2</v>
          </cell>
          <cell r="Q220">
            <v>2</v>
          </cell>
          <cell r="S220" t="str">
            <v>Fđ</v>
          </cell>
          <cell r="T220" t="str">
            <v>Fđ</v>
          </cell>
          <cell r="U220" t="str">
            <v>Fđ</v>
          </cell>
          <cell r="V220" t="str">
            <v>Ro</v>
          </cell>
          <cell r="W220" t="str">
            <v>Ro</v>
          </cell>
          <cell r="X220" t="str">
            <v>Ro</v>
          </cell>
          <cell r="Z220" t="str">
            <v>Ro</v>
          </cell>
          <cell r="AA220">
            <v>1.5</v>
          </cell>
          <cell r="AB220">
            <v>1.5</v>
          </cell>
          <cell r="AD220">
            <v>1.5</v>
          </cell>
          <cell r="AE220" t="str">
            <v>Ô</v>
          </cell>
          <cell r="AG220" t="str">
            <v>Ô</v>
          </cell>
          <cell r="AH220">
            <v>13.5</v>
          </cell>
        </row>
        <row r="221">
          <cell r="C221">
            <v>50269</v>
          </cell>
          <cell r="E221">
            <v>44368</v>
          </cell>
          <cell r="F221" t="str">
            <v>Lt</v>
          </cell>
          <cell r="G221" t="str">
            <v>Lt</v>
          </cell>
          <cell r="H221" t="str">
            <v>Lt</v>
          </cell>
          <cell r="I221" t="str">
            <v>Lt</v>
          </cell>
          <cell r="J221" t="str">
            <v>F</v>
          </cell>
          <cell r="L221">
            <v>1</v>
          </cell>
          <cell r="M221" t="str">
            <v>Ro</v>
          </cell>
          <cell r="N221">
            <v>2</v>
          </cell>
          <cell r="O221">
            <v>2</v>
          </cell>
          <cell r="P221">
            <v>2</v>
          </cell>
          <cell r="Q221">
            <v>2</v>
          </cell>
          <cell r="S221">
            <v>2</v>
          </cell>
          <cell r="T221">
            <v>1.5</v>
          </cell>
          <cell r="U221">
            <v>1.5</v>
          </cell>
          <cell r="V221">
            <v>1.5</v>
          </cell>
          <cell r="W221">
            <v>1.5</v>
          </cell>
          <cell r="X221" t="str">
            <v>Ro</v>
          </cell>
          <cell r="Z221">
            <v>1.5</v>
          </cell>
          <cell r="AA221">
            <v>1.5</v>
          </cell>
          <cell r="AB221">
            <v>1.5</v>
          </cell>
          <cell r="AD221">
            <v>1.5</v>
          </cell>
          <cell r="AE221" t="str">
            <v>Ô</v>
          </cell>
          <cell r="AG221" t="str">
            <v>Ô</v>
          </cell>
          <cell r="AH221">
            <v>23</v>
          </cell>
        </row>
        <row r="222">
          <cell r="C222">
            <v>50681</v>
          </cell>
          <cell r="E222">
            <v>44503</v>
          </cell>
          <cell r="F222" t="str">
            <v>Lt</v>
          </cell>
          <cell r="G222" t="str">
            <v>Lt</v>
          </cell>
          <cell r="H222" t="str">
            <v>Lt</v>
          </cell>
          <cell r="I222" t="str">
            <v>Lt</v>
          </cell>
          <cell r="J222" t="str">
            <v>Ro</v>
          </cell>
          <cell r="L222">
            <v>1</v>
          </cell>
          <cell r="M222">
            <v>2</v>
          </cell>
          <cell r="N222">
            <v>2</v>
          </cell>
          <cell r="O222">
            <v>2</v>
          </cell>
          <cell r="P222">
            <v>2</v>
          </cell>
          <cell r="Q222">
            <v>2</v>
          </cell>
          <cell r="S222">
            <v>2</v>
          </cell>
          <cell r="T222">
            <v>1.5</v>
          </cell>
          <cell r="U222">
            <v>1.5</v>
          </cell>
          <cell r="V222">
            <v>1.5</v>
          </cell>
          <cell r="W222">
            <v>1.5</v>
          </cell>
          <cell r="X222">
            <v>1.5</v>
          </cell>
          <cell r="Z222">
            <v>1.5</v>
          </cell>
          <cell r="AA222">
            <v>1.5</v>
          </cell>
          <cell r="AB222">
            <v>1.5</v>
          </cell>
          <cell r="AD222">
            <v>1.5</v>
          </cell>
          <cell r="AE222" t="str">
            <v>Ô</v>
          </cell>
          <cell r="AG222" t="str">
            <v>Ô</v>
          </cell>
          <cell r="AH222">
            <v>26.5</v>
          </cell>
        </row>
        <row r="223">
          <cell r="C223">
            <v>50686</v>
          </cell>
          <cell r="E223">
            <v>44503</v>
          </cell>
          <cell r="F223" t="str">
            <v>Lt</v>
          </cell>
          <cell r="G223" t="str">
            <v>Lt</v>
          </cell>
          <cell r="H223" t="str">
            <v>Lt</v>
          </cell>
          <cell r="I223" t="str">
            <v>Lt</v>
          </cell>
          <cell r="J223" t="str">
            <v>Ro</v>
          </cell>
          <cell r="L223">
            <v>1</v>
          </cell>
          <cell r="M223">
            <v>2</v>
          </cell>
          <cell r="N223">
            <v>2</v>
          </cell>
          <cell r="O223">
            <v>2</v>
          </cell>
          <cell r="P223">
            <v>2</v>
          </cell>
          <cell r="Q223">
            <v>2</v>
          </cell>
          <cell r="S223">
            <v>2</v>
          </cell>
          <cell r="T223">
            <v>1.5</v>
          </cell>
          <cell r="U223">
            <v>1.5</v>
          </cell>
          <cell r="V223">
            <v>1.5</v>
          </cell>
          <cell r="W223">
            <v>1.5</v>
          </cell>
          <cell r="X223">
            <v>1.5</v>
          </cell>
          <cell r="Z223">
            <v>1.5</v>
          </cell>
          <cell r="AA223">
            <v>1.5</v>
          </cell>
          <cell r="AB223">
            <v>1.5</v>
          </cell>
          <cell r="AD223">
            <v>1.5</v>
          </cell>
          <cell r="AE223">
            <v>1.5</v>
          </cell>
          <cell r="AG223">
            <v>2</v>
          </cell>
          <cell r="AH223">
            <v>30</v>
          </cell>
        </row>
        <row r="224">
          <cell r="C224">
            <v>50693</v>
          </cell>
          <cell r="E224">
            <v>44506</v>
          </cell>
          <cell r="F224" t="str">
            <v>Lt</v>
          </cell>
          <cell r="G224" t="str">
            <v>Lt</v>
          </cell>
          <cell r="H224" t="str">
            <v>Lt</v>
          </cell>
          <cell r="I224" t="str">
            <v>Lt</v>
          </cell>
          <cell r="J224" t="str">
            <v>Ro</v>
          </cell>
          <cell r="L224">
            <v>1</v>
          </cell>
          <cell r="M224">
            <v>2</v>
          </cell>
          <cell r="N224">
            <v>2</v>
          </cell>
          <cell r="O224">
            <v>2</v>
          </cell>
          <cell r="P224">
            <v>2</v>
          </cell>
          <cell r="Q224">
            <v>2</v>
          </cell>
          <cell r="S224">
            <v>2</v>
          </cell>
          <cell r="T224">
            <v>1.5</v>
          </cell>
          <cell r="U224">
            <v>1.5</v>
          </cell>
          <cell r="V224">
            <v>1.5</v>
          </cell>
          <cell r="W224">
            <v>1.5</v>
          </cell>
          <cell r="X224">
            <v>1.5</v>
          </cell>
          <cell r="Z224">
            <v>1.5</v>
          </cell>
          <cell r="AA224">
            <v>1.5</v>
          </cell>
          <cell r="AB224">
            <v>1.5</v>
          </cell>
          <cell r="AD224">
            <v>1.5</v>
          </cell>
          <cell r="AE224" t="str">
            <v>RO</v>
          </cell>
          <cell r="AG224">
            <v>2</v>
          </cell>
          <cell r="AH224">
            <v>28.5</v>
          </cell>
        </row>
        <row r="225">
          <cell r="C225">
            <v>50694</v>
          </cell>
          <cell r="E225">
            <v>44506</v>
          </cell>
          <cell r="F225" t="str">
            <v>Lt</v>
          </cell>
          <cell r="G225" t="str">
            <v>Lt</v>
          </cell>
          <cell r="H225" t="str">
            <v>Lt</v>
          </cell>
          <cell r="I225" t="str">
            <v>Lt</v>
          </cell>
          <cell r="J225" t="str">
            <v>F</v>
          </cell>
          <cell r="L225" t="str">
            <v>RO</v>
          </cell>
          <cell r="M225">
            <v>2</v>
          </cell>
          <cell r="N225">
            <v>2</v>
          </cell>
          <cell r="O225">
            <v>2</v>
          </cell>
          <cell r="P225">
            <v>2</v>
          </cell>
          <cell r="Q225">
            <v>2</v>
          </cell>
          <cell r="S225">
            <v>2</v>
          </cell>
          <cell r="T225">
            <v>1.5</v>
          </cell>
          <cell r="U225">
            <v>1.5</v>
          </cell>
          <cell r="V225">
            <v>1.5</v>
          </cell>
          <cell r="W225">
            <v>0</v>
          </cell>
          <cell r="X225" t="str">
            <v>Ô</v>
          </cell>
          <cell r="Z225">
            <v>1.5</v>
          </cell>
          <cell r="AA225">
            <v>1.5</v>
          </cell>
          <cell r="AB225" t="str">
            <v>ô</v>
          </cell>
          <cell r="AD225" t="str">
            <v>ô</v>
          </cell>
          <cell r="AE225" t="str">
            <v>ô</v>
          </cell>
          <cell r="AG225" t="str">
            <v>ô</v>
          </cell>
          <cell r="AH225">
            <v>19.5</v>
          </cell>
        </row>
        <row r="226">
          <cell r="C226">
            <v>50698</v>
          </cell>
          <cell r="E226">
            <v>44513</v>
          </cell>
          <cell r="F226" t="str">
            <v>Lt</v>
          </cell>
          <cell r="G226" t="str">
            <v>Lt</v>
          </cell>
          <cell r="H226" t="str">
            <v>Lt</v>
          </cell>
          <cell r="I226" t="str">
            <v>Lt</v>
          </cell>
          <cell r="J226" t="str">
            <v>F</v>
          </cell>
          <cell r="L226">
            <v>1</v>
          </cell>
          <cell r="M226" t="str">
            <v>Ro</v>
          </cell>
          <cell r="N226" t="str">
            <v>Ro</v>
          </cell>
          <cell r="O226" t="str">
            <v>Ro</v>
          </cell>
          <cell r="P226" t="str">
            <v>Ro</v>
          </cell>
          <cell r="Q226" t="str">
            <v>Ro</v>
          </cell>
          <cell r="S226">
            <v>2</v>
          </cell>
          <cell r="T226">
            <v>1.5</v>
          </cell>
          <cell r="U226">
            <v>1.5</v>
          </cell>
          <cell r="V226">
            <v>1.5</v>
          </cell>
          <cell r="W226">
            <v>1.5</v>
          </cell>
          <cell r="X226">
            <v>1.5</v>
          </cell>
          <cell r="Z226">
            <v>1.5</v>
          </cell>
          <cell r="AA226">
            <v>1.5</v>
          </cell>
          <cell r="AB226">
            <v>1.5</v>
          </cell>
          <cell r="AD226">
            <v>0</v>
          </cell>
          <cell r="AE226" t="str">
            <v>ô</v>
          </cell>
          <cell r="AG226" t="str">
            <v>ô</v>
          </cell>
          <cell r="AH226">
            <v>15</v>
          </cell>
        </row>
        <row r="227">
          <cell r="C227">
            <v>50714</v>
          </cell>
          <cell r="E227">
            <v>44517</v>
          </cell>
          <cell r="F227" t="str">
            <v>Lt</v>
          </cell>
          <cell r="G227" t="str">
            <v>Lt</v>
          </cell>
          <cell r="H227" t="str">
            <v>Lt</v>
          </cell>
          <cell r="I227" t="str">
            <v>Lt</v>
          </cell>
          <cell r="J227" t="str">
            <v>F</v>
          </cell>
          <cell r="L227" t="str">
            <v>Ro</v>
          </cell>
          <cell r="M227">
            <v>2</v>
          </cell>
          <cell r="N227">
            <v>2</v>
          </cell>
          <cell r="O227">
            <v>2</v>
          </cell>
          <cell r="P227">
            <v>2</v>
          </cell>
          <cell r="Q227">
            <v>2</v>
          </cell>
          <cell r="S227">
            <v>2</v>
          </cell>
          <cell r="T227">
            <v>1.5</v>
          </cell>
          <cell r="U227">
            <v>1.5</v>
          </cell>
          <cell r="V227">
            <v>1.5</v>
          </cell>
          <cell r="W227">
            <v>1.5</v>
          </cell>
          <cell r="X227">
            <v>1.5</v>
          </cell>
          <cell r="Z227">
            <v>1.5</v>
          </cell>
          <cell r="AA227">
            <v>0</v>
          </cell>
          <cell r="AB227" t="str">
            <v>ô</v>
          </cell>
          <cell r="AD227" t="str">
            <v>ô</v>
          </cell>
          <cell r="AE227" t="str">
            <v>ô</v>
          </cell>
          <cell r="AG227" t="str">
            <v>ô</v>
          </cell>
          <cell r="AH227">
            <v>21</v>
          </cell>
        </row>
        <row r="228">
          <cell r="C228">
            <v>50723</v>
          </cell>
          <cell r="E228">
            <v>44531</v>
          </cell>
          <cell r="F228" t="str">
            <v>Lt</v>
          </cell>
          <cell r="G228" t="str">
            <v>Lt</v>
          </cell>
          <cell r="H228" t="str">
            <v>Lt</v>
          </cell>
          <cell r="I228" t="str">
            <v>Lt</v>
          </cell>
          <cell r="J228" t="str">
            <v>F</v>
          </cell>
          <cell r="L228">
            <v>1</v>
          </cell>
          <cell r="M228">
            <v>2</v>
          </cell>
          <cell r="N228">
            <v>2</v>
          </cell>
          <cell r="O228">
            <v>2</v>
          </cell>
          <cell r="P228">
            <v>2</v>
          </cell>
          <cell r="Q228">
            <v>2</v>
          </cell>
          <cell r="S228">
            <v>2</v>
          </cell>
          <cell r="T228">
            <v>1.5</v>
          </cell>
          <cell r="U228">
            <v>1.5</v>
          </cell>
          <cell r="V228">
            <v>1.5</v>
          </cell>
          <cell r="W228">
            <v>1.5</v>
          </cell>
          <cell r="X228">
            <v>1.5</v>
          </cell>
          <cell r="Z228">
            <v>1.5</v>
          </cell>
          <cell r="AA228">
            <v>1.5</v>
          </cell>
          <cell r="AB228" t="str">
            <v>ô</v>
          </cell>
          <cell r="AD228" t="str">
            <v>ô</v>
          </cell>
          <cell r="AE228" t="str">
            <v>ô</v>
          </cell>
          <cell r="AG228" t="str">
            <v>ô</v>
          </cell>
          <cell r="AH228">
            <v>23.5</v>
          </cell>
        </row>
        <row r="229">
          <cell r="C229">
            <v>50743</v>
          </cell>
          <cell r="E229">
            <v>44545</v>
          </cell>
          <cell r="F229" t="str">
            <v>Lt</v>
          </cell>
          <cell r="G229" t="str">
            <v>Lt</v>
          </cell>
          <cell r="H229" t="str">
            <v>Lt</v>
          </cell>
          <cell r="I229" t="str">
            <v>Lt</v>
          </cell>
          <cell r="J229" t="str">
            <v>Ro</v>
          </cell>
          <cell r="L229">
            <v>1</v>
          </cell>
          <cell r="M229">
            <v>2</v>
          </cell>
          <cell r="N229">
            <v>2</v>
          </cell>
          <cell r="O229">
            <v>2</v>
          </cell>
          <cell r="P229">
            <v>2</v>
          </cell>
          <cell r="Q229">
            <v>2</v>
          </cell>
          <cell r="S229">
            <v>2</v>
          </cell>
          <cell r="T229">
            <v>1.5</v>
          </cell>
          <cell r="U229">
            <v>1.5</v>
          </cell>
          <cell r="V229">
            <v>1.5</v>
          </cell>
          <cell r="W229">
            <v>1.5</v>
          </cell>
          <cell r="X229">
            <v>1.5</v>
          </cell>
          <cell r="Z229">
            <v>1.5</v>
          </cell>
          <cell r="AA229">
            <v>1.5</v>
          </cell>
          <cell r="AB229">
            <v>1.5</v>
          </cell>
          <cell r="AD229">
            <v>1.5</v>
          </cell>
          <cell r="AE229">
            <v>1.5</v>
          </cell>
          <cell r="AG229">
            <v>2</v>
          </cell>
          <cell r="AH229">
            <v>30</v>
          </cell>
        </row>
        <row r="230">
          <cell r="C230">
            <v>50757</v>
          </cell>
          <cell r="E230">
            <v>44559</v>
          </cell>
          <cell r="F230" t="str">
            <v>Lt</v>
          </cell>
          <cell r="G230" t="str">
            <v>Lt</v>
          </cell>
          <cell r="H230" t="str">
            <v>Lt</v>
          </cell>
          <cell r="I230" t="str">
            <v>Lt</v>
          </cell>
          <cell r="J230" t="str">
            <v>Ro</v>
          </cell>
          <cell r="L230">
            <v>1</v>
          </cell>
          <cell r="M230">
            <v>2</v>
          </cell>
          <cell r="N230">
            <v>2</v>
          </cell>
          <cell r="O230">
            <v>2</v>
          </cell>
          <cell r="P230">
            <v>2</v>
          </cell>
          <cell r="Q230">
            <v>2</v>
          </cell>
          <cell r="S230">
            <v>2</v>
          </cell>
          <cell r="T230">
            <v>1.5</v>
          </cell>
          <cell r="U230">
            <v>0.5</v>
          </cell>
          <cell r="V230">
            <v>1.5</v>
          </cell>
          <cell r="W230">
            <v>1.5</v>
          </cell>
          <cell r="X230">
            <v>1.5</v>
          </cell>
          <cell r="Z230">
            <v>1.5</v>
          </cell>
          <cell r="AA230">
            <v>1.5</v>
          </cell>
          <cell r="AB230">
            <v>1.5</v>
          </cell>
          <cell r="AD230">
            <v>1.5</v>
          </cell>
          <cell r="AE230">
            <v>1.5</v>
          </cell>
          <cell r="AG230">
            <v>2</v>
          </cell>
          <cell r="AH230">
            <v>29</v>
          </cell>
        </row>
        <row r="231">
          <cell r="C231">
            <v>50774</v>
          </cell>
          <cell r="E231">
            <v>44601</v>
          </cell>
          <cell r="N231">
            <v>2</v>
          </cell>
          <cell r="O231">
            <v>2</v>
          </cell>
          <cell r="P231">
            <v>2</v>
          </cell>
          <cell r="Q231">
            <v>2</v>
          </cell>
          <cell r="S231">
            <v>2</v>
          </cell>
          <cell r="T231">
            <v>1.5</v>
          </cell>
          <cell r="U231">
            <v>1.5</v>
          </cell>
          <cell r="V231">
            <v>1.5</v>
          </cell>
          <cell r="W231">
            <v>1.5</v>
          </cell>
          <cell r="X231">
            <v>1.5</v>
          </cell>
          <cell r="Z231">
            <v>1.5</v>
          </cell>
          <cell r="AA231">
            <v>1.5</v>
          </cell>
          <cell r="AB231">
            <v>1.5</v>
          </cell>
          <cell r="AD231">
            <v>1.5</v>
          </cell>
          <cell r="AE231">
            <v>1.5</v>
          </cell>
          <cell r="AG231">
            <v>2</v>
          </cell>
          <cell r="AH231">
            <v>27</v>
          </cell>
        </row>
        <row r="232">
          <cell r="C232">
            <v>50786</v>
          </cell>
          <cell r="E232">
            <v>44604</v>
          </cell>
          <cell r="Q232">
            <v>2</v>
          </cell>
          <cell r="S232">
            <v>2</v>
          </cell>
          <cell r="T232">
            <v>1.5</v>
          </cell>
          <cell r="U232">
            <v>1.5</v>
          </cell>
          <cell r="V232">
            <v>1.5</v>
          </cell>
          <cell r="W232">
            <v>1.5</v>
          </cell>
          <cell r="X232">
            <v>1.5</v>
          </cell>
          <cell r="Z232">
            <v>1.5</v>
          </cell>
          <cell r="AA232">
            <v>1.5</v>
          </cell>
          <cell r="AB232">
            <v>1.5</v>
          </cell>
          <cell r="AD232" t="str">
            <v>Ô</v>
          </cell>
          <cell r="AE232" t="str">
            <v>Ô</v>
          </cell>
          <cell r="AG232" t="str">
            <v>Ô</v>
          </cell>
          <cell r="AH232">
            <v>16</v>
          </cell>
        </row>
        <row r="233">
          <cell r="C233">
            <v>50811</v>
          </cell>
          <cell r="E233">
            <v>44614</v>
          </cell>
          <cell r="AA233">
            <v>1.5</v>
          </cell>
          <cell r="AB233">
            <v>1.5</v>
          </cell>
          <cell r="AD233">
            <v>1.5</v>
          </cell>
          <cell r="AE233">
            <v>1.5</v>
          </cell>
          <cell r="AG233">
            <v>2</v>
          </cell>
          <cell r="AH233">
            <v>8</v>
          </cell>
        </row>
        <row r="234">
          <cell r="C234">
            <v>50014</v>
          </cell>
          <cell r="E234">
            <v>43983</v>
          </cell>
          <cell r="F234" t="str">
            <v>Lt</v>
          </cell>
          <cell r="G234" t="str">
            <v>Lt</v>
          </cell>
          <cell r="H234" t="str">
            <v>Lt</v>
          </cell>
          <cell r="I234" t="str">
            <v>Lt</v>
          </cell>
          <cell r="J234" t="str">
            <v>F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S234">
            <v>1</v>
          </cell>
          <cell r="T234">
            <v>1</v>
          </cell>
          <cell r="U234">
            <v>1</v>
          </cell>
          <cell r="V234">
            <v>1</v>
          </cell>
          <cell r="W234">
            <v>1</v>
          </cell>
          <cell r="X234">
            <v>1</v>
          </cell>
          <cell r="Z234">
            <v>1</v>
          </cell>
          <cell r="AA234">
            <v>1</v>
          </cell>
          <cell r="AB234">
            <v>1</v>
          </cell>
          <cell r="AD234">
            <v>1</v>
          </cell>
          <cell r="AE234">
            <v>1</v>
          </cell>
          <cell r="AG234">
            <v>1</v>
          </cell>
          <cell r="AH234">
            <v>12</v>
          </cell>
        </row>
        <row r="235">
          <cell r="C235">
            <v>50048</v>
          </cell>
          <cell r="E235">
            <v>43983</v>
          </cell>
          <cell r="F235" t="str">
            <v>Lt</v>
          </cell>
          <cell r="G235" t="str">
            <v>Lt</v>
          </cell>
          <cell r="H235" t="str">
            <v>Lt</v>
          </cell>
          <cell r="I235" t="str">
            <v>Lt</v>
          </cell>
          <cell r="J235" t="str">
            <v>F</v>
          </cell>
          <cell r="L235">
            <v>1</v>
          </cell>
          <cell r="M235">
            <v>2</v>
          </cell>
          <cell r="N235">
            <v>2</v>
          </cell>
          <cell r="O235">
            <v>2</v>
          </cell>
          <cell r="P235">
            <v>2</v>
          </cell>
          <cell r="Q235">
            <v>2</v>
          </cell>
          <cell r="S235">
            <v>2</v>
          </cell>
          <cell r="T235">
            <v>1.5</v>
          </cell>
          <cell r="U235">
            <v>1.5</v>
          </cell>
          <cell r="V235">
            <v>1.5</v>
          </cell>
          <cell r="W235">
            <v>1.5</v>
          </cell>
          <cell r="X235">
            <v>1.5</v>
          </cell>
          <cell r="Z235" t="str">
            <v>Ro</v>
          </cell>
          <cell r="AA235" t="str">
            <v>Ro</v>
          </cell>
          <cell r="AB235">
            <v>1.5</v>
          </cell>
          <cell r="AD235">
            <v>1.5</v>
          </cell>
          <cell r="AE235">
            <v>1.5</v>
          </cell>
          <cell r="AG235">
            <v>2</v>
          </cell>
          <cell r="AH235">
            <v>27</v>
          </cell>
        </row>
        <row r="236">
          <cell r="C236">
            <v>50198</v>
          </cell>
          <cell r="E236">
            <v>44273</v>
          </cell>
          <cell r="F236" t="str">
            <v>Lt</v>
          </cell>
          <cell r="G236" t="str">
            <v>Lt</v>
          </cell>
          <cell r="H236" t="str">
            <v>Lt</v>
          </cell>
          <cell r="I236" t="str">
            <v>Lt</v>
          </cell>
          <cell r="J236" t="str">
            <v>F</v>
          </cell>
          <cell r="L236">
            <v>1</v>
          </cell>
          <cell r="M236">
            <v>2</v>
          </cell>
          <cell r="N236">
            <v>2</v>
          </cell>
          <cell r="O236">
            <v>2</v>
          </cell>
          <cell r="P236">
            <v>2</v>
          </cell>
          <cell r="Q236">
            <v>2</v>
          </cell>
          <cell r="S236">
            <v>2</v>
          </cell>
          <cell r="T236">
            <v>1.5</v>
          </cell>
          <cell r="U236">
            <v>1.5</v>
          </cell>
          <cell r="V236">
            <v>1.5</v>
          </cell>
          <cell r="W236">
            <v>1.5</v>
          </cell>
          <cell r="X236">
            <v>1.5</v>
          </cell>
          <cell r="Z236">
            <v>1.5</v>
          </cell>
          <cell r="AA236">
            <v>1.5</v>
          </cell>
          <cell r="AB236" t="str">
            <v>Ô</v>
          </cell>
          <cell r="AD236" t="str">
            <v>Ô</v>
          </cell>
          <cell r="AE236" t="str">
            <v>Ô</v>
          </cell>
          <cell r="AG236" t="str">
            <v>Ô</v>
          </cell>
          <cell r="AH236">
            <v>23.5</v>
          </cell>
        </row>
        <row r="237">
          <cell r="C237">
            <v>50238</v>
          </cell>
          <cell r="E237">
            <v>44300</v>
          </cell>
          <cell r="F237" t="str">
            <v>Lt</v>
          </cell>
          <cell r="G237" t="str">
            <v>Lt</v>
          </cell>
          <cell r="H237" t="str">
            <v>Lt</v>
          </cell>
          <cell r="I237" t="str">
            <v>Lt</v>
          </cell>
          <cell r="J237" t="str">
            <v>F</v>
          </cell>
          <cell r="L237">
            <v>1</v>
          </cell>
          <cell r="M237">
            <v>2</v>
          </cell>
          <cell r="N237">
            <v>2</v>
          </cell>
          <cell r="O237">
            <v>2</v>
          </cell>
          <cell r="P237">
            <v>2</v>
          </cell>
          <cell r="Q237">
            <v>2</v>
          </cell>
          <cell r="S237">
            <v>2</v>
          </cell>
          <cell r="T237">
            <v>1.5</v>
          </cell>
          <cell r="U237">
            <v>1.5</v>
          </cell>
          <cell r="V237">
            <v>1.5</v>
          </cell>
          <cell r="W237">
            <v>1.5</v>
          </cell>
          <cell r="X237">
            <v>1.5</v>
          </cell>
          <cell r="Z237">
            <v>1.5</v>
          </cell>
          <cell r="AA237">
            <v>1.5</v>
          </cell>
          <cell r="AB237">
            <v>1.5</v>
          </cell>
          <cell r="AD237">
            <v>1.5</v>
          </cell>
          <cell r="AE237">
            <v>1.5</v>
          </cell>
          <cell r="AG237">
            <v>2</v>
          </cell>
          <cell r="AH237">
            <v>30</v>
          </cell>
        </row>
        <row r="238">
          <cell r="C238">
            <v>50559</v>
          </cell>
          <cell r="E238">
            <v>44459</v>
          </cell>
          <cell r="F238" t="str">
            <v>Lt</v>
          </cell>
          <cell r="G238" t="str">
            <v>Lt</v>
          </cell>
          <cell r="H238" t="str">
            <v>Lt</v>
          </cell>
          <cell r="I238" t="str">
            <v>Lt</v>
          </cell>
          <cell r="J238" t="str">
            <v>Ro</v>
          </cell>
          <cell r="L238">
            <v>1</v>
          </cell>
          <cell r="M238">
            <v>2</v>
          </cell>
          <cell r="N238">
            <v>2</v>
          </cell>
          <cell r="O238">
            <v>2</v>
          </cell>
          <cell r="P238">
            <v>2</v>
          </cell>
          <cell r="Q238">
            <v>2</v>
          </cell>
          <cell r="S238">
            <v>2</v>
          </cell>
          <cell r="T238">
            <v>1.5</v>
          </cell>
          <cell r="U238">
            <v>1.5</v>
          </cell>
          <cell r="V238">
            <v>1.5</v>
          </cell>
          <cell r="W238">
            <v>1.5</v>
          </cell>
          <cell r="X238">
            <v>1.5</v>
          </cell>
          <cell r="Z238">
            <v>1.5</v>
          </cell>
          <cell r="AA238">
            <v>1.5</v>
          </cell>
          <cell r="AB238">
            <v>1.5</v>
          </cell>
          <cell r="AD238" t="str">
            <v>Ô</v>
          </cell>
          <cell r="AE238" t="str">
            <v>Ô</v>
          </cell>
          <cell r="AG238" t="str">
            <v>Ô</v>
          </cell>
          <cell r="AH238">
            <v>25</v>
          </cell>
        </row>
        <row r="239">
          <cell r="C239">
            <v>50647</v>
          </cell>
          <cell r="E239">
            <v>44418</v>
          </cell>
          <cell r="F239" t="str">
            <v>Lt</v>
          </cell>
          <cell r="G239" t="str">
            <v>Lt</v>
          </cell>
          <cell r="H239" t="str">
            <v>Lt</v>
          </cell>
          <cell r="I239" t="str">
            <v>Lt</v>
          </cell>
          <cell r="J239" t="str">
            <v>F</v>
          </cell>
          <cell r="L239" t="str">
            <v>Ô</v>
          </cell>
          <cell r="M239" t="str">
            <v>Ô</v>
          </cell>
          <cell r="N239" t="str">
            <v>Ô</v>
          </cell>
          <cell r="O239" t="str">
            <v>Ô</v>
          </cell>
          <cell r="P239" t="str">
            <v>Ô</v>
          </cell>
          <cell r="Q239" t="str">
            <v>Ô</v>
          </cell>
          <cell r="S239" t="str">
            <v>Ô</v>
          </cell>
          <cell r="T239" t="str">
            <v>Ô</v>
          </cell>
          <cell r="U239" t="str">
            <v>Ô</v>
          </cell>
          <cell r="V239" t="str">
            <v>Ô</v>
          </cell>
          <cell r="W239" t="str">
            <v>Ô</v>
          </cell>
          <cell r="X239" t="str">
            <v>Ô</v>
          </cell>
          <cell r="Z239" t="str">
            <v>Ô</v>
          </cell>
          <cell r="AA239" t="str">
            <v>Ô</v>
          </cell>
          <cell r="AB239" t="str">
            <v>Ô</v>
          </cell>
          <cell r="AD239" t="str">
            <v>Ô</v>
          </cell>
          <cell r="AE239" t="str">
            <v>Ô</v>
          </cell>
          <cell r="AG239" t="str">
            <v>Ô</v>
          </cell>
          <cell r="AH239">
            <v>0</v>
          </cell>
        </row>
        <row r="240">
          <cell r="C240">
            <v>50728</v>
          </cell>
          <cell r="E240">
            <v>44533</v>
          </cell>
          <cell r="F240" t="str">
            <v>Lt</v>
          </cell>
          <cell r="G240" t="str">
            <v>Lt</v>
          </cell>
          <cell r="H240" t="str">
            <v>Lt</v>
          </cell>
          <cell r="I240" t="str">
            <v>Lt</v>
          </cell>
          <cell r="J240" t="str">
            <v>Ro</v>
          </cell>
          <cell r="L240">
            <v>1</v>
          </cell>
          <cell r="M240">
            <v>2</v>
          </cell>
          <cell r="N240">
            <v>2</v>
          </cell>
          <cell r="O240">
            <v>2</v>
          </cell>
          <cell r="P240">
            <v>2</v>
          </cell>
          <cell r="Q240">
            <v>2</v>
          </cell>
          <cell r="S240">
            <v>2</v>
          </cell>
          <cell r="T240">
            <v>1.5</v>
          </cell>
          <cell r="U240">
            <v>1.5</v>
          </cell>
          <cell r="V240">
            <v>1.5</v>
          </cell>
          <cell r="W240">
            <v>1.5</v>
          </cell>
          <cell r="X240">
            <v>1.5</v>
          </cell>
          <cell r="Z240">
            <v>2</v>
          </cell>
          <cell r="AA240">
            <v>2</v>
          </cell>
          <cell r="AB240">
            <v>2</v>
          </cell>
          <cell r="AD240" t="str">
            <v>Ô</v>
          </cell>
          <cell r="AE240" t="str">
            <v>Ô</v>
          </cell>
          <cell r="AG240" t="str">
            <v>Ô</v>
          </cell>
          <cell r="AH240">
            <v>26.5</v>
          </cell>
        </row>
        <row r="241">
          <cell r="C241">
            <v>50730</v>
          </cell>
          <cell r="E241">
            <v>44529</v>
          </cell>
          <cell r="F241" t="str">
            <v>Lt</v>
          </cell>
          <cell r="G241" t="str">
            <v>Lt</v>
          </cell>
          <cell r="H241" t="str">
            <v>Lt</v>
          </cell>
          <cell r="I241" t="str">
            <v>Lt</v>
          </cell>
          <cell r="J241" t="str">
            <v>Ro</v>
          </cell>
          <cell r="L241">
            <v>1</v>
          </cell>
          <cell r="M241">
            <v>2</v>
          </cell>
          <cell r="N241">
            <v>2</v>
          </cell>
          <cell r="O241" t="str">
            <v>Ro</v>
          </cell>
          <cell r="P241">
            <v>2</v>
          </cell>
          <cell r="Q241">
            <v>2</v>
          </cell>
          <cell r="S241">
            <v>2</v>
          </cell>
          <cell r="T241">
            <v>1.5</v>
          </cell>
          <cell r="U241">
            <v>1.5</v>
          </cell>
          <cell r="V241">
            <v>1.5</v>
          </cell>
          <cell r="W241">
            <v>1.5</v>
          </cell>
          <cell r="X241">
            <v>1.5</v>
          </cell>
          <cell r="Z241">
            <v>0</v>
          </cell>
          <cell r="AA241">
            <v>1.5</v>
          </cell>
          <cell r="AB241">
            <v>1.5</v>
          </cell>
          <cell r="AD241">
            <v>1.5</v>
          </cell>
          <cell r="AE241" t="str">
            <v>Ro</v>
          </cell>
          <cell r="AG241">
            <v>0</v>
          </cell>
          <cell r="AH241">
            <v>23</v>
          </cell>
        </row>
        <row r="242">
          <cell r="C242">
            <v>50739</v>
          </cell>
          <cell r="E242">
            <v>44540</v>
          </cell>
          <cell r="F242" t="str">
            <v>Lt</v>
          </cell>
          <cell r="G242" t="str">
            <v>Lt</v>
          </cell>
          <cell r="H242" t="str">
            <v>Lt</v>
          </cell>
          <cell r="I242" t="str">
            <v>Lt</v>
          </cell>
          <cell r="J242" t="str">
            <v>Ro</v>
          </cell>
          <cell r="L242">
            <v>1</v>
          </cell>
          <cell r="M242">
            <v>2</v>
          </cell>
          <cell r="N242">
            <v>2</v>
          </cell>
          <cell r="O242">
            <v>2</v>
          </cell>
          <cell r="P242">
            <v>2</v>
          </cell>
          <cell r="Q242">
            <v>2</v>
          </cell>
          <cell r="S242" t="str">
            <v>Ro</v>
          </cell>
          <cell r="T242" t="str">
            <v>Ro</v>
          </cell>
          <cell r="U242" t="str">
            <v>Ro</v>
          </cell>
          <cell r="V242" t="str">
            <v>Ro</v>
          </cell>
          <cell r="W242" t="str">
            <v>Ro</v>
          </cell>
          <cell r="X242" t="str">
            <v>Ro</v>
          </cell>
          <cell r="Z242">
            <v>1.5</v>
          </cell>
          <cell r="AA242">
            <v>1.5</v>
          </cell>
          <cell r="AB242">
            <v>0</v>
          </cell>
          <cell r="AD242" t="str">
            <v>Ô</v>
          </cell>
          <cell r="AE242" t="str">
            <v>Ô</v>
          </cell>
          <cell r="AG242" t="str">
            <v>Ô</v>
          </cell>
          <cell r="AH242">
            <v>14</v>
          </cell>
        </row>
        <row r="243">
          <cell r="C243">
            <v>50740</v>
          </cell>
          <cell r="E243">
            <v>44540</v>
          </cell>
          <cell r="F243" t="str">
            <v>Lt</v>
          </cell>
          <cell r="G243" t="str">
            <v>Lt</v>
          </cell>
          <cell r="H243" t="str">
            <v>Lt</v>
          </cell>
          <cell r="I243" t="str">
            <v>Lt</v>
          </cell>
          <cell r="J243" t="str">
            <v>Ro</v>
          </cell>
          <cell r="L243">
            <v>1</v>
          </cell>
          <cell r="M243">
            <v>2</v>
          </cell>
          <cell r="N243">
            <v>2</v>
          </cell>
          <cell r="O243">
            <v>2</v>
          </cell>
          <cell r="P243">
            <v>2</v>
          </cell>
          <cell r="Q243">
            <v>2</v>
          </cell>
          <cell r="S243">
            <v>2</v>
          </cell>
          <cell r="T243">
            <v>1.5</v>
          </cell>
          <cell r="U243" t="str">
            <v>Ro</v>
          </cell>
          <cell r="V243">
            <v>1.5</v>
          </cell>
          <cell r="W243">
            <v>1.5</v>
          </cell>
          <cell r="X243" t="str">
            <v>Ro</v>
          </cell>
          <cell r="Z243">
            <v>1.5</v>
          </cell>
          <cell r="AA243">
            <v>1.5</v>
          </cell>
          <cell r="AB243">
            <v>1.5</v>
          </cell>
          <cell r="AD243" t="str">
            <v>Ô</v>
          </cell>
          <cell r="AE243" t="str">
            <v>Ô</v>
          </cell>
          <cell r="AG243" t="str">
            <v>Ô</v>
          </cell>
          <cell r="AH243">
            <v>22</v>
          </cell>
        </row>
        <row r="244">
          <cell r="C244">
            <v>50741</v>
          </cell>
          <cell r="E244">
            <v>44543</v>
          </cell>
          <cell r="F244" t="str">
            <v>Lt</v>
          </cell>
          <cell r="G244" t="str">
            <v>Lt</v>
          </cell>
          <cell r="H244" t="str">
            <v>Lt</v>
          </cell>
          <cell r="I244" t="str">
            <v>Lt</v>
          </cell>
          <cell r="J244" t="str">
            <v>Ro</v>
          </cell>
          <cell r="L244">
            <v>1</v>
          </cell>
          <cell r="M244">
            <v>2</v>
          </cell>
          <cell r="N244">
            <v>2</v>
          </cell>
          <cell r="O244">
            <v>2</v>
          </cell>
          <cell r="P244">
            <v>2</v>
          </cell>
          <cell r="Q244">
            <v>2</v>
          </cell>
          <cell r="S244">
            <v>2</v>
          </cell>
          <cell r="T244">
            <v>1.5</v>
          </cell>
          <cell r="U244">
            <v>1.5</v>
          </cell>
          <cell r="V244">
            <v>1.5</v>
          </cell>
          <cell r="W244" t="str">
            <v>1.5</v>
          </cell>
          <cell r="X244">
            <v>1.5</v>
          </cell>
          <cell r="Z244">
            <v>1.5</v>
          </cell>
          <cell r="AA244">
            <v>1.5</v>
          </cell>
          <cell r="AB244">
            <v>1.5</v>
          </cell>
          <cell r="AD244">
            <v>1.5</v>
          </cell>
          <cell r="AE244">
            <v>1.5</v>
          </cell>
          <cell r="AG244">
            <v>2</v>
          </cell>
          <cell r="AH244">
            <v>28.5</v>
          </cell>
        </row>
        <row r="245">
          <cell r="C245">
            <v>50749</v>
          </cell>
          <cell r="E245">
            <v>44554</v>
          </cell>
          <cell r="F245" t="str">
            <v>Lt</v>
          </cell>
          <cell r="G245" t="str">
            <v>Lt</v>
          </cell>
          <cell r="H245" t="str">
            <v>Lt</v>
          </cell>
          <cell r="I245" t="str">
            <v>Lt</v>
          </cell>
          <cell r="J245" t="str">
            <v>Ro</v>
          </cell>
          <cell r="L245">
            <v>1</v>
          </cell>
          <cell r="M245">
            <v>2</v>
          </cell>
          <cell r="N245">
            <v>2</v>
          </cell>
          <cell r="O245">
            <v>2</v>
          </cell>
          <cell r="P245">
            <v>2</v>
          </cell>
          <cell r="Q245">
            <v>2</v>
          </cell>
          <cell r="S245">
            <v>2</v>
          </cell>
          <cell r="T245">
            <v>1.5</v>
          </cell>
          <cell r="U245">
            <v>1.5</v>
          </cell>
          <cell r="V245">
            <v>1.5</v>
          </cell>
          <cell r="W245">
            <v>1.5</v>
          </cell>
          <cell r="X245">
            <v>1.5</v>
          </cell>
          <cell r="Z245">
            <v>1.5</v>
          </cell>
          <cell r="AA245">
            <v>1.5</v>
          </cell>
          <cell r="AB245">
            <v>1.5</v>
          </cell>
          <cell r="AD245" t="str">
            <v>Ô</v>
          </cell>
          <cell r="AE245" t="str">
            <v>Ô</v>
          </cell>
          <cell r="AG245" t="str">
            <v>Ô</v>
          </cell>
          <cell r="AH245">
            <v>25</v>
          </cell>
        </row>
        <row r="246">
          <cell r="C246">
            <v>50750</v>
          </cell>
          <cell r="E246">
            <v>44554</v>
          </cell>
          <cell r="F246" t="str">
            <v>Lt</v>
          </cell>
          <cell r="G246" t="str">
            <v>Lt</v>
          </cell>
          <cell r="H246" t="str">
            <v>Lt</v>
          </cell>
          <cell r="I246" t="str">
            <v>Lt</v>
          </cell>
          <cell r="J246" t="str">
            <v>Ro</v>
          </cell>
          <cell r="L246">
            <v>1</v>
          </cell>
          <cell r="M246">
            <v>2</v>
          </cell>
          <cell r="N246">
            <v>2</v>
          </cell>
          <cell r="O246">
            <v>2</v>
          </cell>
          <cell r="P246">
            <v>2</v>
          </cell>
          <cell r="Q246">
            <v>2</v>
          </cell>
          <cell r="S246">
            <v>2</v>
          </cell>
          <cell r="T246">
            <v>1.5</v>
          </cell>
          <cell r="U246">
            <v>1.5</v>
          </cell>
          <cell r="V246">
            <v>1.5</v>
          </cell>
          <cell r="W246">
            <v>1.5</v>
          </cell>
          <cell r="X246">
            <v>1.5</v>
          </cell>
          <cell r="Z246">
            <v>1.5</v>
          </cell>
          <cell r="AA246">
            <v>1.5</v>
          </cell>
          <cell r="AB246">
            <v>1.5</v>
          </cell>
          <cell r="AD246">
            <v>1.5</v>
          </cell>
          <cell r="AE246" t="str">
            <v>Ô</v>
          </cell>
          <cell r="AG246" t="str">
            <v>Ô</v>
          </cell>
          <cell r="AH246">
            <v>26.5</v>
          </cell>
        </row>
        <row r="247">
          <cell r="C247">
            <v>50766</v>
          </cell>
          <cell r="E247">
            <v>44473</v>
          </cell>
          <cell r="F247" t="str">
            <v>Lt</v>
          </cell>
          <cell r="G247" t="str">
            <v>Lt</v>
          </cell>
          <cell r="H247" t="str">
            <v>Lt</v>
          </cell>
          <cell r="I247" t="str">
            <v>Lt</v>
          </cell>
          <cell r="J247" t="str">
            <v>Ro</v>
          </cell>
          <cell r="L247">
            <v>1</v>
          </cell>
          <cell r="M247">
            <v>2</v>
          </cell>
          <cell r="N247">
            <v>2</v>
          </cell>
          <cell r="O247" t="str">
            <v>Ro</v>
          </cell>
          <cell r="P247" t="str">
            <v>Ro</v>
          </cell>
          <cell r="Q247" t="str">
            <v>Ro</v>
          </cell>
          <cell r="S247">
            <v>0</v>
          </cell>
          <cell r="T247">
            <v>1.5</v>
          </cell>
          <cell r="U247">
            <v>1.5</v>
          </cell>
          <cell r="V247">
            <v>1.5</v>
          </cell>
          <cell r="W247">
            <v>1.5</v>
          </cell>
          <cell r="X247">
            <v>1.5</v>
          </cell>
          <cell r="Z247">
            <v>1.5</v>
          </cell>
          <cell r="AA247">
            <v>1.5</v>
          </cell>
          <cell r="AB247">
            <v>1.5</v>
          </cell>
          <cell r="AD247">
            <v>1.5</v>
          </cell>
          <cell r="AE247" t="str">
            <v>Ro</v>
          </cell>
          <cell r="AG247" t="str">
            <v>R</v>
          </cell>
          <cell r="AH247">
            <v>18.5</v>
          </cell>
        </row>
        <row r="248">
          <cell r="C248">
            <v>50770</v>
          </cell>
          <cell r="E248">
            <v>44601</v>
          </cell>
          <cell r="N248">
            <v>2</v>
          </cell>
          <cell r="O248">
            <v>2</v>
          </cell>
          <cell r="P248">
            <v>2</v>
          </cell>
          <cell r="Q248">
            <v>2</v>
          </cell>
          <cell r="S248">
            <v>2</v>
          </cell>
          <cell r="T248">
            <v>1.5</v>
          </cell>
          <cell r="U248">
            <v>1.5</v>
          </cell>
          <cell r="V248">
            <v>1.5</v>
          </cell>
          <cell r="W248">
            <v>1.5</v>
          </cell>
          <cell r="X248">
            <v>1.5</v>
          </cell>
          <cell r="Z248">
            <v>1.5</v>
          </cell>
          <cell r="AA248">
            <v>1.5</v>
          </cell>
          <cell r="AB248">
            <v>1.5</v>
          </cell>
          <cell r="AD248">
            <v>1.5</v>
          </cell>
          <cell r="AE248">
            <v>1.5</v>
          </cell>
          <cell r="AG248" t="str">
            <v>Ro</v>
          </cell>
          <cell r="AH248">
            <v>25</v>
          </cell>
        </row>
        <row r="249">
          <cell r="C249">
            <v>50780</v>
          </cell>
          <cell r="E249">
            <v>44603</v>
          </cell>
          <cell r="P249">
            <v>2</v>
          </cell>
          <cell r="Q249">
            <v>2</v>
          </cell>
          <cell r="S249">
            <v>2</v>
          </cell>
          <cell r="T249">
            <v>1.5</v>
          </cell>
          <cell r="U249">
            <v>1.5</v>
          </cell>
          <cell r="V249">
            <v>1.5</v>
          </cell>
          <cell r="W249">
            <v>1.5</v>
          </cell>
          <cell r="X249">
            <v>1.5</v>
          </cell>
          <cell r="Z249" t="str">
            <v>ô</v>
          </cell>
          <cell r="AA249" t="str">
            <v>ô</v>
          </cell>
          <cell r="AB249" t="str">
            <v>ô</v>
          </cell>
          <cell r="AD249" t="str">
            <v>ô</v>
          </cell>
          <cell r="AE249" t="str">
            <v>ô</v>
          </cell>
          <cell r="AG249" t="str">
            <v>ô</v>
          </cell>
          <cell r="AH249">
            <v>13.5</v>
          </cell>
        </row>
        <row r="250">
          <cell r="C250">
            <v>50782</v>
          </cell>
          <cell r="E250">
            <v>44603</v>
          </cell>
          <cell r="P250">
            <v>2</v>
          </cell>
          <cell r="Q250">
            <v>2</v>
          </cell>
          <cell r="S250">
            <v>2</v>
          </cell>
          <cell r="T250">
            <v>1.5</v>
          </cell>
          <cell r="U250">
            <v>1.5</v>
          </cell>
          <cell r="V250">
            <v>1.5</v>
          </cell>
          <cell r="W250">
            <v>1.5</v>
          </cell>
          <cell r="X250">
            <v>1.5</v>
          </cell>
          <cell r="Z250" t="str">
            <v>ô</v>
          </cell>
          <cell r="AA250" t="str">
            <v>ô</v>
          </cell>
          <cell r="AB250" t="str">
            <v>ô</v>
          </cell>
          <cell r="AD250" t="str">
            <v>ô</v>
          </cell>
          <cell r="AE250" t="str">
            <v>ô</v>
          </cell>
          <cell r="AG250" t="str">
            <v>ô</v>
          </cell>
          <cell r="AH250">
            <v>13.5</v>
          </cell>
        </row>
        <row r="251">
          <cell r="C251">
            <v>50821</v>
          </cell>
          <cell r="E251">
            <v>44618</v>
          </cell>
          <cell r="AE251">
            <v>1.5</v>
          </cell>
          <cell r="AG251">
            <v>2</v>
          </cell>
          <cell r="AH251">
            <v>3.5</v>
          </cell>
        </row>
        <row r="252">
          <cell r="C252">
            <v>10031</v>
          </cell>
          <cell r="E252">
            <v>44418</v>
          </cell>
          <cell r="F252" t="str">
            <v>Lt</v>
          </cell>
          <cell r="G252" t="str">
            <v>Lt</v>
          </cell>
          <cell r="H252" t="str">
            <v>Lt</v>
          </cell>
          <cell r="I252" t="str">
            <v>Lt</v>
          </cell>
          <cell r="J252" t="str">
            <v>Ro</v>
          </cell>
          <cell r="L252">
            <v>1</v>
          </cell>
          <cell r="M252">
            <v>2</v>
          </cell>
          <cell r="N252">
            <v>2</v>
          </cell>
          <cell r="O252">
            <v>2</v>
          </cell>
          <cell r="P252">
            <v>2</v>
          </cell>
          <cell r="Q252">
            <v>2</v>
          </cell>
          <cell r="S252">
            <v>2</v>
          </cell>
          <cell r="T252">
            <v>1.5</v>
          </cell>
          <cell r="U252">
            <v>1.5</v>
          </cell>
          <cell r="V252">
            <v>1.5</v>
          </cell>
          <cell r="W252">
            <v>1.5</v>
          </cell>
          <cell r="X252">
            <v>1.5</v>
          </cell>
          <cell r="Z252">
            <v>1.5</v>
          </cell>
          <cell r="AA252">
            <v>1.5</v>
          </cell>
          <cell r="AB252">
            <v>1.5</v>
          </cell>
          <cell r="AD252" t="str">
            <v>Ô</v>
          </cell>
          <cell r="AE252" t="str">
            <v>Ô</v>
          </cell>
          <cell r="AG252" t="str">
            <v>Ô</v>
          </cell>
          <cell r="AH252">
            <v>25</v>
          </cell>
        </row>
        <row r="253">
          <cell r="C253">
            <v>50008</v>
          </cell>
          <cell r="E253">
            <v>43983</v>
          </cell>
          <cell r="F253" t="str">
            <v>LT</v>
          </cell>
          <cell r="G253" t="str">
            <v>LT</v>
          </cell>
          <cell r="H253" t="str">
            <v>LT</v>
          </cell>
          <cell r="I253" t="str">
            <v>LT</v>
          </cell>
          <cell r="J253" t="str">
            <v>F</v>
          </cell>
          <cell r="L253">
            <v>1</v>
          </cell>
          <cell r="M253">
            <v>2</v>
          </cell>
          <cell r="N253">
            <v>2</v>
          </cell>
          <cell r="O253">
            <v>2</v>
          </cell>
          <cell r="P253">
            <v>2</v>
          </cell>
          <cell r="Q253">
            <v>2</v>
          </cell>
          <cell r="S253">
            <v>2</v>
          </cell>
          <cell r="T253">
            <v>1.5</v>
          </cell>
          <cell r="U253">
            <v>1.5</v>
          </cell>
          <cell r="V253">
            <v>1.5</v>
          </cell>
          <cell r="W253">
            <v>1.5</v>
          </cell>
          <cell r="X253">
            <v>1.5</v>
          </cell>
          <cell r="Z253">
            <v>1.5</v>
          </cell>
          <cell r="AA253">
            <v>1.5</v>
          </cell>
          <cell r="AB253">
            <v>1.5</v>
          </cell>
          <cell r="AD253">
            <v>1.5</v>
          </cell>
          <cell r="AE253">
            <v>1.5</v>
          </cell>
          <cell r="AG253">
            <v>2</v>
          </cell>
          <cell r="AH253">
            <v>30</v>
          </cell>
        </row>
        <row r="254">
          <cell r="C254">
            <v>50022</v>
          </cell>
          <cell r="E254">
            <v>43983</v>
          </cell>
          <cell r="F254" t="str">
            <v>LT</v>
          </cell>
          <cell r="G254" t="str">
            <v>LT</v>
          </cell>
          <cell r="H254" t="str">
            <v>LT</v>
          </cell>
          <cell r="I254" t="str">
            <v>LT</v>
          </cell>
          <cell r="J254" t="str">
            <v>F</v>
          </cell>
          <cell r="L254">
            <v>1</v>
          </cell>
          <cell r="M254">
            <v>2</v>
          </cell>
          <cell r="N254">
            <v>2</v>
          </cell>
          <cell r="O254">
            <v>2</v>
          </cell>
          <cell r="P254">
            <v>2</v>
          </cell>
          <cell r="Q254">
            <v>2</v>
          </cell>
          <cell r="S254">
            <v>2</v>
          </cell>
          <cell r="T254">
            <v>1.5</v>
          </cell>
          <cell r="U254">
            <v>1.5</v>
          </cell>
          <cell r="V254">
            <v>1.5</v>
          </cell>
          <cell r="W254">
            <v>1.5</v>
          </cell>
          <cell r="X254">
            <v>1.5</v>
          </cell>
          <cell r="Z254">
            <v>1.5</v>
          </cell>
          <cell r="AA254">
            <v>1.5</v>
          </cell>
          <cell r="AB254">
            <v>1.5</v>
          </cell>
          <cell r="AD254">
            <v>1.5</v>
          </cell>
          <cell r="AE254" t="str">
            <v>Ô</v>
          </cell>
          <cell r="AG254" t="str">
            <v>Ô</v>
          </cell>
          <cell r="AH254">
            <v>26.5</v>
          </cell>
        </row>
        <row r="255">
          <cell r="C255">
            <v>50033</v>
          </cell>
          <cell r="E255">
            <v>43983</v>
          </cell>
          <cell r="F255" t="str">
            <v>LT</v>
          </cell>
          <cell r="G255" t="str">
            <v>LT</v>
          </cell>
          <cell r="H255" t="str">
            <v>LT</v>
          </cell>
          <cell r="I255" t="str">
            <v>LT</v>
          </cell>
          <cell r="J255" t="str">
            <v>F</v>
          </cell>
          <cell r="L255">
            <v>1</v>
          </cell>
          <cell r="M255">
            <v>2</v>
          </cell>
          <cell r="N255">
            <v>2</v>
          </cell>
          <cell r="O255">
            <v>2</v>
          </cell>
          <cell r="P255">
            <v>2</v>
          </cell>
          <cell r="Q255">
            <v>2</v>
          </cell>
          <cell r="S255">
            <v>2</v>
          </cell>
          <cell r="T255">
            <v>1.5</v>
          </cell>
          <cell r="U255">
            <v>1.5</v>
          </cell>
          <cell r="V255">
            <v>1.5</v>
          </cell>
          <cell r="W255">
            <v>1.5</v>
          </cell>
          <cell r="X255">
            <v>1.5</v>
          </cell>
          <cell r="Z255">
            <v>1.5</v>
          </cell>
          <cell r="AA255">
            <v>1.5</v>
          </cell>
          <cell r="AB255">
            <v>1.5</v>
          </cell>
          <cell r="AD255">
            <v>1.5</v>
          </cell>
          <cell r="AE255">
            <v>1.5</v>
          </cell>
          <cell r="AG255">
            <v>2</v>
          </cell>
          <cell r="AH255">
            <v>30</v>
          </cell>
        </row>
        <row r="256">
          <cell r="C256">
            <v>50039</v>
          </cell>
          <cell r="E256">
            <v>43983</v>
          </cell>
          <cell r="F256" t="str">
            <v>LT</v>
          </cell>
          <cell r="G256" t="str">
            <v>LT</v>
          </cell>
          <cell r="H256" t="str">
            <v>LT</v>
          </cell>
          <cell r="I256" t="str">
            <v>LT</v>
          </cell>
          <cell r="J256" t="str">
            <v>F</v>
          </cell>
          <cell r="L256">
            <v>1</v>
          </cell>
          <cell r="M256">
            <v>2</v>
          </cell>
          <cell r="N256">
            <v>2</v>
          </cell>
          <cell r="O256">
            <v>2</v>
          </cell>
          <cell r="P256">
            <v>2</v>
          </cell>
          <cell r="Q256">
            <v>2</v>
          </cell>
          <cell r="S256">
            <v>2</v>
          </cell>
          <cell r="T256">
            <v>1.5</v>
          </cell>
          <cell r="U256">
            <v>1.5</v>
          </cell>
          <cell r="V256">
            <v>1.5</v>
          </cell>
          <cell r="W256">
            <v>1.5</v>
          </cell>
          <cell r="X256">
            <v>1.5</v>
          </cell>
          <cell r="Z256">
            <v>1.5</v>
          </cell>
          <cell r="AA256">
            <v>1.5</v>
          </cell>
          <cell r="AB256">
            <v>1.5</v>
          </cell>
          <cell r="AD256" t="str">
            <v>ô</v>
          </cell>
          <cell r="AE256" t="str">
            <v>ô</v>
          </cell>
          <cell r="AG256" t="str">
            <v>ô</v>
          </cell>
          <cell r="AH256">
            <v>25</v>
          </cell>
        </row>
        <row r="257">
          <cell r="C257">
            <v>50043</v>
          </cell>
          <cell r="E257">
            <v>43983</v>
          </cell>
          <cell r="F257" t="str">
            <v>LT</v>
          </cell>
          <cell r="G257" t="str">
            <v>LT</v>
          </cell>
          <cell r="H257" t="str">
            <v>LT</v>
          </cell>
          <cell r="I257" t="str">
            <v>LT</v>
          </cell>
          <cell r="J257" t="str">
            <v>F</v>
          </cell>
          <cell r="L257">
            <v>1</v>
          </cell>
          <cell r="M257">
            <v>2</v>
          </cell>
          <cell r="N257">
            <v>2</v>
          </cell>
          <cell r="O257">
            <v>2</v>
          </cell>
          <cell r="P257">
            <v>2</v>
          </cell>
          <cell r="Q257">
            <v>2</v>
          </cell>
          <cell r="S257">
            <v>2</v>
          </cell>
          <cell r="T257">
            <v>1.5</v>
          </cell>
          <cell r="U257">
            <v>1.5</v>
          </cell>
          <cell r="V257">
            <v>1.5</v>
          </cell>
          <cell r="W257">
            <v>1.5</v>
          </cell>
          <cell r="X257">
            <v>1.5</v>
          </cell>
          <cell r="Z257">
            <v>1.5</v>
          </cell>
          <cell r="AA257">
            <v>1.5</v>
          </cell>
          <cell r="AB257">
            <v>1.5</v>
          </cell>
          <cell r="AD257">
            <v>1.5</v>
          </cell>
          <cell r="AE257">
            <v>1.5</v>
          </cell>
          <cell r="AG257">
            <v>2</v>
          </cell>
          <cell r="AH257">
            <v>30</v>
          </cell>
        </row>
        <row r="258">
          <cell r="C258">
            <v>50121</v>
          </cell>
          <cell r="E258">
            <v>44091</v>
          </cell>
          <cell r="F258" t="str">
            <v>LT</v>
          </cell>
          <cell r="G258" t="str">
            <v>LT</v>
          </cell>
          <cell r="H258" t="str">
            <v>LT</v>
          </cell>
          <cell r="I258" t="str">
            <v>LT</v>
          </cell>
          <cell r="J258" t="str">
            <v>F</v>
          </cell>
          <cell r="L258">
            <v>1</v>
          </cell>
          <cell r="M258">
            <v>2</v>
          </cell>
          <cell r="N258">
            <v>2</v>
          </cell>
          <cell r="O258">
            <v>2</v>
          </cell>
          <cell r="P258">
            <v>2</v>
          </cell>
          <cell r="Q258">
            <v>2</v>
          </cell>
          <cell r="S258">
            <v>2</v>
          </cell>
          <cell r="T258">
            <v>1.5</v>
          </cell>
          <cell r="U258">
            <v>1.5</v>
          </cell>
          <cell r="V258">
            <v>1.5</v>
          </cell>
          <cell r="W258">
            <v>1.5</v>
          </cell>
          <cell r="X258">
            <v>1.5</v>
          </cell>
          <cell r="Z258">
            <v>1.5</v>
          </cell>
          <cell r="AA258">
            <v>1.5</v>
          </cell>
          <cell r="AB258">
            <v>1.5</v>
          </cell>
          <cell r="AD258">
            <v>1.5</v>
          </cell>
          <cell r="AE258">
            <v>1.5</v>
          </cell>
          <cell r="AG258" t="str">
            <v>F</v>
          </cell>
          <cell r="AH258">
            <v>28</v>
          </cell>
        </row>
        <row r="259">
          <cell r="C259">
            <v>50124</v>
          </cell>
          <cell r="E259">
            <v>44106</v>
          </cell>
          <cell r="F259" t="str">
            <v>LT</v>
          </cell>
          <cell r="G259" t="str">
            <v>LT</v>
          </cell>
          <cell r="H259" t="str">
            <v>LT</v>
          </cell>
          <cell r="I259" t="str">
            <v>LT</v>
          </cell>
          <cell r="J259" t="str">
            <v>F</v>
          </cell>
          <cell r="L259">
            <v>1</v>
          </cell>
          <cell r="M259">
            <v>2</v>
          </cell>
          <cell r="N259">
            <v>2</v>
          </cell>
          <cell r="O259">
            <v>2</v>
          </cell>
          <cell r="P259">
            <v>2</v>
          </cell>
          <cell r="Q259">
            <v>2</v>
          </cell>
          <cell r="S259">
            <v>2</v>
          </cell>
          <cell r="T259">
            <v>1.5</v>
          </cell>
          <cell r="U259">
            <v>1.5</v>
          </cell>
          <cell r="V259">
            <v>1.5</v>
          </cell>
          <cell r="W259">
            <v>1.5</v>
          </cell>
          <cell r="X259">
            <v>1.5</v>
          </cell>
          <cell r="Z259">
            <v>0</v>
          </cell>
          <cell r="AA259" t="str">
            <v>ô</v>
          </cell>
          <cell r="AB259" t="str">
            <v>ô</v>
          </cell>
          <cell r="AD259" t="str">
            <v>ô</v>
          </cell>
          <cell r="AE259" t="str">
            <v>ô</v>
          </cell>
          <cell r="AG259">
            <v>0</v>
          </cell>
          <cell r="AH259">
            <v>20.5</v>
          </cell>
        </row>
        <row r="260">
          <cell r="C260">
            <v>50130</v>
          </cell>
          <cell r="E260">
            <v>44116</v>
          </cell>
          <cell r="F260" t="str">
            <v>LT</v>
          </cell>
          <cell r="G260" t="str">
            <v>LT</v>
          </cell>
          <cell r="H260" t="str">
            <v>LT</v>
          </cell>
          <cell r="I260" t="str">
            <v>LT</v>
          </cell>
          <cell r="J260" t="str">
            <v>F</v>
          </cell>
          <cell r="L260">
            <v>1</v>
          </cell>
          <cell r="M260">
            <v>2</v>
          </cell>
          <cell r="N260">
            <v>2</v>
          </cell>
          <cell r="O260">
            <v>2</v>
          </cell>
          <cell r="P260">
            <v>2</v>
          </cell>
          <cell r="Q260">
            <v>2</v>
          </cell>
          <cell r="S260">
            <v>2</v>
          </cell>
          <cell r="T260">
            <v>1.5</v>
          </cell>
          <cell r="U260">
            <v>1.5</v>
          </cell>
          <cell r="V260">
            <v>1.5</v>
          </cell>
          <cell r="W260">
            <v>1.5</v>
          </cell>
          <cell r="X260">
            <v>1.5</v>
          </cell>
          <cell r="Z260">
            <v>1.5</v>
          </cell>
          <cell r="AA260">
            <v>1.5</v>
          </cell>
          <cell r="AB260">
            <v>1.5</v>
          </cell>
          <cell r="AD260">
            <v>1.5</v>
          </cell>
          <cell r="AE260">
            <v>1.5</v>
          </cell>
          <cell r="AG260">
            <v>2</v>
          </cell>
          <cell r="AH260">
            <v>30</v>
          </cell>
        </row>
        <row r="261">
          <cell r="C261">
            <v>50185</v>
          </cell>
          <cell r="E261">
            <v>44266</v>
          </cell>
          <cell r="F261" t="str">
            <v>LT</v>
          </cell>
          <cell r="G261" t="str">
            <v>LT</v>
          </cell>
          <cell r="H261" t="str">
            <v>LT</v>
          </cell>
          <cell r="I261" t="str">
            <v>LT</v>
          </cell>
          <cell r="J261" t="str">
            <v>F</v>
          </cell>
          <cell r="L261">
            <v>1</v>
          </cell>
          <cell r="M261">
            <v>2</v>
          </cell>
          <cell r="N261">
            <v>2</v>
          </cell>
          <cell r="O261">
            <v>2</v>
          </cell>
          <cell r="P261">
            <v>2</v>
          </cell>
          <cell r="Q261">
            <v>2</v>
          </cell>
          <cell r="S261">
            <v>2</v>
          </cell>
          <cell r="T261">
            <v>1.5</v>
          </cell>
          <cell r="U261">
            <v>1.5</v>
          </cell>
          <cell r="V261">
            <v>1.5</v>
          </cell>
          <cell r="W261">
            <v>1.5</v>
          </cell>
          <cell r="X261">
            <v>1.5</v>
          </cell>
          <cell r="Z261">
            <v>1.5</v>
          </cell>
          <cell r="AA261">
            <v>1.5</v>
          </cell>
          <cell r="AB261">
            <v>1.5</v>
          </cell>
          <cell r="AD261">
            <v>1.5</v>
          </cell>
          <cell r="AE261">
            <v>1.5</v>
          </cell>
          <cell r="AG261">
            <v>2</v>
          </cell>
          <cell r="AH261">
            <v>30</v>
          </cell>
        </row>
        <row r="262">
          <cell r="C262">
            <v>50191</v>
          </cell>
          <cell r="E262">
            <v>44268</v>
          </cell>
          <cell r="F262" t="str">
            <v>LT</v>
          </cell>
          <cell r="G262" t="str">
            <v>LT</v>
          </cell>
          <cell r="H262" t="str">
            <v>LT</v>
          </cell>
          <cell r="I262" t="str">
            <v>LT</v>
          </cell>
          <cell r="J262" t="str">
            <v>F</v>
          </cell>
          <cell r="L262">
            <v>1</v>
          </cell>
          <cell r="M262">
            <v>2</v>
          </cell>
          <cell r="N262">
            <v>2</v>
          </cell>
          <cell r="O262">
            <v>2</v>
          </cell>
          <cell r="P262">
            <v>2</v>
          </cell>
          <cell r="Q262">
            <v>2</v>
          </cell>
          <cell r="S262">
            <v>2</v>
          </cell>
          <cell r="T262">
            <v>1.5</v>
          </cell>
          <cell r="U262">
            <v>1.5</v>
          </cell>
          <cell r="V262">
            <v>1.5</v>
          </cell>
          <cell r="W262">
            <v>1.5</v>
          </cell>
          <cell r="X262">
            <v>1.5</v>
          </cell>
          <cell r="Z262">
            <v>1.5</v>
          </cell>
          <cell r="AA262">
            <v>1.5</v>
          </cell>
          <cell r="AB262">
            <v>1.5</v>
          </cell>
          <cell r="AD262">
            <v>1.5</v>
          </cell>
          <cell r="AE262">
            <v>1.5</v>
          </cell>
          <cell r="AG262">
            <v>2</v>
          </cell>
          <cell r="AH262">
            <v>30</v>
          </cell>
        </row>
        <row r="263">
          <cell r="C263">
            <v>50266</v>
          </cell>
          <cell r="E263">
            <v>44358</v>
          </cell>
          <cell r="F263" t="str">
            <v>LT</v>
          </cell>
          <cell r="G263" t="str">
            <v>LT</v>
          </cell>
          <cell r="H263" t="str">
            <v>LT</v>
          </cell>
          <cell r="I263" t="str">
            <v>LT</v>
          </cell>
          <cell r="J263" t="str">
            <v>F</v>
          </cell>
          <cell r="L263">
            <v>1</v>
          </cell>
          <cell r="M263">
            <v>2</v>
          </cell>
          <cell r="N263">
            <v>0</v>
          </cell>
          <cell r="O263">
            <v>2</v>
          </cell>
          <cell r="P263">
            <v>2</v>
          </cell>
          <cell r="Q263">
            <v>2</v>
          </cell>
          <cell r="S263" t="str">
            <v>F</v>
          </cell>
          <cell r="T263">
            <v>1.5</v>
          </cell>
          <cell r="U263">
            <v>1.5</v>
          </cell>
          <cell r="V263">
            <v>1.5</v>
          </cell>
          <cell r="W263">
            <v>1.5</v>
          </cell>
          <cell r="X263">
            <v>1.5</v>
          </cell>
          <cell r="Z263">
            <v>1.5</v>
          </cell>
          <cell r="AA263">
            <v>1.5</v>
          </cell>
          <cell r="AB263" t="str">
            <v>Ô</v>
          </cell>
          <cell r="AD263" t="str">
            <v>Ô</v>
          </cell>
          <cell r="AE263" t="str">
            <v>Ô</v>
          </cell>
          <cell r="AG263" t="str">
            <v>Ô</v>
          </cell>
          <cell r="AH263">
            <v>19.5</v>
          </cell>
        </row>
        <row r="264">
          <cell r="C264">
            <v>50272</v>
          </cell>
          <cell r="E264">
            <v>44372</v>
          </cell>
          <cell r="F264" t="str">
            <v>LT</v>
          </cell>
          <cell r="G264" t="str">
            <v>LT</v>
          </cell>
          <cell r="H264" t="str">
            <v>LT</v>
          </cell>
          <cell r="I264" t="str">
            <v>LT</v>
          </cell>
          <cell r="J264" t="str">
            <v>F</v>
          </cell>
          <cell r="L264">
            <v>1</v>
          </cell>
          <cell r="M264">
            <v>2</v>
          </cell>
          <cell r="N264">
            <v>2</v>
          </cell>
          <cell r="O264" t="str">
            <v>F</v>
          </cell>
          <cell r="P264">
            <v>2</v>
          </cell>
          <cell r="Q264">
            <v>2</v>
          </cell>
          <cell r="S264">
            <v>2</v>
          </cell>
          <cell r="T264">
            <v>1.5</v>
          </cell>
          <cell r="U264">
            <v>1.5</v>
          </cell>
          <cell r="V264">
            <v>1.5</v>
          </cell>
          <cell r="W264">
            <v>1.5</v>
          </cell>
          <cell r="X264">
            <v>1.5</v>
          </cell>
          <cell r="Z264">
            <v>1.5</v>
          </cell>
          <cell r="AA264">
            <v>1.5</v>
          </cell>
          <cell r="AB264">
            <v>1.5</v>
          </cell>
          <cell r="AD264" t="str">
            <v>Ô</v>
          </cell>
          <cell r="AE264" t="str">
            <v>Ô</v>
          </cell>
          <cell r="AG264" t="str">
            <v>Ô</v>
          </cell>
          <cell r="AH264">
            <v>23</v>
          </cell>
        </row>
        <row r="265">
          <cell r="C265">
            <v>50319</v>
          </cell>
          <cell r="E265">
            <v>44399</v>
          </cell>
          <cell r="F265" t="str">
            <v>LT</v>
          </cell>
          <cell r="G265" t="str">
            <v>LT</v>
          </cell>
          <cell r="H265" t="str">
            <v>LT</v>
          </cell>
          <cell r="I265" t="str">
            <v>LT</v>
          </cell>
          <cell r="J265" t="str">
            <v>F</v>
          </cell>
          <cell r="L265">
            <v>1</v>
          </cell>
          <cell r="M265">
            <v>2</v>
          </cell>
          <cell r="N265">
            <v>2</v>
          </cell>
          <cell r="O265">
            <v>2</v>
          </cell>
          <cell r="P265">
            <v>2</v>
          </cell>
          <cell r="Q265">
            <v>2</v>
          </cell>
          <cell r="S265">
            <v>2</v>
          </cell>
          <cell r="T265">
            <v>1.5</v>
          </cell>
          <cell r="U265">
            <v>1.5</v>
          </cell>
          <cell r="V265">
            <v>1.5</v>
          </cell>
          <cell r="W265">
            <v>1.5</v>
          </cell>
          <cell r="X265">
            <v>1.5</v>
          </cell>
          <cell r="Z265">
            <v>1.5</v>
          </cell>
          <cell r="AA265">
            <v>1.5</v>
          </cell>
          <cell r="AB265">
            <v>1.5</v>
          </cell>
          <cell r="AD265">
            <v>1.5</v>
          </cell>
          <cell r="AE265">
            <v>1.5</v>
          </cell>
          <cell r="AG265">
            <v>2</v>
          </cell>
          <cell r="AH265">
            <v>30</v>
          </cell>
        </row>
        <row r="266">
          <cell r="C266">
            <v>50338</v>
          </cell>
          <cell r="E266">
            <v>44401</v>
          </cell>
          <cell r="F266" t="str">
            <v>LT</v>
          </cell>
          <cell r="G266" t="str">
            <v>LT</v>
          </cell>
          <cell r="H266" t="str">
            <v>LT</v>
          </cell>
          <cell r="I266" t="str">
            <v>LT</v>
          </cell>
          <cell r="J266" t="str">
            <v>F</v>
          </cell>
          <cell r="L266">
            <v>1</v>
          </cell>
          <cell r="M266">
            <v>2</v>
          </cell>
          <cell r="N266">
            <v>2</v>
          </cell>
          <cell r="O266">
            <v>2</v>
          </cell>
          <cell r="P266">
            <v>2</v>
          </cell>
          <cell r="Q266">
            <v>2</v>
          </cell>
          <cell r="S266">
            <v>2</v>
          </cell>
          <cell r="T266">
            <v>1.5</v>
          </cell>
          <cell r="U266">
            <v>1.5</v>
          </cell>
          <cell r="V266">
            <v>1.5</v>
          </cell>
          <cell r="W266">
            <v>1.5</v>
          </cell>
          <cell r="X266">
            <v>1.5</v>
          </cell>
          <cell r="Z266">
            <v>1.5</v>
          </cell>
          <cell r="AA266">
            <v>1.5</v>
          </cell>
          <cell r="AB266">
            <v>1.5</v>
          </cell>
          <cell r="AD266">
            <v>1.5</v>
          </cell>
          <cell r="AE266">
            <v>1.5</v>
          </cell>
          <cell r="AG266">
            <v>2</v>
          </cell>
          <cell r="AH266">
            <v>30</v>
          </cell>
        </row>
        <row r="267">
          <cell r="C267">
            <v>50353</v>
          </cell>
          <cell r="E267">
            <v>44406</v>
          </cell>
          <cell r="F267" t="str">
            <v>LT</v>
          </cell>
          <cell r="G267" t="str">
            <v>LT</v>
          </cell>
          <cell r="H267" t="str">
            <v>LT</v>
          </cell>
          <cell r="I267" t="str">
            <v>LT</v>
          </cell>
          <cell r="J267" t="str">
            <v>F</v>
          </cell>
          <cell r="L267">
            <v>1</v>
          </cell>
          <cell r="M267">
            <v>2</v>
          </cell>
          <cell r="N267">
            <v>2</v>
          </cell>
          <cell r="O267">
            <v>2</v>
          </cell>
          <cell r="P267" t="str">
            <v>F</v>
          </cell>
          <cell r="Q267">
            <v>2</v>
          </cell>
          <cell r="S267">
            <v>2</v>
          </cell>
          <cell r="T267">
            <v>1.5</v>
          </cell>
          <cell r="U267">
            <v>1.5</v>
          </cell>
          <cell r="V267">
            <v>1.5</v>
          </cell>
          <cell r="W267">
            <v>1.5</v>
          </cell>
          <cell r="X267">
            <v>1.5</v>
          </cell>
          <cell r="Z267">
            <v>1.5</v>
          </cell>
          <cell r="AA267">
            <v>1.5</v>
          </cell>
          <cell r="AB267">
            <v>1.5</v>
          </cell>
          <cell r="AD267" t="str">
            <v>Ô</v>
          </cell>
          <cell r="AE267" t="str">
            <v>Ô</v>
          </cell>
          <cell r="AG267" t="str">
            <v>Ô</v>
          </cell>
          <cell r="AH267">
            <v>23</v>
          </cell>
        </row>
        <row r="268">
          <cell r="C268">
            <v>50386</v>
          </cell>
          <cell r="E268">
            <v>44412</v>
          </cell>
          <cell r="F268" t="str">
            <v>LT</v>
          </cell>
          <cell r="G268" t="str">
            <v>LT</v>
          </cell>
          <cell r="H268" t="str">
            <v>LT</v>
          </cell>
          <cell r="I268" t="str">
            <v>LT</v>
          </cell>
          <cell r="J268" t="str">
            <v>F</v>
          </cell>
          <cell r="L268">
            <v>1</v>
          </cell>
          <cell r="M268">
            <v>2</v>
          </cell>
          <cell r="N268">
            <v>2</v>
          </cell>
          <cell r="O268">
            <v>2</v>
          </cell>
          <cell r="P268">
            <v>2</v>
          </cell>
          <cell r="Q268">
            <v>2</v>
          </cell>
          <cell r="S268">
            <v>2</v>
          </cell>
          <cell r="T268">
            <v>1.5</v>
          </cell>
          <cell r="U268">
            <v>1.5</v>
          </cell>
          <cell r="V268">
            <v>1.5</v>
          </cell>
          <cell r="W268">
            <v>1.5</v>
          </cell>
          <cell r="X268">
            <v>1.5</v>
          </cell>
          <cell r="Z268">
            <v>1.5</v>
          </cell>
          <cell r="AA268">
            <v>1.5</v>
          </cell>
          <cell r="AB268">
            <v>1.5</v>
          </cell>
          <cell r="AD268">
            <v>1.5</v>
          </cell>
          <cell r="AE268">
            <v>1.5</v>
          </cell>
          <cell r="AG268">
            <v>2</v>
          </cell>
          <cell r="AH268">
            <v>30</v>
          </cell>
        </row>
        <row r="269">
          <cell r="C269">
            <v>50389</v>
          </cell>
          <cell r="E269">
            <v>44413</v>
          </cell>
          <cell r="F269" t="str">
            <v>LT</v>
          </cell>
          <cell r="G269" t="str">
            <v>LT</v>
          </cell>
          <cell r="H269" t="str">
            <v>LT</v>
          </cell>
          <cell r="I269" t="str">
            <v>LT</v>
          </cell>
          <cell r="J269" t="str">
            <v>F</v>
          </cell>
          <cell r="L269">
            <v>1</v>
          </cell>
          <cell r="M269" t="str">
            <v>0.5</v>
          </cell>
          <cell r="N269">
            <v>2</v>
          </cell>
          <cell r="O269">
            <v>2</v>
          </cell>
          <cell r="P269">
            <v>2</v>
          </cell>
          <cell r="Q269">
            <v>2</v>
          </cell>
          <cell r="S269">
            <v>2</v>
          </cell>
          <cell r="T269">
            <v>1.5</v>
          </cell>
          <cell r="U269">
            <v>1.5</v>
          </cell>
          <cell r="V269">
            <v>1.5</v>
          </cell>
          <cell r="W269">
            <v>1.5</v>
          </cell>
          <cell r="X269">
            <v>1.5</v>
          </cell>
          <cell r="Z269">
            <v>1.5</v>
          </cell>
          <cell r="AA269">
            <v>1.5</v>
          </cell>
          <cell r="AB269">
            <v>1.5</v>
          </cell>
          <cell r="AD269">
            <v>1.5</v>
          </cell>
          <cell r="AE269">
            <v>1.5</v>
          </cell>
          <cell r="AG269">
            <v>2</v>
          </cell>
          <cell r="AH269">
            <v>28</v>
          </cell>
        </row>
        <row r="270">
          <cell r="C270">
            <v>50423</v>
          </cell>
          <cell r="E270">
            <v>44420</v>
          </cell>
          <cell r="F270" t="str">
            <v>LT</v>
          </cell>
          <cell r="G270" t="str">
            <v>LT</v>
          </cell>
          <cell r="H270" t="str">
            <v>LT</v>
          </cell>
          <cell r="I270" t="str">
            <v>LT</v>
          </cell>
          <cell r="J270" t="str">
            <v>F</v>
          </cell>
          <cell r="L270">
            <v>1</v>
          </cell>
          <cell r="M270">
            <v>2</v>
          </cell>
          <cell r="N270">
            <v>2</v>
          </cell>
          <cell r="O270">
            <v>2</v>
          </cell>
          <cell r="P270">
            <v>2</v>
          </cell>
          <cell r="Q270">
            <v>2</v>
          </cell>
          <cell r="S270">
            <v>2</v>
          </cell>
          <cell r="T270">
            <v>1.5</v>
          </cell>
          <cell r="U270">
            <v>1.5</v>
          </cell>
          <cell r="V270">
            <v>1.5</v>
          </cell>
          <cell r="W270">
            <v>1.5</v>
          </cell>
          <cell r="X270">
            <v>1.5</v>
          </cell>
          <cell r="Z270">
            <v>1.5</v>
          </cell>
          <cell r="AA270" t="str">
            <v>F</v>
          </cell>
          <cell r="AB270">
            <v>1.5</v>
          </cell>
          <cell r="AD270">
            <v>1.5</v>
          </cell>
          <cell r="AE270" t="str">
            <v>Ô</v>
          </cell>
          <cell r="AG270" t="str">
            <v>Ô</v>
          </cell>
          <cell r="AH270">
            <v>25</v>
          </cell>
        </row>
        <row r="271">
          <cell r="C271">
            <v>50455</v>
          </cell>
          <cell r="E271">
            <v>44427</v>
          </cell>
          <cell r="F271" t="str">
            <v>LT</v>
          </cell>
          <cell r="G271" t="str">
            <v>LT</v>
          </cell>
          <cell r="H271" t="str">
            <v>LT</v>
          </cell>
          <cell r="I271" t="str">
            <v>LT</v>
          </cell>
          <cell r="J271" t="str">
            <v>F</v>
          </cell>
          <cell r="L271">
            <v>1</v>
          </cell>
          <cell r="M271">
            <v>2</v>
          </cell>
          <cell r="N271">
            <v>2</v>
          </cell>
          <cell r="O271">
            <v>2</v>
          </cell>
          <cell r="P271">
            <v>2</v>
          </cell>
          <cell r="Q271">
            <v>2</v>
          </cell>
          <cell r="S271">
            <v>2</v>
          </cell>
          <cell r="T271">
            <v>1.5</v>
          </cell>
          <cell r="U271">
            <v>1.5</v>
          </cell>
          <cell r="V271">
            <v>1.5</v>
          </cell>
          <cell r="W271">
            <v>1.5</v>
          </cell>
          <cell r="X271">
            <v>1.5</v>
          </cell>
          <cell r="Z271">
            <v>1.5</v>
          </cell>
          <cell r="AA271">
            <v>1.5</v>
          </cell>
          <cell r="AB271">
            <v>1.5</v>
          </cell>
          <cell r="AD271">
            <v>1.5</v>
          </cell>
          <cell r="AE271">
            <v>1.5</v>
          </cell>
          <cell r="AG271">
            <v>2</v>
          </cell>
          <cell r="AH271">
            <v>30</v>
          </cell>
        </row>
        <row r="272">
          <cell r="C272">
            <v>50486</v>
          </cell>
          <cell r="E272">
            <v>44435</v>
          </cell>
          <cell r="F272" t="str">
            <v>LT</v>
          </cell>
          <cell r="G272" t="str">
            <v>LT</v>
          </cell>
          <cell r="H272" t="str">
            <v>LT</v>
          </cell>
          <cell r="I272" t="str">
            <v>LT</v>
          </cell>
          <cell r="J272" t="str">
            <v>F</v>
          </cell>
          <cell r="L272">
            <v>1</v>
          </cell>
          <cell r="M272">
            <v>2</v>
          </cell>
          <cell r="N272">
            <v>2</v>
          </cell>
          <cell r="O272">
            <v>2</v>
          </cell>
          <cell r="P272">
            <v>2</v>
          </cell>
          <cell r="Q272">
            <v>2</v>
          </cell>
          <cell r="S272">
            <v>2</v>
          </cell>
          <cell r="T272" t="str">
            <v>F</v>
          </cell>
          <cell r="U272">
            <v>1.5</v>
          </cell>
          <cell r="V272">
            <v>1.5</v>
          </cell>
          <cell r="W272">
            <v>1.5</v>
          </cell>
          <cell r="X272">
            <v>1.5</v>
          </cell>
          <cell r="Z272">
            <v>1.5</v>
          </cell>
          <cell r="AA272">
            <v>1.5</v>
          </cell>
          <cell r="AB272">
            <v>1.5</v>
          </cell>
          <cell r="AD272">
            <v>1.5</v>
          </cell>
          <cell r="AE272">
            <v>1.5</v>
          </cell>
          <cell r="AG272">
            <v>2</v>
          </cell>
          <cell r="AH272">
            <v>28.5</v>
          </cell>
        </row>
        <row r="273">
          <cell r="C273">
            <v>50518</v>
          </cell>
          <cell r="E273">
            <v>44446</v>
          </cell>
          <cell r="F273" t="str">
            <v>LT</v>
          </cell>
          <cell r="G273" t="str">
            <v>LT</v>
          </cell>
          <cell r="H273" t="str">
            <v>LT</v>
          </cell>
          <cell r="I273" t="str">
            <v>LT</v>
          </cell>
          <cell r="J273" t="str">
            <v>F</v>
          </cell>
          <cell r="L273">
            <v>1</v>
          </cell>
          <cell r="M273">
            <v>2</v>
          </cell>
          <cell r="N273">
            <v>2</v>
          </cell>
          <cell r="O273">
            <v>2</v>
          </cell>
          <cell r="P273">
            <v>2</v>
          </cell>
          <cell r="Q273">
            <v>2</v>
          </cell>
          <cell r="S273">
            <v>2</v>
          </cell>
          <cell r="T273">
            <v>1.5</v>
          </cell>
          <cell r="U273">
            <v>1.5</v>
          </cell>
          <cell r="V273">
            <v>1.5</v>
          </cell>
          <cell r="W273">
            <v>1.5</v>
          </cell>
          <cell r="X273">
            <v>1.5</v>
          </cell>
          <cell r="Z273">
            <v>1.5</v>
          </cell>
          <cell r="AA273">
            <v>1.5</v>
          </cell>
          <cell r="AB273">
            <v>1.5</v>
          </cell>
          <cell r="AD273">
            <v>1.5</v>
          </cell>
          <cell r="AE273">
            <v>1.5</v>
          </cell>
          <cell r="AG273">
            <v>2</v>
          </cell>
          <cell r="AH273">
            <v>30</v>
          </cell>
        </row>
        <row r="274">
          <cell r="C274">
            <v>50544</v>
          </cell>
          <cell r="E274">
            <v>44455</v>
          </cell>
          <cell r="F274" t="str">
            <v>LT</v>
          </cell>
          <cell r="G274" t="str">
            <v>LT</v>
          </cell>
          <cell r="H274" t="str">
            <v>LT</v>
          </cell>
          <cell r="I274" t="str">
            <v>LT</v>
          </cell>
          <cell r="J274" t="str">
            <v>F</v>
          </cell>
          <cell r="L274">
            <v>1</v>
          </cell>
          <cell r="M274">
            <v>2</v>
          </cell>
          <cell r="N274">
            <v>2</v>
          </cell>
          <cell r="O274">
            <v>2</v>
          </cell>
          <cell r="P274">
            <v>2</v>
          </cell>
          <cell r="Q274">
            <v>2</v>
          </cell>
          <cell r="S274">
            <v>2</v>
          </cell>
          <cell r="T274">
            <v>1.5</v>
          </cell>
          <cell r="U274">
            <v>1.5</v>
          </cell>
          <cell r="V274">
            <v>1.5</v>
          </cell>
          <cell r="W274">
            <v>1.5</v>
          </cell>
          <cell r="X274" t="str">
            <v>F</v>
          </cell>
          <cell r="Z274">
            <v>1.5</v>
          </cell>
          <cell r="AA274">
            <v>1.5</v>
          </cell>
          <cell r="AB274">
            <v>1.5</v>
          </cell>
          <cell r="AD274" t="str">
            <v>Ô</v>
          </cell>
          <cell r="AE274" t="str">
            <v>Ô</v>
          </cell>
          <cell r="AG274" t="str">
            <v>Ô</v>
          </cell>
          <cell r="AH274">
            <v>23.5</v>
          </cell>
        </row>
        <row r="275">
          <cell r="C275">
            <v>50640</v>
          </cell>
          <cell r="E275">
            <v>44491</v>
          </cell>
          <cell r="F275" t="str">
            <v>LT</v>
          </cell>
          <cell r="G275" t="str">
            <v>LT</v>
          </cell>
          <cell r="H275" t="str">
            <v>LT</v>
          </cell>
          <cell r="I275" t="str">
            <v>LT</v>
          </cell>
          <cell r="J275" t="str">
            <v>F</v>
          </cell>
          <cell r="L275">
            <v>1</v>
          </cell>
          <cell r="M275">
            <v>2</v>
          </cell>
          <cell r="N275">
            <v>2</v>
          </cell>
          <cell r="O275">
            <v>2</v>
          </cell>
          <cell r="P275">
            <v>2</v>
          </cell>
          <cell r="Q275">
            <v>2</v>
          </cell>
          <cell r="S275">
            <v>2</v>
          </cell>
          <cell r="T275">
            <v>1.5</v>
          </cell>
          <cell r="U275">
            <v>1.5</v>
          </cell>
          <cell r="V275">
            <v>1.5</v>
          </cell>
          <cell r="W275">
            <v>1.5</v>
          </cell>
          <cell r="X275">
            <v>1.5</v>
          </cell>
          <cell r="Z275">
            <v>0</v>
          </cell>
          <cell r="AA275">
            <v>1.5</v>
          </cell>
          <cell r="AB275">
            <v>1.5</v>
          </cell>
          <cell r="AD275">
            <v>1.5</v>
          </cell>
          <cell r="AE275">
            <v>1.5</v>
          </cell>
          <cell r="AG275">
            <v>2</v>
          </cell>
          <cell r="AH275">
            <v>28.5</v>
          </cell>
        </row>
        <row r="276">
          <cell r="C276">
            <v>50688</v>
          </cell>
          <cell r="E276">
            <v>44504</v>
          </cell>
          <cell r="F276" t="str">
            <v>LT</v>
          </cell>
          <cell r="G276" t="str">
            <v>LT</v>
          </cell>
          <cell r="H276" t="str">
            <v>LT</v>
          </cell>
          <cell r="I276" t="str">
            <v>LT</v>
          </cell>
          <cell r="J276" t="str">
            <v>F</v>
          </cell>
          <cell r="L276">
            <v>1</v>
          </cell>
          <cell r="M276">
            <v>2</v>
          </cell>
          <cell r="N276">
            <v>2</v>
          </cell>
          <cell r="O276">
            <v>2</v>
          </cell>
          <cell r="P276">
            <v>2</v>
          </cell>
          <cell r="Q276">
            <v>2</v>
          </cell>
          <cell r="S276">
            <v>2</v>
          </cell>
          <cell r="T276">
            <v>1.5</v>
          </cell>
          <cell r="U276">
            <v>1.5</v>
          </cell>
          <cell r="V276">
            <v>1.5</v>
          </cell>
          <cell r="W276">
            <v>1.5</v>
          </cell>
          <cell r="X276">
            <v>1.5</v>
          </cell>
          <cell r="Z276">
            <v>1.5</v>
          </cell>
          <cell r="AA276">
            <v>1.5</v>
          </cell>
          <cell r="AB276">
            <v>1.5</v>
          </cell>
          <cell r="AD276">
            <v>1.5</v>
          </cell>
          <cell r="AE276">
            <v>1.5</v>
          </cell>
          <cell r="AG276" t="str">
            <v>Ô</v>
          </cell>
          <cell r="AH276">
            <v>28</v>
          </cell>
        </row>
        <row r="277">
          <cell r="C277">
            <v>50689</v>
          </cell>
          <cell r="E277">
            <v>44504</v>
          </cell>
          <cell r="F277" t="str">
            <v>LT</v>
          </cell>
          <cell r="G277" t="str">
            <v>LT</v>
          </cell>
          <cell r="H277" t="str">
            <v>LT</v>
          </cell>
          <cell r="I277" t="str">
            <v>LT</v>
          </cell>
          <cell r="J277" t="str">
            <v>F</v>
          </cell>
          <cell r="L277">
            <v>1</v>
          </cell>
          <cell r="M277">
            <v>2</v>
          </cell>
          <cell r="N277">
            <v>2</v>
          </cell>
          <cell r="O277">
            <v>2</v>
          </cell>
          <cell r="P277">
            <v>2</v>
          </cell>
          <cell r="Q277">
            <v>2</v>
          </cell>
          <cell r="S277">
            <v>2</v>
          </cell>
          <cell r="T277">
            <v>1.5</v>
          </cell>
          <cell r="U277">
            <v>1.5</v>
          </cell>
          <cell r="V277">
            <v>1.5</v>
          </cell>
          <cell r="W277">
            <v>1.5</v>
          </cell>
          <cell r="X277">
            <v>1.5</v>
          </cell>
          <cell r="Z277">
            <v>1.5</v>
          </cell>
          <cell r="AA277">
            <v>1.5</v>
          </cell>
          <cell r="AB277">
            <v>1.5</v>
          </cell>
          <cell r="AD277">
            <v>1.5</v>
          </cell>
          <cell r="AE277">
            <v>1.5</v>
          </cell>
          <cell r="AG277">
            <v>2</v>
          </cell>
          <cell r="AH277">
            <v>30</v>
          </cell>
        </row>
        <row r="278">
          <cell r="C278">
            <v>50725</v>
          </cell>
          <cell r="E278">
            <v>44531</v>
          </cell>
          <cell r="F278" t="str">
            <v>LT</v>
          </cell>
          <cell r="G278" t="str">
            <v>LT</v>
          </cell>
          <cell r="H278" t="str">
            <v>LT</v>
          </cell>
          <cell r="I278" t="str">
            <v>LT</v>
          </cell>
          <cell r="J278" t="str">
            <v>Ro</v>
          </cell>
          <cell r="L278">
            <v>1</v>
          </cell>
          <cell r="M278">
            <v>2</v>
          </cell>
          <cell r="N278">
            <v>2</v>
          </cell>
          <cell r="O278">
            <v>2</v>
          </cell>
          <cell r="P278">
            <v>2</v>
          </cell>
          <cell r="Q278">
            <v>2</v>
          </cell>
          <cell r="S278">
            <v>2</v>
          </cell>
          <cell r="T278">
            <v>1.5</v>
          </cell>
          <cell r="U278">
            <v>1.5</v>
          </cell>
          <cell r="V278">
            <v>1.5</v>
          </cell>
          <cell r="W278">
            <v>1.5</v>
          </cell>
          <cell r="X278">
            <v>1.5</v>
          </cell>
          <cell r="Z278">
            <v>1.5</v>
          </cell>
          <cell r="AA278">
            <v>1.5</v>
          </cell>
          <cell r="AB278">
            <v>1.5</v>
          </cell>
          <cell r="AD278">
            <v>1.5</v>
          </cell>
          <cell r="AE278">
            <v>1.5</v>
          </cell>
          <cell r="AG278">
            <v>2</v>
          </cell>
          <cell r="AH278">
            <v>30</v>
          </cell>
        </row>
        <row r="279">
          <cell r="C279">
            <v>50071</v>
          </cell>
          <cell r="E279">
            <v>43994</v>
          </cell>
          <cell r="F279" t="str">
            <v>Lt</v>
          </cell>
          <cell r="G279" t="str">
            <v>Lt</v>
          </cell>
          <cell r="H279" t="str">
            <v>Lt</v>
          </cell>
          <cell r="I279" t="str">
            <v>Lt</v>
          </cell>
          <cell r="J279" t="str">
            <v>F</v>
          </cell>
          <cell r="L279">
            <v>1</v>
          </cell>
          <cell r="M279">
            <v>2</v>
          </cell>
          <cell r="N279">
            <v>2</v>
          </cell>
          <cell r="O279">
            <v>2</v>
          </cell>
          <cell r="P279">
            <v>2</v>
          </cell>
          <cell r="Q279">
            <v>2</v>
          </cell>
          <cell r="S279">
            <v>2</v>
          </cell>
          <cell r="T279">
            <v>1.5</v>
          </cell>
          <cell r="U279">
            <v>0</v>
          </cell>
          <cell r="V279">
            <v>1.5</v>
          </cell>
          <cell r="W279">
            <v>1.5</v>
          </cell>
          <cell r="X279">
            <v>1.5</v>
          </cell>
          <cell r="Z279">
            <v>1.5</v>
          </cell>
          <cell r="AA279">
            <v>1.5</v>
          </cell>
          <cell r="AB279">
            <v>1.5</v>
          </cell>
          <cell r="AD279">
            <v>1.5</v>
          </cell>
          <cell r="AE279">
            <v>1.5</v>
          </cell>
          <cell r="AG279">
            <v>2</v>
          </cell>
          <cell r="AH279">
            <v>28.5</v>
          </cell>
        </row>
        <row r="280">
          <cell r="C280">
            <v>50107</v>
          </cell>
          <cell r="E280">
            <v>44071</v>
          </cell>
          <cell r="F280" t="str">
            <v>Lt</v>
          </cell>
          <cell r="G280" t="str">
            <v>Lt</v>
          </cell>
          <cell r="H280" t="str">
            <v>Lt</v>
          </cell>
          <cell r="I280" t="str">
            <v>Lt</v>
          </cell>
          <cell r="J280" t="str">
            <v>F</v>
          </cell>
          <cell r="L280">
            <v>1</v>
          </cell>
          <cell r="M280">
            <v>2</v>
          </cell>
          <cell r="N280">
            <v>2</v>
          </cell>
          <cell r="O280">
            <v>2</v>
          </cell>
          <cell r="P280">
            <v>2</v>
          </cell>
          <cell r="Q280">
            <v>2</v>
          </cell>
          <cell r="S280">
            <v>2</v>
          </cell>
          <cell r="T280">
            <v>1.5</v>
          </cell>
          <cell r="U280">
            <v>1.5</v>
          </cell>
          <cell r="V280">
            <v>1.5</v>
          </cell>
          <cell r="W280">
            <v>1.5</v>
          </cell>
          <cell r="X280">
            <v>1.5</v>
          </cell>
          <cell r="Z280">
            <v>1.5</v>
          </cell>
          <cell r="AA280">
            <v>1.5</v>
          </cell>
          <cell r="AB280">
            <v>1.5</v>
          </cell>
          <cell r="AD280">
            <v>1.5</v>
          </cell>
          <cell r="AE280">
            <v>1.5</v>
          </cell>
          <cell r="AG280">
            <v>2</v>
          </cell>
          <cell r="AH280">
            <v>30</v>
          </cell>
        </row>
        <row r="281">
          <cell r="C281">
            <v>50144</v>
          </cell>
          <cell r="E281">
            <v>44144</v>
          </cell>
          <cell r="F281" t="str">
            <v>Lt</v>
          </cell>
          <cell r="G281" t="str">
            <v>Lt</v>
          </cell>
          <cell r="H281" t="str">
            <v>Lt</v>
          </cell>
          <cell r="I281" t="str">
            <v>Lt</v>
          </cell>
          <cell r="J281" t="str">
            <v>F</v>
          </cell>
          <cell r="L281">
            <v>1</v>
          </cell>
          <cell r="M281">
            <v>2</v>
          </cell>
          <cell r="N281">
            <v>2</v>
          </cell>
          <cell r="O281">
            <v>2</v>
          </cell>
          <cell r="P281">
            <v>2</v>
          </cell>
          <cell r="Q281">
            <v>2</v>
          </cell>
          <cell r="S281">
            <v>2</v>
          </cell>
          <cell r="T281">
            <v>1.5</v>
          </cell>
          <cell r="U281">
            <v>1.5</v>
          </cell>
          <cell r="V281">
            <v>1.5</v>
          </cell>
          <cell r="W281">
            <v>1.5</v>
          </cell>
          <cell r="X281">
            <v>1.5</v>
          </cell>
          <cell r="Z281">
            <v>1.5</v>
          </cell>
          <cell r="AA281">
            <v>1.5</v>
          </cell>
          <cell r="AB281">
            <v>1.5</v>
          </cell>
          <cell r="AD281">
            <v>1.5</v>
          </cell>
          <cell r="AE281">
            <v>1.5</v>
          </cell>
          <cell r="AG281" t="str">
            <v>F</v>
          </cell>
          <cell r="AH281">
            <v>28</v>
          </cell>
        </row>
        <row r="282">
          <cell r="C282">
            <v>50147</v>
          </cell>
          <cell r="E282">
            <v>44152</v>
          </cell>
          <cell r="F282" t="str">
            <v>Lt</v>
          </cell>
          <cell r="G282" t="str">
            <v>Lt</v>
          </cell>
          <cell r="H282" t="str">
            <v>Lt</v>
          </cell>
          <cell r="I282" t="str">
            <v>Lt</v>
          </cell>
          <cell r="J282" t="str">
            <v>F</v>
          </cell>
          <cell r="L282">
            <v>1</v>
          </cell>
          <cell r="M282">
            <v>2</v>
          </cell>
          <cell r="N282">
            <v>2</v>
          </cell>
          <cell r="O282">
            <v>2</v>
          </cell>
          <cell r="P282">
            <v>0</v>
          </cell>
          <cell r="Q282">
            <v>2</v>
          </cell>
          <cell r="S282">
            <v>2</v>
          </cell>
          <cell r="T282">
            <v>1.5</v>
          </cell>
          <cell r="U282">
            <v>1.5</v>
          </cell>
          <cell r="V282">
            <v>1.5</v>
          </cell>
          <cell r="W282">
            <v>1.5</v>
          </cell>
          <cell r="X282">
            <v>1.5</v>
          </cell>
          <cell r="Z282">
            <v>1.5</v>
          </cell>
          <cell r="AA282">
            <v>1.5</v>
          </cell>
          <cell r="AB282">
            <v>1.5</v>
          </cell>
          <cell r="AD282" t="str">
            <v>Ô</v>
          </cell>
          <cell r="AE282" t="str">
            <v>Ô</v>
          </cell>
          <cell r="AG282" t="str">
            <v>Ô</v>
          </cell>
          <cell r="AH282">
            <v>23</v>
          </cell>
        </row>
        <row r="283">
          <cell r="C283">
            <v>50153</v>
          </cell>
          <cell r="E283">
            <v>44168</v>
          </cell>
          <cell r="F283" t="str">
            <v>Lt</v>
          </cell>
          <cell r="G283" t="str">
            <v>Lt</v>
          </cell>
          <cell r="H283" t="str">
            <v>Lt</v>
          </cell>
          <cell r="I283" t="str">
            <v>Lt</v>
          </cell>
          <cell r="J283" t="str">
            <v>F</v>
          </cell>
          <cell r="L283">
            <v>1</v>
          </cell>
          <cell r="M283">
            <v>2</v>
          </cell>
          <cell r="N283">
            <v>2</v>
          </cell>
          <cell r="O283">
            <v>2</v>
          </cell>
          <cell r="P283">
            <v>2</v>
          </cell>
          <cell r="Q283">
            <v>2</v>
          </cell>
          <cell r="S283">
            <v>2</v>
          </cell>
          <cell r="T283">
            <v>1.5</v>
          </cell>
          <cell r="U283">
            <v>1.5</v>
          </cell>
          <cell r="V283">
            <v>1.5</v>
          </cell>
          <cell r="W283">
            <v>1.5</v>
          </cell>
          <cell r="X283">
            <v>1.5</v>
          </cell>
          <cell r="Z283">
            <v>1.5</v>
          </cell>
          <cell r="AA283">
            <v>1.5</v>
          </cell>
          <cell r="AB283">
            <v>1.5</v>
          </cell>
          <cell r="AD283">
            <v>1.5</v>
          </cell>
          <cell r="AE283">
            <v>1.5</v>
          </cell>
          <cell r="AG283">
            <v>2</v>
          </cell>
          <cell r="AH283">
            <v>30</v>
          </cell>
        </row>
        <row r="284">
          <cell r="C284">
            <v>50162</v>
          </cell>
          <cell r="E284">
            <v>44247</v>
          </cell>
          <cell r="F284" t="str">
            <v>Lt</v>
          </cell>
          <cell r="G284" t="str">
            <v>Lt</v>
          </cell>
          <cell r="H284" t="str">
            <v>Lt</v>
          </cell>
          <cell r="I284" t="str">
            <v>Lt</v>
          </cell>
          <cell r="J284" t="str">
            <v>F</v>
          </cell>
          <cell r="L284">
            <v>1</v>
          </cell>
          <cell r="M284">
            <v>2</v>
          </cell>
          <cell r="N284">
            <v>2</v>
          </cell>
          <cell r="O284">
            <v>2</v>
          </cell>
          <cell r="P284">
            <v>2</v>
          </cell>
          <cell r="Q284">
            <v>2</v>
          </cell>
          <cell r="S284">
            <v>2</v>
          </cell>
          <cell r="T284">
            <v>1.5</v>
          </cell>
          <cell r="U284">
            <v>1.5</v>
          </cell>
          <cell r="V284">
            <v>1.5</v>
          </cell>
          <cell r="W284">
            <v>1.5</v>
          </cell>
          <cell r="X284">
            <v>1.5</v>
          </cell>
          <cell r="Z284">
            <v>1.5</v>
          </cell>
          <cell r="AA284">
            <v>1.5</v>
          </cell>
          <cell r="AB284">
            <v>1.5</v>
          </cell>
          <cell r="AD284">
            <v>1.5</v>
          </cell>
          <cell r="AE284">
            <v>1.5</v>
          </cell>
          <cell r="AG284">
            <v>2</v>
          </cell>
          <cell r="AH284">
            <v>30</v>
          </cell>
        </row>
        <row r="285">
          <cell r="C285">
            <v>50168</v>
          </cell>
          <cell r="E285">
            <v>44252</v>
          </cell>
          <cell r="F285" t="str">
            <v>Lt</v>
          </cell>
          <cell r="G285" t="str">
            <v>Lt</v>
          </cell>
          <cell r="H285" t="str">
            <v>Lt</v>
          </cell>
          <cell r="I285" t="str">
            <v>Lt</v>
          </cell>
          <cell r="J285" t="str">
            <v>F</v>
          </cell>
          <cell r="L285">
            <v>1</v>
          </cell>
          <cell r="M285">
            <v>2</v>
          </cell>
          <cell r="N285">
            <v>2</v>
          </cell>
          <cell r="O285">
            <v>2</v>
          </cell>
          <cell r="P285">
            <v>2</v>
          </cell>
          <cell r="Q285">
            <v>2</v>
          </cell>
          <cell r="S285">
            <v>2</v>
          </cell>
          <cell r="T285">
            <v>1.5</v>
          </cell>
          <cell r="U285">
            <v>1.5</v>
          </cell>
          <cell r="V285">
            <v>1.5</v>
          </cell>
          <cell r="W285">
            <v>1.5</v>
          </cell>
          <cell r="X285">
            <v>1.5</v>
          </cell>
          <cell r="Z285">
            <v>1.5</v>
          </cell>
          <cell r="AA285">
            <v>1.5</v>
          </cell>
          <cell r="AB285">
            <v>1.5</v>
          </cell>
          <cell r="AD285">
            <v>1.5</v>
          </cell>
          <cell r="AE285">
            <v>1.5</v>
          </cell>
          <cell r="AG285">
            <v>2</v>
          </cell>
          <cell r="AH285">
            <v>30</v>
          </cell>
        </row>
        <row r="286">
          <cell r="C286">
            <v>50346</v>
          </cell>
          <cell r="E286">
            <v>44404</v>
          </cell>
          <cell r="F286" t="str">
            <v>Lt</v>
          </cell>
          <cell r="G286" t="str">
            <v>Lt</v>
          </cell>
          <cell r="H286" t="str">
            <v>Lt</v>
          </cell>
          <cell r="I286" t="str">
            <v>Lt</v>
          </cell>
          <cell r="J286" t="str">
            <v>F</v>
          </cell>
          <cell r="L286">
            <v>1</v>
          </cell>
          <cell r="M286">
            <v>2</v>
          </cell>
          <cell r="N286">
            <v>2</v>
          </cell>
          <cell r="O286">
            <v>2</v>
          </cell>
          <cell r="P286">
            <v>2</v>
          </cell>
          <cell r="Q286">
            <v>2</v>
          </cell>
          <cell r="S286">
            <v>2</v>
          </cell>
          <cell r="T286">
            <v>1.5</v>
          </cell>
          <cell r="U286">
            <v>1.5</v>
          </cell>
          <cell r="V286">
            <v>1.5</v>
          </cell>
          <cell r="W286">
            <v>1.5</v>
          </cell>
          <cell r="X286">
            <v>1.5</v>
          </cell>
          <cell r="Z286">
            <v>1.5</v>
          </cell>
          <cell r="AA286">
            <v>1.5</v>
          </cell>
          <cell r="AB286">
            <v>1.5</v>
          </cell>
          <cell r="AD286">
            <v>0</v>
          </cell>
          <cell r="AE286">
            <v>0</v>
          </cell>
          <cell r="AG286">
            <v>0</v>
          </cell>
          <cell r="AH286">
            <v>25</v>
          </cell>
        </row>
        <row r="287">
          <cell r="C287">
            <v>50366</v>
          </cell>
          <cell r="E287">
            <v>44406</v>
          </cell>
          <cell r="F287" t="str">
            <v>Lt</v>
          </cell>
          <cell r="G287" t="str">
            <v>Lt</v>
          </cell>
          <cell r="H287" t="str">
            <v>Lt</v>
          </cell>
          <cell r="I287" t="str">
            <v>Lt</v>
          </cell>
          <cell r="J287" t="str">
            <v>F</v>
          </cell>
          <cell r="L287">
            <v>1</v>
          </cell>
          <cell r="M287">
            <v>2</v>
          </cell>
          <cell r="N287">
            <v>2</v>
          </cell>
          <cell r="O287">
            <v>2</v>
          </cell>
          <cell r="P287">
            <v>2</v>
          </cell>
          <cell r="Q287">
            <v>2</v>
          </cell>
          <cell r="S287">
            <v>2</v>
          </cell>
          <cell r="T287">
            <v>1.5</v>
          </cell>
          <cell r="U287">
            <v>1.5</v>
          </cell>
          <cell r="V287">
            <v>1.5</v>
          </cell>
          <cell r="W287">
            <v>1.5</v>
          </cell>
          <cell r="X287">
            <v>1.5</v>
          </cell>
          <cell r="Z287">
            <v>1.5</v>
          </cell>
          <cell r="AA287">
            <v>1.5</v>
          </cell>
          <cell r="AB287">
            <v>1.5</v>
          </cell>
          <cell r="AD287">
            <v>1.5</v>
          </cell>
          <cell r="AE287">
            <v>1.5</v>
          </cell>
          <cell r="AG287">
            <v>2</v>
          </cell>
          <cell r="AH287">
            <v>30</v>
          </cell>
        </row>
        <row r="288">
          <cell r="C288">
            <v>50377</v>
          </cell>
          <cell r="E288">
            <v>44410</v>
          </cell>
          <cell r="F288" t="str">
            <v>Lt</v>
          </cell>
          <cell r="G288" t="str">
            <v>Lt</v>
          </cell>
          <cell r="H288" t="str">
            <v>Lt</v>
          </cell>
          <cell r="I288" t="str">
            <v>Lt</v>
          </cell>
          <cell r="J288" t="str">
            <v>F</v>
          </cell>
          <cell r="L288">
            <v>1</v>
          </cell>
          <cell r="M288">
            <v>2</v>
          </cell>
          <cell r="N288">
            <v>2</v>
          </cell>
          <cell r="O288">
            <v>2</v>
          </cell>
          <cell r="P288">
            <v>2</v>
          </cell>
          <cell r="Q288">
            <v>2</v>
          </cell>
          <cell r="S288">
            <v>2</v>
          </cell>
          <cell r="T288">
            <v>1.5</v>
          </cell>
          <cell r="U288">
            <v>1.5</v>
          </cell>
          <cell r="V288">
            <v>1.5</v>
          </cell>
          <cell r="W288">
            <v>1.5</v>
          </cell>
          <cell r="X288">
            <v>1.5</v>
          </cell>
          <cell r="Z288">
            <v>1.5</v>
          </cell>
          <cell r="AA288">
            <v>1.5</v>
          </cell>
          <cell r="AB288">
            <v>1.5</v>
          </cell>
          <cell r="AD288">
            <v>1.5</v>
          </cell>
          <cell r="AE288">
            <v>1.5</v>
          </cell>
          <cell r="AG288">
            <v>2</v>
          </cell>
          <cell r="AH288">
            <v>30</v>
          </cell>
        </row>
        <row r="289">
          <cell r="C289">
            <v>50380</v>
          </cell>
          <cell r="E289">
            <v>44410</v>
          </cell>
          <cell r="F289" t="str">
            <v>Lt</v>
          </cell>
          <cell r="G289" t="str">
            <v>Lt</v>
          </cell>
          <cell r="H289" t="str">
            <v>Lt</v>
          </cell>
          <cell r="I289" t="str">
            <v>Lt</v>
          </cell>
          <cell r="J289" t="str">
            <v>F</v>
          </cell>
          <cell r="L289">
            <v>1</v>
          </cell>
          <cell r="M289">
            <v>2</v>
          </cell>
          <cell r="N289">
            <v>2</v>
          </cell>
          <cell r="O289">
            <v>2</v>
          </cell>
          <cell r="P289">
            <v>2</v>
          </cell>
          <cell r="Q289">
            <v>2</v>
          </cell>
          <cell r="S289">
            <v>2</v>
          </cell>
          <cell r="T289">
            <v>1.5</v>
          </cell>
          <cell r="U289">
            <v>1.5</v>
          </cell>
          <cell r="V289">
            <v>1.5</v>
          </cell>
          <cell r="W289">
            <v>1.5</v>
          </cell>
          <cell r="X289">
            <v>1.5</v>
          </cell>
          <cell r="Z289">
            <v>1.5</v>
          </cell>
          <cell r="AA289">
            <v>1.5</v>
          </cell>
          <cell r="AB289">
            <v>1.5</v>
          </cell>
          <cell r="AD289">
            <v>1.5</v>
          </cell>
          <cell r="AE289">
            <v>1.5</v>
          </cell>
          <cell r="AG289">
            <v>2</v>
          </cell>
          <cell r="AH289">
            <v>30</v>
          </cell>
        </row>
        <row r="290">
          <cell r="C290">
            <v>50381</v>
          </cell>
          <cell r="E290">
            <v>44410</v>
          </cell>
          <cell r="F290" t="str">
            <v>Lt</v>
          </cell>
          <cell r="G290" t="str">
            <v>Lt</v>
          </cell>
          <cell r="H290" t="str">
            <v>Lt</v>
          </cell>
          <cell r="I290" t="str">
            <v>Lt</v>
          </cell>
          <cell r="J290" t="str">
            <v>F</v>
          </cell>
          <cell r="L290">
            <v>1</v>
          </cell>
          <cell r="M290">
            <v>2</v>
          </cell>
          <cell r="N290">
            <v>2</v>
          </cell>
          <cell r="O290">
            <v>2</v>
          </cell>
          <cell r="P290">
            <v>2</v>
          </cell>
          <cell r="Q290">
            <v>2</v>
          </cell>
          <cell r="S290">
            <v>2</v>
          </cell>
          <cell r="T290">
            <v>1.5</v>
          </cell>
          <cell r="U290">
            <v>1.5</v>
          </cell>
          <cell r="V290">
            <v>1.5</v>
          </cell>
          <cell r="W290">
            <v>1.5</v>
          </cell>
          <cell r="X290">
            <v>1.5</v>
          </cell>
          <cell r="Z290">
            <v>1.5</v>
          </cell>
          <cell r="AA290">
            <v>1.5</v>
          </cell>
          <cell r="AB290">
            <v>1.5</v>
          </cell>
          <cell r="AD290">
            <v>1.5</v>
          </cell>
          <cell r="AE290">
            <v>1.5</v>
          </cell>
          <cell r="AG290">
            <v>2</v>
          </cell>
          <cell r="AH290">
            <v>30</v>
          </cell>
        </row>
        <row r="291">
          <cell r="C291">
            <v>50383</v>
          </cell>
          <cell r="E291">
            <v>44411</v>
          </cell>
          <cell r="F291" t="str">
            <v>Lt</v>
          </cell>
          <cell r="G291" t="str">
            <v>Lt</v>
          </cell>
          <cell r="H291" t="str">
            <v>Lt</v>
          </cell>
          <cell r="I291" t="str">
            <v>Lt</v>
          </cell>
          <cell r="J291" t="str">
            <v>F</v>
          </cell>
          <cell r="L291">
            <v>1</v>
          </cell>
          <cell r="M291">
            <v>2</v>
          </cell>
          <cell r="N291">
            <v>2</v>
          </cell>
          <cell r="O291">
            <v>2</v>
          </cell>
          <cell r="P291">
            <v>2</v>
          </cell>
          <cell r="Q291">
            <v>2</v>
          </cell>
          <cell r="S291">
            <v>0</v>
          </cell>
          <cell r="T291">
            <v>1.5</v>
          </cell>
          <cell r="U291">
            <v>1.5</v>
          </cell>
          <cell r="V291">
            <v>1.5</v>
          </cell>
          <cell r="W291">
            <v>1.5</v>
          </cell>
          <cell r="X291">
            <v>1.5</v>
          </cell>
          <cell r="Z291">
            <v>1.5</v>
          </cell>
          <cell r="AA291">
            <v>1.5</v>
          </cell>
          <cell r="AB291">
            <v>1.5</v>
          </cell>
          <cell r="AD291">
            <v>1.5</v>
          </cell>
          <cell r="AE291">
            <v>1.5</v>
          </cell>
          <cell r="AG291">
            <v>2</v>
          </cell>
          <cell r="AH291">
            <v>28</v>
          </cell>
        </row>
        <row r="292">
          <cell r="C292">
            <v>50392</v>
          </cell>
          <cell r="E292">
            <v>44413</v>
          </cell>
          <cell r="F292" t="str">
            <v>Lt</v>
          </cell>
          <cell r="G292" t="str">
            <v>Lt</v>
          </cell>
          <cell r="H292" t="str">
            <v>Lt</v>
          </cell>
          <cell r="I292" t="str">
            <v>Lt</v>
          </cell>
          <cell r="J292" t="str">
            <v>F</v>
          </cell>
          <cell r="L292">
            <v>1</v>
          </cell>
          <cell r="M292">
            <v>2</v>
          </cell>
          <cell r="N292">
            <v>2</v>
          </cell>
          <cell r="O292">
            <v>2</v>
          </cell>
          <cell r="P292">
            <v>2</v>
          </cell>
          <cell r="Q292">
            <v>2</v>
          </cell>
          <cell r="S292">
            <v>2</v>
          </cell>
          <cell r="T292">
            <v>1.5</v>
          </cell>
          <cell r="U292">
            <v>1.5</v>
          </cell>
          <cell r="V292">
            <v>1.5</v>
          </cell>
          <cell r="W292">
            <v>1.5</v>
          </cell>
          <cell r="X292">
            <v>1.5</v>
          </cell>
          <cell r="Z292">
            <v>1.5</v>
          </cell>
          <cell r="AA292">
            <v>1.5</v>
          </cell>
          <cell r="AB292">
            <v>1.5</v>
          </cell>
          <cell r="AD292">
            <v>1.5</v>
          </cell>
          <cell r="AE292">
            <v>1.5</v>
          </cell>
          <cell r="AG292">
            <v>2</v>
          </cell>
          <cell r="AH292">
            <v>30</v>
          </cell>
        </row>
        <row r="293">
          <cell r="C293">
            <v>50642</v>
          </cell>
          <cell r="E293">
            <v>44403</v>
          </cell>
          <cell r="F293" t="str">
            <v>Lt</v>
          </cell>
          <cell r="G293" t="str">
            <v>Lt</v>
          </cell>
          <cell r="H293" t="str">
            <v>Lt</v>
          </cell>
          <cell r="I293" t="str">
            <v>Lt</v>
          </cell>
          <cell r="J293" t="str">
            <v>F</v>
          </cell>
          <cell r="L293">
            <v>1</v>
          </cell>
          <cell r="M293">
            <v>2</v>
          </cell>
          <cell r="N293">
            <v>2</v>
          </cell>
          <cell r="O293">
            <v>2</v>
          </cell>
          <cell r="P293">
            <v>2</v>
          </cell>
          <cell r="Q293">
            <v>2</v>
          </cell>
          <cell r="S293">
            <v>2</v>
          </cell>
          <cell r="T293">
            <v>1.5</v>
          </cell>
          <cell r="U293">
            <v>1.5</v>
          </cell>
          <cell r="V293">
            <v>1.5</v>
          </cell>
          <cell r="W293">
            <v>1.5</v>
          </cell>
          <cell r="X293">
            <v>1.5</v>
          </cell>
          <cell r="Z293">
            <v>1.5</v>
          </cell>
          <cell r="AA293">
            <v>1.5</v>
          </cell>
          <cell r="AB293">
            <v>1.5</v>
          </cell>
          <cell r="AD293">
            <v>1.5</v>
          </cell>
          <cell r="AE293">
            <v>1.5</v>
          </cell>
          <cell r="AG293">
            <v>2</v>
          </cell>
          <cell r="AH293">
            <v>30</v>
          </cell>
        </row>
        <row r="294">
          <cell r="C294">
            <v>50791</v>
          </cell>
          <cell r="E294">
            <v>44606</v>
          </cell>
          <cell r="S294">
            <v>2</v>
          </cell>
          <cell r="T294">
            <v>1.5</v>
          </cell>
          <cell r="U294">
            <v>1.5</v>
          </cell>
          <cell r="V294">
            <v>1.5</v>
          </cell>
          <cell r="W294">
            <v>1.5</v>
          </cell>
          <cell r="X294">
            <v>1.5</v>
          </cell>
          <cell r="Z294">
            <v>1.5</v>
          </cell>
          <cell r="AA294">
            <v>1.5</v>
          </cell>
          <cell r="AB294">
            <v>1.5</v>
          </cell>
          <cell r="AD294">
            <v>1.5</v>
          </cell>
          <cell r="AE294" t="str">
            <v>Ro</v>
          </cell>
          <cell r="AG294">
            <v>2</v>
          </cell>
          <cell r="AH294">
            <v>17.5</v>
          </cell>
        </row>
        <row r="295">
          <cell r="C295">
            <v>10049</v>
          </cell>
          <cell r="E295">
            <v>44445</v>
          </cell>
          <cell r="F295" t="str">
            <v>Lt</v>
          </cell>
          <cell r="G295" t="str">
            <v>Lt</v>
          </cell>
          <cell r="H295" t="str">
            <v>Lt</v>
          </cell>
          <cell r="I295" t="str">
            <v>Lt</v>
          </cell>
          <cell r="J295" t="str">
            <v>Ro</v>
          </cell>
          <cell r="L295">
            <v>1</v>
          </cell>
          <cell r="M295">
            <v>2</v>
          </cell>
          <cell r="N295">
            <v>2</v>
          </cell>
          <cell r="O295">
            <v>2</v>
          </cell>
          <cell r="P295">
            <v>2</v>
          </cell>
          <cell r="Q295">
            <v>2</v>
          </cell>
          <cell r="S295">
            <v>2</v>
          </cell>
          <cell r="T295">
            <v>1.5</v>
          </cell>
          <cell r="U295">
            <v>1.5</v>
          </cell>
          <cell r="V295">
            <v>1.5</v>
          </cell>
          <cell r="W295">
            <v>1.5</v>
          </cell>
          <cell r="X295">
            <v>1.5</v>
          </cell>
          <cell r="Z295">
            <v>1.5</v>
          </cell>
          <cell r="AA295">
            <v>1.5</v>
          </cell>
          <cell r="AB295">
            <v>1.5</v>
          </cell>
          <cell r="AD295">
            <v>1.5</v>
          </cell>
          <cell r="AE295">
            <v>1.5</v>
          </cell>
          <cell r="AG295">
            <v>2</v>
          </cell>
          <cell r="AH295">
            <v>30</v>
          </cell>
        </row>
        <row r="296">
          <cell r="C296">
            <v>50359</v>
          </cell>
          <cell r="E296" t="e">
            <v>#N/A</v>
          </cell>
          <cell r="F296" t="str">
            <v>Lt</v>
          </cell>
          <cell r="G296" t="str">
            <v>Lt</v>
          </cell>
          <cell r="H296" t="str">
            <v>Lt</v>
          </cell>
          <cell r="I296" t="str">
            <v>Lt</v>
          </cell>
          <cell r="J296" t="str">
            <v>F</v>
          </cell>
          <cell r="L296">
            <v>1</v>
          </cell>
          <cell r="M296">
            <v>2</v>
          </cell>
          <cell r="N296">
            <v>2</v>
          </cell>
          <cell r="O296">
            <v>2</v>
          </cell>
          <cell r="P296">
            <v>2</v>
          </cell>
          <cell r="Q296">
            <v>2</v>
          </cell>
          <cell r="S296">
            <v>2</v>
          </cell>
          <cell r="T296">
            <v>1.5</v>
          </cell>
          <cell r="U296">
            <v>1.5</v>
          </cell>
          <cell r="V296">
            <v>1.5</v>
          </cell>
          <cell r="W296">
            <v>1.5</v>
          </cell>
          <cell r="X296">
            <v>1.5</v>
          </cell>
          <cell r="Z296">
            <v>1.5</v>
          </cell>
          <cell r="AA296">
            <v>1.5</v>
          </cell>
          <cell r="AB296">
            <v>1.5</v>
          </cell>
          <cell r="AD296">
            <v>1.5</v>
          </cell>
          <cell r="AE296">
            <v>1.5</v>
          </cell>
          <cell r="AG296">
            <v>2</v>
          </cell>
          <cell r="AH296">
            <v>30</v>
          </cell>
        </row>
        <row r="297">
          <cell r="C297">
            <v>50010</v>
          </cell>
          <cell r="E297">
            <v>43983</v>
          </cell>
          <cell r="F297" t="str">
            <v>Lt</v>
          </cell>
          <cell r="G297" t="str">
            <v>Lt</v>
          </cell>
          <cell r="H297" t="str">
            <v>Lt</v>
          </cell>
          <cell r="I297" t="str">
            <v>Lt</v>
          </cell>
          <cell r="J297" t="str">
            <v>F</v>
          </cell>
          <cell r="L297">
            <v>1</v>
          </cell>
          <cell r="M297">
            <v>2</v>
          </cell>
          <cell r="N297">
            <v>2</v>
          </cell>
          <cell r="O297">
            <v>2</v>
          </cell>
          <cell r="P297">
            <v>2</v>
          </cell>
          <cell r="Q297">
            <v>2</v>
          </cell>
          <cell r="S297">
            <v>2</v>
          </cell>
          <cell r="T297">
            <v>1.5</v>
          </cell>
          <cell r="U297">
            <v>1.5</v>
          </cell>
          <cell r="V297">
            <v>1.5</v>
          </cell>
          <cell r="W297">
            <v>1.5</v>
          </cell>
          <cell r="X297">
            <v>1.5</v>
          </cell>
          <cell r="Z297" t="str">
            <v>ô</v>
          </cell>
          <cell r="AA297" t="str">
            <v>ô</v>
          </cell>
          <cell r="AB297" t="str">
            <v>ô</v>
          </cell>
          <cell r="AD297" t="str">
            <v>ô</v>
          </cell>
          <cell r="AE297" t="str">
            <v>ô</v>
          </cell>
          <cell r="AG297" t="str">
            <v>ô</v>
          </cell>
          <cell r="AH297">
            <v>20.5</v>
          </cell>
        </row>
        <row r="298">
          <cell r="C298">
            <v>50016</v>
          </cell>
          <cell r="E298">
            <v>43983</v>
          </cell>
          <cell r="F298" t="str">
            <v>Lt</v>
          </cell>
          <cell r="G298" t="str">
            <v>Lt</v>
          </cell>
          <cell r="H298" t="str">
            <v>Lt</v>
          </cell>
          <cell r="I298" t="str">
            <v>Lt</v>
          </cell>
          <cell r="J298" t="str">
            <v>F</v>
          </cell>
          <cell r="L298">
            <v>1</v>
          </cell>
          <cell r="M298">
            <v>2</v>
          </cell>
          <cell r="N298">
            <v>2</v>
          </cell>
          <cell r="O298">
            <v>2</v>
          </cell>
          <cell r="P298">
            <v>2</v>
          </cell>
          <cell r="Q298">
            <v>2</v>
          </cell>
          <cell r="S298">
            <v>2</v>
          </cell>
          <cell r="T298">
            <v>1.5</v>
          </cell>
          <cell r="U298">
            <v>1.5</v>
          </cell>
          <cell r="V298">
            <v>1.5</v>
          </cell>
          <cell r="W298">
            <v>1.5</v>
          </cell>
          <cell r="X298">
            <v>1.5</v>
          </cell>
          <cell r="Z298">
            <v>1.5</v>
          </cell>
          <cell r="AA298">
            <v>1.5</v>
          </cell>
          <cell r="AB298">
            <v>1.5</v>
          </cell>
          <cell r="AD298">
            <v>1.5</v>
          </cell>
          <cell r="AE298">
            <v>1.5</v>
          </cell>
          <cell r="AG298">
            <v>2</v>
          </cell>
          <cell r="AH298">
            <v>30</v>
          </cell>
        </row>
        <row r="299">
          <cell r="C299">
            <v>50044</v>
          </cell>
          <cell r="E299">
            <v>43983</v>
          </cell>
          <cell r="F299" t="str">
            <v>Lt</v>
          </cell>
          <cell r="G299" t="str">
            <v>Lt</v>
          </cell>
          <cell r="H299" t="str">
            <v>Lt</v>
          </cell>
          <cell r="I299" t="str">
            <v>Lt</v>
          </cell>
          <cell r="J299" t="str">
            <v>F</v>
          </cell>
          <cell r="L299">
            <v>1</v>
          </cell>
          <cell r="M299">
            <v>2</v>
          </cell>
          <cell r="N299">
            <v>2</v>
          </cell>
          <cell r="O299">
            <v>2</v>
          </cell>
          <cell r="P299">
            <v>2</v>
          </cell>
          <cell r="Q299">
            <v>2</v>
          </cell>
          <cell r="S299">
            <v>2</v>
          </cell>
          <cell r="T299">
            <v>1.5</v>
          </cell>
          <cell r="U299">
            <v>1.5</v>
          </cell>
          <cell r="V299">
            <v>1.5</v>
          </cell>
          <cell r="W299">
            <v>1.5</v>
          </cell>
          <cell r="X299">
            <v>1.5</v>
          </cell>
          <cell r="Z299">
            <v>1.5</v>
          </cell>
          <cell r="AA299">
            <v>1.5</v>
          </cell>
          <cell r="AB299">
            <v>1.5</v>
          </cell>
          <cell r="AD299">
            <v>1.5</v>
          </cell>
          <cell r="AE299">
            <v>1.5</v>
          </cell>
          <cell r="AG299">
            <v>2</v>
          </cell>
          <cell r="AH299">
            <v>30</v>
          </cell>
        </row>
        <row r="300">
          <cell r="C300">
            <v>50047</v>
          </cell>
          <cell r="E300">
            <v>43983</v>
          </cell>
          <cell r="F300" t="str">
            <v>Lt</v>
          </cell>
          <cell r="G300" t="str">
            <v>Lt</v>
          </cell>
          <cell r="H300" t="str">
            <v>Lt</v>
          </cell>
          <cell r="I300" t="str">
            <v>Lt</v>
          </cell>
          <cell r="J300" t="str">
            <v>F</v>
          </cell>
          <cell r="L300">
            <v>1</v>
          </cell>
          <cell r="M300">
            <v>2</v>
          </cell>
          <cell r="N300">
            <v>2</v>
          </cell>
          <cell r="O300">
            <v>2</v>
          </cell>
          <cell r="P300">
            <v>2</v>
          </cell>
          <cell r="Q300">
            <v>2</v>
          </cell>
          <cell r="S300">
            <v>2</v>
          </cell>
          <cell r="T300">
            <v>1.5</v>
          </cell>
          <cell r="U300">
            <v>1.5</v>
          </cell>
          <cell r="V300">
            <v>1.5</v>
          </cell>
          <cell r="W300">
            <v>1.5</v>
          </cell>
          <cell r="X300">
            <v>1.5</v>
          </cell>
          <cell r="Z300">
            <v>1.5</v>
          </cell>
          <cell r="AA300">
            <v>1.5</v>
          </cell>
          <cell r="AB300">
            <v>1.5</v>
          </cell>
          <cell r="AD300">
            <v>1.5</v>
          </cell>
          <cell r="AE300">
            <v>1.5</v>
          </cell>
          <cell r="AG300">
            <v>2</v>
          </cell>
          <cell r="AH300">
            <v>30</v>
          </cell>
        </row>
        <row r="301">
          <cell r="C301">
            <v>50282</v>
          </cell>
          <cell r="E301">
            <v>44383</v>
          </cell>
          <cell r="F301" t="str">
            <v>Lt</v>
          </cell>
          <cell r="G301" t="str">
            <v>Lt</v>
          </cell>
          <cell r="H301" t="str">
            <v>Lt</v>
          </cell>
          <cell r="I301" t="str">
            <v>Lt</v>
          </cell>
          <cell r="J301" t="str">
            <v>F</v>
          </cell>
          <cell r="L301">
            <v>1</v>
          </cell>
          <cell r="M301">
            <v>2</v>
          </cell>
          <cell r="N301">
            <v>2</v>
          </cell>
          <cell r="O301">
            <v>2</v>
          </cell>
          <cell r="P301">
            <v>2</v>
          </cell>
          <cell r="Q301">
            <v>2</v>
          </cell>
          <cell r="S301">
            <v>2</v>
          </cell>
          <cell r="T301">
            <v>1.5</v>
          </cell>
          <cell r="U301">
            <v>1.5</v>
          </cell>
          <cell r="V301">
            <v>1.5</v>
          </cell>
          <cell r="W301">
            <v>1.5</v>
          </cell>
          <cell r="X301">
            <v>1.5</v>
          </cell>
          <cell r="Z301">
            <v>1.5</v>
          </cell>
          <cell r="AA301">
            <v>1.5</v>
          </cell>
          <cell r="AB301">
            <v>1.5</v>
          </cell>
          <cell r="AD301">
            <v>1.5</v>
          </cell>
          <cell r="AE301">
            <v>1.5</v>
          </cell>
          <cell r="AG301">
            <v>2</v>
          </cell>
          <cell r="AH301">
            <v>30</v>
          </cell>
        </row>
        <row r="302">
          <cell r="C302">
            <v>50288</v>
          </cell>
          <cell r="E302">
            <v>44385</v>
          </cell>
          <cell r="F302" t="str">
            <v>Lt</v>
          </cell>
          <cell r="G302" t="str">
            <v>Lt</v>
          </cell>
          <cell r="H302" t="str">
            <v>Lt</v>
          </cell>
          <cell r="I302" t="str">
            <v>Lt</v>
          </cell>
          <cell r="J302" t="str">
            <v>F</v>
          </cell>
          <cell r="L302">
            <v>1</v>
          </cell>
          <cell r="M302">
            <v>2</v>
          </cell>
          <cell r="N302">
            <v>2</v>
          </cell>
          <cell r="O302">
            <v>2</v>
          </cell>
          <cell r="P302">
            <v>2</v>
          </cell>
          <cell r="Q302">
            <v>2</v>
          </cell>
          <cell r="S302">
            <v>2</v>
          </cell>
          <cell r="T302">
            <v>1.5</v>
          </cell>
          <cell r="U302">
            <v>1.5</v>
          </cell>
          <cell r="V302">
            <v>1.5</v>
          </cell>
          <cell r="W302">
            <v>1.5</v>
          </cell>
          <cell r="X302">
            <v>1.5</v>
          </cell>
          <cell r="Z302">
            <v>1.5</v>
          </cell>
          <cell r="AA302">
            <v>1.5</v>
          </cell>
          <cell r="AB302">
            <v>1.5</v>
          </cell>
          <cell r="AD302" t="str">
            <v>ô</v>
          </cell>
          <cell r="AE302" t="str">
            <v>ô</v>
          </cell>
          <cell r="AG302" t="str">
            <v>ô</v>
          </cell>
          <cell r="AH302">
            <v>25</v>
          </cell>
        </row>
        <row r="303">
          <cell r="C303">
            <v>50372</v>
          </cell>
          <cell r="E303">
            <v>44410</v>
          </cell>
          <cell r="F303" t="str">
            <v>Lt</v>
          </cell>
          <cell r="G303" t="str">
            <v>Lt</v>
          </cell>
          <cell r="H303" t="str">
            <v>Lt</v>
          </cell>
          <cell r="I303" t="str">
            <v>Lt</v>
          </cell>
          <cell r="J303" t="str">
            <v>F</v>
          </cell>
          <cell r="L303">
            <v>1</v>
          </cell>
          <cell r="M303">
            <v>2</v>
          </cell>
          <cell r="N303">
            <v>2</v>
          </cell>
          <cell r="O303">
            <v>2</v>
          </cell>
          <cell r="P303">
            <v>2</v>
          </cell>
          <cell r="Q303">
            <v>2</v>
          </cell>
          <cell r="S303" t="str">
            <v>F</v>
          </cell>
          <cell r="T303" t="str">
            <v>F</v>
          </cell>
          <cell r="U303" t="str">
            <v>F</v>
          </cell>
          <cell r="V303">
            <v>1.5</v>
          </cell>
          <cell r="W303">
            <v>1.5</v>
          </cell>
          <cell r="X303">
            <v>1.5</v>
          </cell>
          <cell r="Z303">
            <v>1.5</v>
          </cell>
          <cell r="AA303">
            <v>1.5</v>
          </cell>
          <cell r="AB303">
            <v>1.5</v>
          </cell>
          <cell r="AD303" t="str">
            <v>ô</v>
          </cell>
          <cell r="AE303" t="str">
            <v>ô</v>
          </cell>
          <cell r="AG303" t="str">
            <v>ô</v>
          </cell>
          <cell r="AH303">
            <v>20</v>
          </cell>
        </row>
        <row r="304">
          <cell r="C304">
            <v>50374</v>
          </cell>
          <cell r="E304">
            <v>44410</v>
          </cell>
          <cell r="F304" t="str">
            <v>Lt</v>
          </cell>
          <cell r="G304" t="str">
            <v>Lt</v>
          </cell>
          <cell r="H304" t="str">
            <v>Lt</v>
          </cell>
          <cell r="I304" t="str">
            <v>Lt</v>
          </cell>
          <cell r="J304" t="str">
            <v>F</v>
          </cell>
          <cell r="L304">
            <v>1</v>
          </cell>
          <cell r="M304">
            <v>2</v>
          </cell>
          <cell r="N304">
            <v>2</v>
          </cell>
          <cell r="O304">
            <v>2</v>
          </cell>
          <cell r="P304">
            <v>2</v>
          </cell>
          <cell r="Q304">
            <v>2</v>
          </cell>
          <cell r="S304">
            <v>2</v>
          </cell>
          <cell r="T304">
            <v>1.5</v>
          </cell>
          <cell r="U304">
            <v>1.5</v>
          </cell>
          <cell r="V304">
            <v>1.5</v>
          </cell>
          <cell r="W304">
            <v>1.5</v>
          </cell>
          <cell r="X304">
            <v>1.5</v>
          </cell>
          <cell r="Z304">
            <v>1.5</v>
          </cell>
          <cell r="AA304">
            <v>1.5</v>
          </cell>
          <cell r="AB304">
            <v>1.5</v>
          </cell>
          <cell r="AD304" t="str">
            <v>ô</v>
          </cell>
          <cell r="AE304" t="str">
            <v>ô</v>
          </cell>
          <cell r="AG304" t="str">
            <v>ô</v>
          </cell>
          <cell r="AH304">
            <v>25</v>
          </cell>
        </row>
        <row r="305">
          <cell r="C305">
            <v>50376</v>
          </cell>
          <cell r="E305">
            <v>44410</v>
          </cell>
          <cell r="F305" t="str">
            <v>Lt</v>
          </cell>
          <cell r="G305" t="str">
            <v>Lt</v>
          </cell>
          <cell r="H305" t="str">
            <v>Lt</v>
          </cell>
          <cell r="I305" t="str">
            <v>Lt</v>
          </cell>
          <cell r="J305" t="str">
            <v>F</v>
          </cell>
          <cell r="L305">
            <v>1</v>
          </cell>
          <cell r="M305">
            <v>2</v>
          </cell>
          <cell r="N305">
            <v>2</v>
          </cell>
          <cell r="O305">
            <v>2</v>
          </cell>
          <cell r="P305">
            <v>2</v>
          </cell>
          <cell r="Q305">
            <v>2</v>
          </cell>
          <cell r="S305">
            <v>0</v>
          </cell>
          <cell r="T305">
            <v>1.5</v>
          </cell>
          <cell r="U305">
            <v>1.5</v>
          </cell>
          <cell r="V305">
            <v>1.5</v>
          </cell>
          <cell r="W305">
            <v>1.5</v>
          </cell>
          <cell r="X305">
            <v>1.5</v>
          </cell>
          <cell r="Z305">
            <v>1.5</v>
          </cell>
          <cell r="AA305" t="str">
            <v>F</v>
          </cell>
          <cell r="AB305">
            <v>1.5</v>
          </cell>
          <cell r="AD305">
            <v>1.5</v>
          </cell>
          <cell r="AE305">
            <v>1.5</v>
          </cell>
          <cell r="AG305">
            <v>2</v>
          </cell>
          <cell r="AH305">
            <v>26.5</v>
          </cell>
        </row>
        <row r="306">
          <cell r="C306">
            <v>50378</v>
          </cell>
          <cell r="E306">
            <v>44410</v>
          </cell>
          <cell r="F306" t="str">
            <v>Lt</v>
          </cell>
          <cell r="G306" t="str">
            <v>Lt</v>
          </cell>
          <cell r="H306" t="str">
            <v>Lt</v>
          </cell>
          <cell r="I306" t="str">
            <v>Lt</v>
          </cell>
          <cell r="J306" t="str">
            <v>F</v>
          </cell>
          <cell r="L306">
            <v>1</v>
          </cell>
          <cell r="M306">
            <v>2</v>
          </cell>
          <cell r="N306">
            <v>2</v>
          </cell>
          <cell r="O306">
            <v>2</v>
          </cell>
          <cell r="P306">
            <v>2</v>
          </cell>
          <cell r="Q306">
            <v>2</v>
          </cell>
          <cell r="S306">
            <v>2</v>
          </cell>
          <cell r="T306" t="str">
            <v>Fđ</v>
          </cell>
          <cell r="U306" t="str">
            <v>Fđ</v>
          </cell>
          <cell r="V306" t="str">
            <v>Fđ</v>
          </cell>
          <cell r="W306" t="str">
            <v>F</v>
          </cell>
          <cell r="X306" t="str">
            <v>F</v>
          </cell>
          <cell r="Z306" t="str">
            <v>Ô</v>
          </cell>
          <cell r="AA306" t="str">
            <v>Ô</v>
          </cell>
          <cell r="AB306" t="str">
            <v>Ô</v>
          </cell>
          <cell r="AD306" t="str">
            <v>Ô</v>
          </cell>
          <cell r="AE306" t="str">
            <v>Ô</v>
          </cell>
          <cell r="AG306" t="str">
            <v>Ô</v>
          </cell>
          <cell r="AH306">
            <v>13</v>
          </cell>
        </row>
        <row r="307">
          <cell r="C307">
            <v>50446</v>
          </cell>
          <cell r="E307">
            <v>44424</v>
          </cell>
          <cell r="F307" t="str">
            <v>Lt</v>
          </cell>
          <cell r="G307" t="str">
            <v>Lt</v>
          </cell>
          <cell r="H307" t="str">
            <v>Lt</v>
          </cell>
          <cell r="I307" t="str">
            <v>Lt</v>
          </cell>
          <cell r="J307" t="str">
            <v>F</v>
          </cell>
          <cell r="L307">
            <v>1</v>
          </cell>
          <cell r="M307">
            <v>2</v>
          </cell>
          <cell r="N307">
            <v>2</v>
          </cell>
          <cell r="O307">
            <v>2</v>
          </cell>
          <cell r="P307">
            <v>2</v>
          </cell>
          <cell r="Q307">
            <v>2</v>
          </cell>
          <cell r="S307">
            <v>2</v>
          </cell>
          <cell r="T307">
            <v>1.5</v>
          </cell>
          <cell r="U307">
            <v>1.5</v>
          </cell>
          <cell r="V307">
            <v>1.5</v>
          </cell>
          <cell r="W307">
            <v>1.5</v>
          </cell>
          <cell r="X307">
            <v>1.5</v>
          </cell>
          <cell r="Z307">
            <v>1.5</v>
          </cell>
          <cell r="AA307">
            <v>1.5</v>
          </cell>
          <cell r="AB307">
            <v>1.5</v>
          </cell>
          <cell r="AD307">
            <v>1.5</v>
          </cell>
          <cell r="AE307" t="str">
            <v>Ô</v>
          </cell>
          <cell r="AG307" t="str">
            <v>Ô</v>
          </cell>
          <cell r="AH307">
            <v>26.5</v>
          </cell>
        </row>
        <row r="308">
          <cell r="C308">
            <v>50459</v>
          </cell>
          <cell r="E308">
            <v>44428</v>
          </cell>
          <cell r="F308" t="str">
            <v>Lt</v>
          </cell>
          <cell r="G308" t="str">
            <v>Lt</v>
          </cell>
          <cell r="H308" t="str">
            <v>Lt</v>
          </cell>
          <cell r="I308" t="str">
            <v>Lt</v>
          </cell>
          <cell r="J308" t="str">
            <v>F</v>
          </cell>
          <cell r="L308">
            <v>1</v>
          </cell>
          <cell r="M308">
            <v>2</v>
          </cell>
          <cell r="N308">
            <v>2</v>
          </cell>
          <cell r="O308">
            <v>2</v>
          </cell>
          <cell r="P308">
            <v>2</v>
          </cell>
          <cell r="Q308">
            <v>2</v>
          </cell>
          <cell r="S308">
            <v>2</v>
          </cell>
          <cell r="T308">
            <v>1.5</v>
          </cell>
          <cell r="U308">
            <v>1.5</v>
          </cell>
          <cell r="V308">
            <v>1.5</v>
          </cell>
          <cell r="W308">
            <v>1.5</v>
          </cell>
          <cell r="X308">
            <v>1.5</v>
          </cell>
          <cell r="Z308">
            <v>1.5</v>
          </cell>
          <cell r="AA308">
            <v>1.5</v>
          </cell>
          <cell r="AB308">
            <v>1.5</v>
          </cell>
          <cell r="AD308" t="str">
            <v>Ô</v>
          </cell>
          <cell r="AE308" t="str">
            <v>Ô</v>
          </cell>
          <cell r="AG308" t="str">
            <v>Ô</v>
          </cell>
          <cell r="AH308">
            <v>25</v>
          </cell>
        </row>
        <row r="309">
          <cell r="C309">
            <v>50495</v>
          </cell>
          <cell r="E309">
            <v>44442</v>
          </cell>
          <cell r="F309" t="str">
            <v>Lt</v>
          </cell>
          <cell r="G309" t="str">
            <v>Lt</v>
          </cell>
          <cell r="H309" t="str">
            <v>Lt</v>
          </cell>
          <cell r="I309" t="str">
            <v>Lt</v>
          </cell>
          <cell r="J309" t="str">
            <v>F</v>
          </cell>
          <cell r="L309">
            <v>1</v>
          </cell>
          <cell r="M309">
            <v>2</v>
          </cell>
          <cell r="N309">
            <v>2</v>
          </cell>
          <cell r="O309">
            <v>2</v>
          </cell>
          <cell r="P309">
            <v>2</v>
          </cell>
          <cell r="Q309">
            <v>2</v>
          </cell>
          <cell r="S309">
            <v>1</v>
          </cell>
          <cell r="T309">
            <v>1.5</v>
          </cell>
          <cell r="U309">
            <v>1.5</v>
          </cell>
          <cell r="V309">
            <v>1.5</v>
          </cell>
          <cell r="W309">
            <v>1.5</v>
          </cell>
          <cell r="X309">
            <v>1.5</v>
          </cell>
          <cell r="Z309">
            <v>1.5</v>
          </cell>
          <cell r="AA309">
            <v>0</v>
          </cell>
          <cell r="AB309">
            <v>1.5</v>
          </cell>
          <cell r="AD309">
            <v>1.5</v>
          </cell>
          <cell r="AE309">
            <v>1.5</v>
          </cell>
          <cell r="AG309">
            <v>2</v>
          </cell>
          <cell r="AH309">
            <v>27.5</v>
          </cell>
        </row>
        <row r="310">
          <cell r="C310">
            <v>50564</v>
          </cell>
          <cell r="E310">
            <v>44461</v>
          </cell>
          <cell r="F310" t="str">
            <v>Lt</v>
          </cell>
          <cell r="G310" t="str">
            <v>Lt</v>
          </cell>
          <cell r="H310" t="str">
            <v>Lt</v>
          </cell>
          <cell r="I310" t="str">
            <v>Lt</v>
          </cell>
          <cell r="J310" t="str">
            <v>F</v>
          </cell>
          <cell r="L310">
            <v>1</v>
          </cell>
          <cell r="M310">
            <v>2</v>
          </cell>
          <cell r="N310">
            <v>2</v>
          </cell>
          <cell r="O310">
            <v>2</v>
          </cell>
          <cell r="P310">
            <v>2</v>
          </cell>
          <cell r="Q310">
            <v>2</v>
          </cell>
          <cell r="S310">
            <v>2</v>
          </cell>
          <cell r="T310">
            <v>1.5</v>
          </cell>
          <cell r="U310">
            <v>1.5</v>
          </cell>
          <cell r="V310">
            <v>1.5</v>
          </cell>
          <cell r="W310">
            <v>1.5</v>
          </cell>
          <cell r="X310">
            <v>1.5</v>
          </cell>
          <cell r="Z310">
            <v>1.5</v>
          </cell>
          <cell r="AA310">
            <v>1.5</v>
          </cell>
          <cell r="AB310">
            <v>1.5</v>
          </cell>
          <cell r="AD310">
            <v>1.5</v>
          </cell>
          <cell r="AE310">
            <v>1.5</v>
          </cell>
          <cell r="AG310">
            <v>2</v>
          </cell>
          <cell r="AH310">
            <v>30</v>
          </cell>
        </row>
        <row r="311">
          <cell r="C311">
            <v>50641</v>
          </cell>
          <cell r="E311">
            <v>44397</v>
          </cell>
          <cell r="F311" t="str">
            <v>Lt</v>
          </cell>
          <cell r="G311" t="str">
            <v>Lt</v>
          </cell>
          <cell r="H311" t="str">
            <v>Lt</v>
          </cell>
          <cell r="I311" t="str">
            <v>Lt</v>
          </cell>
          <cell r="J311" t="str">
            <v>F</v>
          </cell>
          <cell r="L311">
            <v>1</v>
          </cell>
          <cell r="M311">
            <v>2</v>
          </cell>
          <cell r="N311">
            <v>2</v>
          </cell>
          <cell r="O311">
            <v>2</v>
          </cell>
          <cell r="P311">
            <v>2</v>
          </cell>
          <cell r="Q311">
            <v>2</v>
          </cell>
          <cell r="S311" t="str">
            <v>F</v>
          </cell>
          <cell r="T311">
            <v>1.5</v>
          </cell>
          <cell r="U311">
            <v>1.5</v>
          </cell>
          <cell r="V311">
            <v>1.5</v>
          </cell>
          <cell r="W311">
            <v>1.5</v>
          </cell>
          <cell r="X311">
            <v>1.5</v>
          </cell>
          <cell r="Z311">
            <v>1.5</v>
          </cell>
          <cell r="AA311">
            <v>1.5</v>
          </cell>
          <cell r="AB311">
            <v>1.5</v>
          </cell>
          <cell r="AD311">
            <v>1.5</v>
          </cell>
          <cell r="AE311">
            <v>1.5</v>
          </cell>
          <cell r="AG311" t="str">
            <v>Ô</v>
          </cell>
          <cell r="AH311">
            <v>26</v>
          </cell>
        </row>
        <row r="312">
          <cell r="C312">
            <v>50772</v>
          </cell>
          <cell r="E312">
            <v>44601</v>
          </cell>
          <cell r="N312">
            <v>2</v>
          </cell>
          <cell r="O312">
            <v>2</v>
          </cell>
          <cell r="P312">
            <v>2</v>
          </cell>
          <cell r="Q312">
            <v>2</v>
          </cell>
          <cell r="S312">
            <v>2</v>
          </cell>
          <cell r="T312">
            <v>1.5</v>
          </cell>
          <cell r="U312">
            <v>1.5</v>
          </cell>
          <cell r="V312">
            <v>1.5</v>
          </cell>
          <cell r="W312">
            <v>1.5</v>
          </cell>
          <cell r="X312">
            <v>1.5</v>
          </cell>
          <cell r="Z312">
            <v>1.5</v>
          </cell>
          <cell r="AA312">
            <v>0</v>
          </cell>
          <cell r="AB312">
            <v>1.5</v>
          </cell>
          <cell r="AD312">
            <v>1.5</v>
          </cell>
          <cell r="AE312">
            <v>1.5</v>
          </cell>
          <cell r="AG312">
            <v>2</v>
          </cell>
          <cell r="AH312">
            <v>25.5</v>
          </cell>
        </row>
        <row r="313">
          <cell r="C313">
            <v>50799</v>
          </cell>
          <cell r="E313">
            <v>44609</v>
          </cell>
          <cell r="Z313">
            <v>1.5</v>
          </cell>
          <cell r="AA313">
            <v>1.5</v>
          </cell>
          <cell r="AB313">
            <v>1.5</v>
          </cell>
          <cell r="AD313">
            <v>1.5</v>
          </cell>
          <cell r="AE313">
            <v>1.5</v>
          </cell>
          <cell r="AG313" t="str">
            <v>Ô</v>
          </cell>
          <cell r="AH313">
            <v>7.5</v>
          </cell>
        </row>
        <row r="314">
          <cell r="C314">
            <v>50184</v>
          </cell>
          <cell r="E314">
            <v>44266</v>
          </cell>
          <cell r="F314" t="str">
            <v>LT</v>
          </cell>
          <cell r="G314" t="str">
            <v>LT</v>
          </cell>
          <cell r="H314" t="str">
            <v>LT</v>
          </cell>
          <cell r="I314" t="str">
            <v>LT</v>
          </cell>
          <cell r="J314" t="str">
            <v>F</v>
          </cell>
          <cell r="L314">
            <v>1</v>
          </cell>
          <cell r="M314">
            <v>2</v>
          </cell>
          <cell r="N314">
            <v>2</v>
          </cell>
          <cell r="O314">
            <v>2</v>
          </cell>
          <cell r="P314">
            <v>2</v>
          </cell>
          <cell r="Q314">
            <v>2</v>
          </cell>
          <cell r="S314">
            <v>2</v>
          </cell>
          <cell r="T314">
            <v>1.5</v>
          </cell>
          <cell r="U314">
            <v>1.5</v>
          </cell>
          <cell r="V314">
            <v>1.5</v>
          </cell>
          <cell r="W314">
            <v>1.5</v>
          </cell>
          <cell r="X314">
            <v>1.5</v>
          </cell>
          <cell r="Z314">
            <v>1.5</v>
          </cell>
          <cell r="AA314">
            <v>1.5</v>
          </cell>
          <cell r="AB314">
            <v>1.5</v>
          </cell>
          <cell r="AD314">
            <v>1.5</v>
          </cell>
          <cell r="AE314">
            <v>1.5</v>
          </cell>
          <cell r="AG314">
            <v>2</v>
          </cell>
          <cell r="AH314">
            <v>30</v>
          </cell>
        </row>
        <row r="315">
          <cell r="C315">
            <v>50631</v>
          </cell>
          <cell r="E315">
            <v>44489</v>
          </cell>
          <cell r="F315" t="str">
            <v>LT</v>
          </cell>
          <cell r="G315" t="str">
            <v>LT</v>
          </cell>
          <cell r="H315" t="str">
            <v>LT</v>
          </cell>
          <cell r="I315" t="str">
            <v>LT</v>
          </cell>
          <cell r="J315" t="str">
            <v>F</v>
          </cell>
          <cell r="L315">
            <v>1</v>
          </cell>
          <cell r="M315">
            <v>2</v>
          </cell>
          <cell r="N315">
            <v>2</v>
          </cell>
          <cell r="O315">
            <v>2</v>
          </cell>
          <cell r="P315">
            <v>2</v>
          </cell>
          <cell r="Q315">
            <v>2</v>
          </cell>
          <cell r="S315">
            <v>2</v>
          </cell>
          <cell r="T315">
            <v>1.5</v>
          </cell>
          <cell r="U315">
            <v>1.5</v>
          </cell>
          <cell r="V315">
            <v>1.5</v>
          </cell>
          <cell r="W315">
            <v>1.5</v>
          </cell>
          <cell r="X315">
            <v>1.5</v>
          </cell>
          <cell r="Z315">
            <v>1.5</v>
          </cell>
          <cell r="AA315">
            <v>1.5</v>
          </cell>
          <cell r="AB315">
            <v>1.5</v>
          </cell>
          <cell r="AD315">
            <v>1.5</v>
          </cell>
          <cell r="AE315">
            <v>1.5</v>
          </cell>
          <cell r="AG315">
            <v>2</v>
          </cell>
          <cell r="AH315">
            <v>30</v>
          </cell>
        </row>
        <row r="316">
          <cell r="C316">
            <v>50655</v>
          </cell>
          <cell r="E316">
            <v>44496</v>
          </cell>
          <cell r="F316" t="str">
            <v>LT</v>
          </cell>
          <cell r="G316" t="str">
            <v>LT</v>
          </cell>
          <cell r="H316" t="str">
            <v>LT</v>
          </cell>
          <cell r="I316" t="str">
            <v>LT</v>
          </cell>
          <cell r="J316" t="str">
            <v>F</v>
          </cell>
          <cell r="L316">
            <v>1</v>
          </cell>
          <cell r="M316">
            <v>2</v>
          </cell>
          <cell r="N316">
            <v>2</v>
          </cell>
          <cell r="O316">
            <v>2</v>
          </cell>
          <cell r="P316">
            <v>2</v>
          </cell>
          <cell r="Q316">
            <v>2</v>
          </cell>
          <cell r="S316">
            <v>2</v>
          </cell>
          <cell r="T316">
            <v>1.5</v>
          </cell>
          <cell r="U316">
            <v>1.5</v>
          </cell>
          <cell r="V316">
            <v>1.5</v>
          </cell>
          <cell r="W316">
            <v>1.5</v>
          </cell>
          <cell r="X316">
            <v>1.5</v>
          </cell>
          <cell r="Z316">
            <v>1.5</v>
          </cell>
          <cell r="AA316">
            <v>1.5</v>
          </cell>
          <cell r="AB316">
            <v>1.5</v>
          </cell>
          <cell r="AD316">
            <v>1.5</v>
          </cell>
          <cell r="AE316">
            <v>1.5</v>
          </cell>
          <cell r="AG316" t="str">
            <v>Ô</v>
          </cell>
          <cell r="AH316">
            <v>28</v>
          </cell>
        </row>
        <row r="317">
          <cell r="C317">
            <v>50656</v>
          </cell>
          <cell r="E317">
            <v>44496</v>
          </cell>
          <cell r="F317" t="str">
            <v>LT</v>
          </cell>
          <cell r="G317" t="str">
            <v>LT</v>
          </cell>
          <cell r="H317" t="str">
            <v>LT</v>
          </cell>
          <cell r="I317" t="str">
            <v>LT</v>
          </cell>
          <cell r="J317" t="str">
            <v>F</v>
          </cell>
          <cell r="L317" t="str">
            <v>Fđ</v>
          </cell>
          <cell r="M317" t="str">
            <v>Fđ</v>
          </cell>
          <cell r="N317" t="str">
            <v>Fđ</v>
          </cell>
          <cell r="O317">
            <v>2</v>
          </cell>
          <cell r="P317">
            <v>2</v>
          </cell>
          <cell r="Q317">
            <v>2</v>
          </cell>
          <cell r="S317">
            <v>2</v>
          </cell>
          <cell r="T317">
            <v>1.5</v>
          </cell>
          <cell r="U317">
            <v>1.5</v>
          </cell>
          <cell r="V317">
            <v>1.5</v>
          </cell>
          <cell r="W317" t="str">
            <v>F</v>
          </cell>
          <cell r="X317">
            <v>1.5</v>
          </cell>
          <cell r="Z317">
            <v>1.5</v>
          </cell>
          <cell r="AA317">
            <v>1.5</v>
          </cell>
          <cell r="AB317">
            <v>1.5</v>
          </cell>
          <cell r="AD317">
            <v>1.5</v>
          </cell>
          <cell r="AE317">
            <v>1.5</v>
          </cell>
          <cell r="AG317">
            <v>2</v>
          </cell>
          <cell r="AH317">
            <v>23.5</v>
          </cell>
        </row>
        <row r="318">
          <cell r="C318">
            <v>50658</v>
          </cell>
          <cell r="E318">
            <v>44495</v>
          </cell>
          <cell r="F318" t="str">
            <v>LT</v>
          </cell>
          <cell r="G318" t="str">
            <v>LT</v>
          </cell>
          <cell r="H318" t="str">
            <v>LT</v>
          </cell>
          <cell r="I318" t="str">
            <v>LT</v>
          </cell>
          <cell r="J318" t="str">
            <v>Ro</v>
          </cell>
          <cell r="L318">
            <v>1</v>
          </cell>
          <cell r="M318">
            <v>2</v>
          </cell>
          <cell r="N318">
            <v>2</v>
          </cell>
          <cell r="O318">
            <v>2</v>
          </cell>
          <cell r="P318">
            <v>2</v>
          </cell>
          <cell r="Q318">
            <v>2</v>
          </cell>
          <cell r="S318">
            <v>2</v>
          </cell>
          <cell r="T318">
            <v>1.5</v>
          </cell>
          <cell r="U318">
            <v>1.5</v>
          </cell>
          <cell r="V318">
            <v>1.5</v>
          </cell>
          <cell r="W318">
            <v>1.5</v>
          </cell>
          <cell r="X318">
            <v>1.5</v>
          </cell>
          <cell r="Z318">
            <v>1.5</v>
          </cell>
          <cell r="AA318">
            <v>1.5</v>
          </cell>
          <cell r="AB318">
            <v>1.5</v>
          </cell>
          <cell r="AD318">
            <v>1.5</v>
          </cell>
          <cell r="AE318">
            <v>1.5</v>
          </cell>
          <cell r="AG318">
            <v>2</v>
          </cell>
          <cell r="AH318">
            <v>30</v>
          </cell>
        </row>
        <row r="319">
          <cell r="C319">
            <v>50744</v>
          </cell>
          <cell r="E319">
            <v>44545</v>
          </cell>
          <cell r="F319" t="str">
            <v>LT</v>
          </cell>
          <cell r="G319" t="str">
            <v>LT</v>
          </cell>
          <cell r="H319" t="str">
            <v>LT</v>
          </cell>
          <cell r="I319" t="str">
            <v>LT</v>
          </cell>
          <cell r="J319" t="str">
            <v>Ro</v>
          </cell>
          <cell r="L319">
            <v>1</v>
          </cell>
          <cell r="M319">
            <v>2</v>
          </cell>
          <cell r="N319">
            <v>2</v>
          </cell>
          <cell r="O319">
            <v>2</v>
          </cell>
          <cell r="P319">
            <v>2</v>
          </cell>
          <cell r="Q319">
            <v>2</v>
          </cell>
          <cell r="S319">
            <v>2</v>
          </cell>
          <cell r="T319">
            <v>1.5</v>
          </cell>
          <cell r="U319">
            <v>1.5</v>
          </cell>
          <cell r="AH319">
            <v>16</v>
          </cell>
        </row>
        <row r="320">
          <cell r="C320">
            <v>50762</v>
          </cell>
          <cell r="E320">
            <v>44494</v>
          </cell>
          <cell r="F320" t="str">
            <v>LT</v>
          </cell>
          <cell r="G320" t="str">
            <v>LT</v>
          </cell>
          <cell r="H320" t="str">
            <v>LT</v>
          </cell>
          <cell r="I320" t="str">
            <v>LT</v>
          </cell>
          <cell r="J320" t="str">
            <v>Ro</v>
          </cell>
          <cell r="L320">
            <v>1</v>
          </cell>
          <cell r="M320">
            <v>2</v>
          </cell>
          <cell r="N320">
            <v>2</v>
          </cell>
          <cell r="O320">
            <v>2</v>
          </cell>
          <cell r="P320">
            <v>2</v>
          </cell>
          <cell r="Q320">
            <v>2</v>
          </cell>
          <cell r="S320">
            <v>2</v>
          </cell>
          <cell r="T320">
            <v>1.5</v>
          </cell>
          <cell r="U320">
            <v>1.5</v>
          </cell>
          <cell r="V320">
            <v>1.5</v>
          </cell>
          <cell r="W320">
            <v>1.5</v>
          </cell>
          <cell r="X320">
            <v>1.5</v>
          </cell>
          <cell r="Z320">
            <v>1.5</v>
          </cell>
          <cell r="AA320">
            <v>1.5</v>
          </cell>
          <cell r="AB320">
            <v>1.5</v>
          </cell>
          <cell r="AD320">
            <v>1.5</v>
          </cell>
          <cell r="AE320">
            <v>1.5</v>
          </cell>
          <cell r="AG320">
            <v>2</v>
          </cell>
          <cell r="AH320">
            <v>30</v>
          </cell>
        </row>
        <row r="321">
          <cell r="C321">
            <v>50764</v>
          </cell>
          <cell r="E321">
            <v>44494</v>
          </cell>
          <cell r="F321" t="str">
            <v>LT</v>
          </cell>
          <cell r="G321" t="str">
            <v>LT</v>
          </cell>
          <cell r="H321" t="str">
            <v>LT</v>
          </cell>
          <cell r="I321" t="str">
            <v>LT</v>
          </cell>
          <cell r="J321" t="str">
            <v>Ro</v>
          </cell>
          <cell r="L321">
            <v>1</v>
          </cell>
          <cell r="M321">
            <v>2</v>
          </cell>
          <cell r="N321">
            <v>2</v>
          </cell>
          <cell r="O321" t="str">
            <v>Ro</v>
          </cell>
          <cell r="P321" t="str">
            <v>Ro</v>
          </cell>
          <cell r="Q321" t="str">
            <v>Ro</v>
          </cell>
          <cell r="S321" t="str">
            <v>Ro</v>
          </cell>
          <cell r="T321" t="str">
            <v>Ro</v>
          </cell>
          <cell r="U321" t="str">
            <v>Ro</v>
          </cell>
          <cell r="V321">
            <v>1.5</v>
          </cell>
          <cell r="W321">
            <v>1.5</v>
          </cell>
          <cell r="X321">
            <v>1.5</v>
          </cell>
          <cell r="Z321">
            <v>1.5</v>
          </cell>
          <cell r="AA321">
            <v>1.5</v>
          </cell>
          <cell r="AB321">
            <v>1.5</v>
          </cell>
          <cell r="AD321">
            <v>1.5</v>
          </cell>
          <cell r="AE321">
            <v>1.5</v>
          </cell>
          <cell r="AG321">
            <v>2</v>
          </cell>
          <cell r="AH321">
            <v>19</v>
          </cell>
        </row>
        <row r="322">
          <cell r="C322">
            <v>50781</v>
          </cell>
          <cell r="E322">
            <v>44603</v>
          </cell>
          <cell r="P322">
            <v>2</v>
          </cell>
          <cell r="Q322">
            <v>2</v>
          </cell>
          <cell r="S322">
            <v>2</v>
          </cell>
          <cell r="T322">
            <v>1.5</v>
          </cell>
          <cell r="U322">
            <v>1.5</v>
          </cell>
          <cell r="V322">
            <v>1.5</v>
          </cell>
          <cell r="W322">
            <v>1.5</v>
          </cell>
          <cell r="X322">
            <v>1.5</v>
          </cell>
          <cell r="Z322">
            <v>1.5</v>
          </cell>
          <cell r="AA322">
            <v>1.5</v>
          </cell>
          <cell r="AB322">
            <v>1.5</v>
          </cell>
          <cell r="AD322">
            <v>1.5</v>
          </cell>
          <cell r="AE322">
            <v>1.5</v>
          </cell>
          <cell r="AG322">
            <v>2</v>
          </cell>
          <cell r="AH322">
            <v>23</v>
          </cell>
        </row>
        <row r="323">
          <cell r="C323">
            <v>50792</v>
          </cell>
          <cell r="E323">
            <v>44606</v>
          </cell>
          <cell r="S323">
            <v>2</v>
          </cell>
          <cell r="T323">
            <v>1.5</v>
          </cell>
          <cell r="U323">
            <v>1.5</v>
          </cell>
          <cell r="V323">
            <v>1.5</v>
          </cell>
          <cell r="W323">
            <v>1.5</v>
          </cell>
          <cell r="X323">
            <v>1.5</v>
          </cell>
          <cell r="Z323">
            <v>1.5</v>
          </cell>
          <cell r="AA323">
            <v>1.5</v>
          </cell>
          <cell r="AB323">
            <v>1.5</v>
          </cell>
          <cell r="AD323">
            <v>1.5</v>
          </cell>
          <cell r="AE323">
            <v>1.5</v>
          </cell>
          <cell r="AG323">
            <v>2</v>
          </cell>
          <cell r="AH323">
            <v>19</v>
          </cell>
        </row>
        <row r="324">
          <cell r="C324">
            <v>50793</v>
          </cell>
          <cell r="E324">
            <v>44606</v>
          </cell>
          <cell r="S324">
            <v>2</v>
          </cell>
          <cell r="T324">
            <v>1.5</v>
          </cell>
          <cell r="U324">
            <v>1.5</v>
          </cell>
          <cell r="V324">
            <v>1.5</v>
          </cell>
          <cell r="W324">
            <v>1.5</v>
          </cell>
          <cell r="X324">
            <v>1.5</v>
          </cell>
          <cell r="Z324">
            <v>1.5</v>
          </cell>
          <cell r="AA324">
            <v>1.5</v>
          </cell>
          <cell r="AB324">
            <v>1.5</v>
          </cell>
          <cell r="AD324">
            <v>1.5</v>
          </cell>
          <cell r="AE324">
            <v>1.5</v>
          </cell>
          <cell r="AG324">
            <v>2</v>
          </cell>
          <cell r="AH324">
            <v>19</v>
          </cell>
        </row>
        <row r="325">
          <cell r="C325">
            <v>50794</v>
          </cell>
          <cell r="E325">
            <v>44606</v>
          </cell>
          <cell r="S325">
            <v>2</v>
          </cell>
          <cell r="T325">
            <v>1.5</v>
          </cell>
          <cell r="U325">
            <v>1.5</v>
          </cell>
          <cell r="V325">
            <v>1.5</v>
          </cell>
          <cell r="W325">
            <v>1.5</v>
          </cell>
          <cell r="X325">
            <v>1.5</v>
          </cell>
          <cell r="Z325">
            <v>1.5</v>
          </cell>
          <cell r="AA325">
            <v>1.5</v>
          </cell>
          <cell r="AB325">
            <v>1.5</v>
          </cell>
          <cell r="AD325">
            <v>1.5</v>
          </cell>
          <cell r="AE325">
            <v>1.5</v>
          </cell>
          <cell r="AG325">
            <v>2</v>
          </cell>
          <cell r="AH325">
            <v>19</v>
          </cell>
        </row>
        <row r="326">
          <cell r="C326">
            <v>50822</v>
          </cell>
          <cell r="E326">
            <v>44614</v>
          </cell>
          <cell r="AA326">
            <v>1.5</v>
          </cell>
          <cell r="AB326">
            <v>1.5</v>
          </cell>
          <cell r="AD326">
            <v>1.5</v>
          </cell>
          <cell r="AE326">
            <v>1.5</v>
          </cell>
          <cell r="AG326">
            <v>2</v>
          </cell>
          <cell r="AH326">
            <v>8</v>
          </cell>
        </row>
        <row r="327">
          <cell r="C327">
            <v>50015</v>
          </cell>
          <cell r="F327" t="str">
            <v>LT</v>
          </cell>
          <cell r="G327" t="str">
            <v>LT</v>
          </cell>
          <cell r="H327" t="str">
            <v>LT</v>
          </cell>
          <cell r="I327" t="str">
            <v>LT</v>
          </cell>
          <cell r="J327" t="str">
            <v>F</v>
          </cell>
          <cell r="L327">
            <v>1</v>
          </cell>
          <cell r="M327">
            <v>2</v>
          </cell>
          <cell r="N327">
            <v>2.5</v>
          </cell>
          <cell r="O327">
            <v>2</v>
          </cell>
          <cell r="P327">
            <v>2</v>
          </cell>
          <cell r="Q327">
            <v>2</v>
          </cell>
          <cell r="S327">
            <v>2</v>
          </cell>
          <cell r="T327">
            <v>1.5</v>
          </cell>
          <cell r="U327">
            <v>2.5</v>
          </cell>
          <cell r="V327">
            <v>1.5</v>
          </cell>
          <cell r="W327">
            <v>0</v>
          </cell>
          <cell r="X327">
            <v>1.5</v>
          </cell>
          <cell r="Z327">
            <v>2</v>
          </cell>
          <cell r="AA327">
            <v>1.5</v>
          </cell>
          <cell r="AB327">
            <v>1.5</v>
          </cell>
          <cell r="AD327">
            <v>1.5</v>
          </cell>
          <cell r="AE327">
            <v>1.5</v>
          </cell>
          <cell r="AG327">
            <v>2</v>
          </cell>
          <cell r="AH327">
            <v>30.5</v>
          </cell>
        </row>
        <row r="328">
          <cell r="C328">
            <v>50018</v>
          </cell>
          <cell r="F328" t="str">
            <v>LT</v>
          </cell>
          <cell r="G328" t="str">
            <v>LT</v>
          </cell>
          <cell r="H328" t="str">
            <v>LT</v>
          </cell>
          <cell r="I328" t="str">
            <v>LT</v>
          </cell>
          <cell r="J328" t="str">
            <v>F</v>
          </cell>
          <cell r="L328">
            <v>1</v>
          </cell>
          <cell r="M328">
            <v>2</v>
          </cell>
          <cell r="N328">
            <v>2</v>
          </cell>
          <cell r="O328">
            <v>2</v>
          </cell>
          <cell r="P328">
            <v>2</v>
          </cell>
          <cell r="Q328">
            <v>2</v>
          </cell>
          <cell r="S328">
            <v>2</v>
          </cell>
          <cell r="T328">
            <v>1.5</v>
          </cell>
          <cell r="U328">
            <v>1.5</v>
          </cell>
          <cell r="V328">
            <v>1.5</v>
          </cell>
          <cell r="W328">
            <v>1.5</v>
          </cell>
          <cell r="X328">
            <v>1.5</v>
          </cell>
          <cell r="Z328" t="str">
            <v>Ô</v>
          </cell>
          <cell r="AA328" t="str">
            <v>Ô</v>
          </cell>
          <cell r="AB328" t="str">
            <v>Ô</v>
          </cell>
          <cell r="AD328" t="str">
            <v>Ô</v>
          </cell>
          <cell r="AE328" t="str">
            <v>Ô</v>
          </cell>
          <cell r="AG328" t="str">
            <v>Ô</v>
          </cell>
          <cell r="AH328">
            <v>20.5</v>
          </cell>
        </row>
        <row r="329">
          <cell r="C329">
            <v>50038</v>
          </cell>
          <cell r="F329" t="str">
            <v>LT</v>
          </cell>
          <cell r="G329" t="str">
            <v>LT</v>
          </cell>
          <cell r="H329" t="str">
            <v>LT</v>
          </cell>
          <cell r="I329" t="str">
            <v>LT</v>
          </cell>
          <cell r="J329" t="str">
            <v>F</v>
          </cell>
          <cell r="L329">
            <v>1</v>
          </cell>
          <cell r="M329">
            <v>2</v>
          </cell>
          <cell r="N329">
            <v>1</v>
          </cell>
          <cell r="O329">
            <v>2</v>
          </cell>
          <cell r="P329">
            <v>2</v>
          </cell>
          <cell r="Q329">
            <v>2</v>
          </cell>
          <cell r="S329">
            <v>2</v>
          </cell>
          <cell r="T329">
            <v>1.5</v>
          </cell>
          <cell r="U329">
            <v>1.5</v>
          </cell>
          <cell r="V329">
            <v>1.5</v>
          </cell>
          <cell r="W329">
            <v>1.5</v>
          </cell>
          <cell r="X329">
            <v>1.5</v>
          </cell>
          <cell r="Z329">
            <v>2</v>
          </cell>
          <cell r="AA329">
            <v>1.5</v>
          </cell>
          <cell r="AB329">
            <v>1.5</v>
          </cell>
          <cell r="AD329" t="str">
            <v>Ô</v>
          </cell>
          <cell r="AE329" t="str">
            <v>Ô</v>
          </cell>
          <cell r="AG329" t="str">
            <v>Ô</v>
          </cell>
          <cell r="AH329">
            <v>24.5</v>
          </cell>
        </row>
        <row r="330">
          <cell r="C330">
            <v>50041</v>
          </cell>
          <cell r="F330" t="str">
            <v>LT</v>
          </cell>
          <cell r="G330" t="str">
            <v>LT</v>
          </cell>
          <cell r="H330" t="str">
            <v>LT</v>
          </cell>
          <cell r="I330" t="str">
            <v>LT</v>
          </cell>
          <cell r="J330" t="str">
            <v>F</v>
          </cell>
          <cell r="L330">
            <v>1</v>
          </cell>
          <cell r="M330">
            <v>2</v>
          </cell>
          <cell r="N330">
            <v>2</v>
          </cell>
          <cell r="O330">
            <v>2</v>
          </cell>
          <cell r="P330">
            <v>2</v>
          </cell>
          <cell r="Q330">
            <v>2</v>
          </cell>
          <cell r="S330">
            <v>2</v>
          </cell>
          <cell r="T330">
            <v>1.5</v>
          </cell>
          <cell r="U330">
            <v>1.5</v>
          </cell>
          <cell r="V330">
            <v>1.5</v>
          </cell>
          <cell r="W330">
            <v>1.5</v>
          </cell>
          <cell r="X330">
            <v>1.5</v>
          </cell>
          <cell r="Z330">
            <v>2</v>
          </cell>
          <cell r="AA330">
            <v>1</v>
          </cell>
          <cell r="AB330">
            <v>1.5</v>
          </cell>
          <cell r="AD330" t="str">
            <v>Ô</v>
          </cell>
          <cell r="AE330" t="str">
            <v>Ô</v>
          </cell>
          <cell r="AG330" t="str">
            <v>Ô</v>
          </cell>
          <cell r="AH330">
            <v>25</v>
          </cell>
        </row>
        <row r="331">
          <cell r="C331">
            <v>50586</v>
          </cell>
          <cell r="F331" t="str">
            <v>LT</v>
          </cell>
          <cell r="G331" t="str">
            <v>LT</v>
          </cell>
          <cell r="H331" t="str">
            <v>LT</v>
          </cell>
          <cell r="I331" t="str">
            <v>LT</v>
          </cell>
          <cell r="J331" t="str">
            <v>F</v>
          </cell>
          <cell r="L331">
            <v>1</v>
          </cell>
          <cell r="M331">
            <v>2</v>
          </cell>
          <cell r="N331">
            <v>2</v>
          </cell>
          <cell r="O331">
            <v>2</v>
          </cell>
          <cell r="P331">
            <v>2</v>
          </cell>
          <cell r="Q331">
            <v>0</v>
          </cell>
          <cell r="S331">
            <v>2</v>
          </cell>
          <cell r="T331">
            <v>1.5</v>
          </cell>
          <cell r="U331">
            <v>1.5</v>
          </cell>
          <cell r="V331">
            <v>1.5</v>
          </cell>
          <cell r="W331">
            <v>1.5</v>
          </cell>
          <cell r="X331">
            <v>1.5</v>
          </cell>
          <cell r="Z331" t="str">
            <v>Ô</v>
          </cell>
          <cell r="AA331" t="str">
            <v>Ô</v>
          </cell>
          <cell r="AB331" t="str">
            <v>Ô</v>
          </cell>
          <cell r="AD331" t="str">
            <v>Ô</v>
          </cell>
          <cell r="AE331" t="str">
            <v>Ô</v>
          </cell>
          <cell r="AG331" t="str">
            <v>Ô</v>
          </cell>
          <cell r="AH331">
            <v>18.5</v>
          </cell>
        </row>
        <row r="332">
          <cell r="C332">
            <v>50751</v>
          </cell>
          <cell r="F332" t="str">
            <v>LT</v>
          </cell>
          <cell r="G332" t="str">
            <v>LT</v>
          </cell>
          <cell r="H332" t="str">
            <v>LT</v>
          </cell>
          <cell r="I332" t="str">
            <v>LT</v>
          </cell>
          <cell r="J332" t="str">
            <v>F</v>
          </cell>
          <cell r="L332">
            <v>1</v>
          </cell>
          <cell r="M332">
            <v>2</v>
          </cell>
          <cell r="N332">
            <v>2</v>
          </cell>
          <cell r="O332">
            <v>2</v>
          </cell>
          <cell r="P332">
            <v>2</v>
          </cell>
          <cell r="Q332">
            <v>2</v>
          </cell>
          <cell r="S332">
            <v>2</v>
          </cell>
          <cell r="T332">
            <v>1.5</v>
          </cell>
          <cell r="U332">
            <v>1.5</v>
          </cell>
          <cell r="V332">
            <v>1.5</v>
          </cell>
          <cell r="W332">
            <v>1.5</v>
          </cell>
          <cell r="X332" t="str">
            <v>Ô</v>
          </cell>
          <cell r="Z332" t="str">
            <v>Ô</v>
          </cell>
          <cell r="AA332" t="str">
            <v>Ô</v>
          </cell>
          <cell r="AB332" t="str">
            <v>Ô</v>
          </cell>
          <cell r="AD332" t="str">
            <v>Ô</v>
          </cell>
          <cell r="AE332" t="str">
            <v>Ô</v>
          </cell>
          <cell r="AG332" t="str">
            <v>Ô</v>
          </cell>
          <cell r="AH332">
            <v>19</v>
          </cell>
        </row>
        <row r="333">
          <cell r="C333">
            <v>50601</v>
          </cell>
          <cell r="F333" t="str">
            <v>LT</v>
          </cell>
          <cell r="G333" t="str">
            <v>LT</v>
          </cell>
          <cell r="H333" t="str">
            <v>LT</v>
          </cell>
          <cell r="I333" t="str">
            <v>LT</v>
          </cell>
          <cell r="J333" t="str">
            <v>F</v>
          </cell>
          <cell r="L333">
            <v>1</v>
          </cell>
          <cell r="M333">
            <v>2</v>
          </cell>
          <cell r="N333">
            <v>2</v>
          </cell>
          <cell r="O333">
            <v>2</v>
          </cell>
          <cell r="P333">
            <v>2</v>
          </cell>
          <cell r="Q333">
            <v>2</v>
          </cell>
          <cell r="S333">
            <v>2</v>
          </cell>
          <cell r="T333">
            <v>4.5</v>
          </cell>
          <cell r="U333">
            <v>1.5</v>
          </cell>
          <cell r="V333">
            <v>1.5</v>
          </cell>
          <cell r="W333">
            <v>1.5</v>
          </cell>
          <cell r="X333">
            <v>1.5</v>
          </cell>
          <cell r="Z333">
            <v>2</v>
          </cell>
          <cell r="AA333">
            <v>1.5</v>
          </cell>
          <cell r="AB333">
            <v>1.5</v>
          </cell>
          <cell r="AD333" t="str">
            <v>Ô</v>
          </cell>
          <cell r="AE333" t="str">
            <v>Ô</v>
          </cell>
          <cell r="AG333" t="str">
            <v>Ô</v>
          </cell>
          <cell r="AH333">
            <v>34.5</v>
          </cell>
        </row>
        <row r="334">
          <cell r="C334">
            <v>50091</v>
          </cell>
          <cell r="E334">
            <v>44046</v>
          </cell>
          <cell r="F334" t="str">
            <v>LT</v>
          </cell>
          <cell r="G334" t="str">
            <v>LT</v>
          </cell>
          <cell r="H334" t="str">
            <v>LT</v>
          </cell>
          <cell r="I334" t="str">
            <v>LT</v>
          </cell>
          <cell r="J334" t="str">
            <v>F</v>
          </cell>
          <cell r="L334">
            <v>1</v>
          </cell>
          <cell r="M334">
            <v>2</v>
          </cell>
          <cell r="N334">
            <v>2</v>
          </cell>
          <cell r="O334">
            <v>2</v>
          </cell>
          <cell r="P334">
            <v>2</v>
          </cell>
          <cell r="Q334">
            <v>2</v>
          </cell>
          <cell r="S334">
            <v>2</v>
          </cell>
          <cell r="T334">
            <v>1.5</v>
          </cell>
          <cell r="U334">
            <v>1.5</v>
          </cell>
          <cell r="V334">
            <v>1.5</v>
          </cell>
          <cell r="W334">
            <v>1.5</v>
          </cell>
          <cell r="X334">
            <v>1.5</v>
          </cell>
          <cell r="Z334">
            <v>1.5</v>
          </cell>
          <cell r="AA334">
            <v>1.5</v>
          </cell>
          <cell r="AB334">
            <v>1.5</v>
          </cell>
          <cell r="AD334" t="str">
            <v>ô</v>
          </cell>
          <cell r="AE334" t="str">
            <v>ô</v>
          </cell>
          <cell r="AG334" t="str">
            <v>ô</v>
          </cell>
          <cell r="AH334">
            <v>25</v>
          </cell>
        </row>
        <row r="335">
          <cell r="C335">
            <v>50105</v>
          </cell>
          <cell r="E335">
            <v>44068</v>
          </cell>
          <cell r="F335" t="str">
            <v>LT</v>
          </cell>
          <cell r="G335" t="str">
            <v>LT</v>
          </cell>
          <cell r="H335" t="str">
            <v>LT</v>
          </cell>
          <cell r="I335" t="str">
            <v>LT</v>
          </cell>
          <cell r="J335" t="str">
            <v>F</v>
          </cell>
          <cell r="L335">
            <v>1</v>
          </cell>
          <cell r="M335">
            <v>2</v>
          </cell>
          <cell r="N335">
            <v>2</v>
          </cell>
          <cell r="O335">
            <v>2</v>
          </cell>
          <cell r="P335">
            <v>2</v>
          </cell>
          <cell r="Q335">
            <v>2</v>
          </cell>
          <cell r="S335">
            <v>2</v>
          </cell>
          <cell r="T335">
            <v>1.5</v>
          </cell>
          <cell r="U335">
            <v>1.5</v>
          </cell>
          <cell r="V335">
            <v>1.5</v>
          </cell>
          <cell r="W335">
            <v>1.5</v>
          </cell>
          <cell r="X335">
            <v>1.5</v>
          </cell>
          <cell r="Z335">
            <v>1.5</v>
          </cell>
          <cell r="AA335">
            <v>1.5</v>
          </cell>
          <cell r="AB335">
            <v>1.5</v>
          </cell>
          <cell r="AD335" t="str">
            <v>ô</v>
          </cell>
          <cell r="AE335" t="str">
            <v>ô</v>
          </cell>
          <cell r="AG335" t="str">
            <v>ô</v>
          </cell>
          <cell r="AH335">
            <v>25</v>
          </cell>
        </row>
        <row r="336">
          <cell r="C336">
            <v>50112</v>
          </cell>
          <cell r="E336">
            <v>44083</v>
          </cell>
          <cell r="F336" t="str">
            <v>LT</v>
          </cell>
          <cell r="G336" t="str">
            <v>LT</v>
          </cell>
          <cell r="H336" t="str">
            <v>LT</v>
          </cell>
          <cell r="I336" t="str">
            <v>LT</v>
          </cell>
          <cell r="J336" t="str">
            <v>F</v>
          </cell>
          <cell r="L336">
            <v>1</v>
          </cell>
          <cell r="M336">
            <v>2</v>
          </cell>
          <cell r="N336">
            <v>0.5</v>
          </cell>
          <cell r="O336">
            <v>2</v>
          </cell>
          <cell r="P336">
            <v>2</v>
          </cell>
          <cell r="Q336">
            <v>2</v>
          </cell>
          <cell r="S336">
            <v>2</v>
          </cell>
          <cell r="T336">
            <v>1.5</v>
          </cell>
          <cell r="U336">
            <v>1.5</v>
          </cell>
          <cell r="V336">
            <v>1.5</v>
          </cell>
          <cell r="W336">
            <v>1.5</v>
          </cell>
          <cell r="X336">
            <v>1.5</v>
          </cell>
          <cell r="Z336">
            <v>1.5</v>
          </cell>
          <cell r="AA336">
            <v>1.5</v>
          </cell>
          <cell r="AB336">
            <v>1.5</v>
          </cell>
          <cell r="AD336">
            <v>1.5</v>
          </cell>
          <cell r="AE336">
            <v>1.5</v>
          </cell>
          <cell r="AG336">
            <v>2</v>
          </cell>
          <cell r="AH336">
            <v>28.5</v>
          </cell>
        </row>
        <row r="337">
          <cell r="C337">
            <v>50145</v>
          </cell>
          <cell r="E337">
            <v>44144</v>
          </cell>
          <cell r="F337" t="str">
            <v>LT</v>
          </cell>
          <cell r="G337" t="str">
            <v>LT</v>
          </cell>
          <cell r="H337" t="str">
            <v>LT</v>
          </cell>
          <cell r="I337" t="str">
            <v>LT</v>
          </cell>
          <cell r="J337" t="str">
            <v>F</v>
          </cell>
          <cell r="L337">
            <v>1</v>
          </cell>
          <cell r="M337">
            <v>2</v>
          </cell>
          <cell r="N337">
            <v>2</v>
          </cell>
          <cell r="O337">
            <v>2</v>
          </cell>
          <cell r="P337">
            <v>2</v>
          </cell>
          <cell r="Q337">
            <v>2</v>
          </cell>
          <cell r="S337">
            <v>2</v>
          </cell>
          <cell r="T337">
            <v>1.5</v>
          </cell>
          <cell r="U337">
            <v>1.5</v>
          </cell>
          <cell r="V337">
            <v>1.5</v>
          </cell>
          <cell r="W337">
            <v>1.5</v>
          </cell>
          <cell r="X337">
            <v>1.5</v>
          </cell>
          <cell r="Z337">
            <v>1.5</v>
          </cell>
          <cell r="AA337">
            <v>1.5</v>
          </cell>
          <cell r="AB337">
            <v>1.5</v>
          </cell>
          <cell r="AD337">
            <v>1.5</v>
          </cell>
          <cell r="AE337">
            <v>1.5</v>
          </cell>
          <cell r="AG337">
            <v>2</v>
          </cell>
          <cell r="AH337">
            <v>30</v>
          </cell>
        </row>
        <row r="338">
          <cell r="C338">
            <v>50172</v>
          </cell>
          <cell r="E338">
            <v>44249</v>
          </cell>
          <cell r="F338" t="str">
            <v>LT</v>
          </cell>
          <cell r="G338" t="str">
            <v>LT</v>
          </cell>
          <cell r="H338" t="str">
            <v>LT</v>
          </cell>
          <cell r="I338" t="str">
            <v>LT</v>
          </cell>
          <cell r="J338" t="str">
            <v>F</v>
          </cell>
          <cell r="L338">
            <v>1</v>
          </cell>
          <cell r="M338">
            <v>2</v>
          </cell>
          <cell r="N338">
            <v>2</v>
          </cell>
          <cell r="O338">
            <v>2</v>
          </cell>
          <cell r="P338">
            <v>2</v>
          </cell>
          <cell r="Q338">
            <v>2</v>
          </cell>
          <cell r="S338">
            <v>2</v>
          </cell>
          <cell r="T338">
            <v>1.5</v>
          </cell>
          <cell r="U338">
            <v>1.5</v>
          </cell>
          <cell r="V338">
            <v>1.5</v>
          </cell>
          <cell r="W338">
            <v>1.5</v>
          </cell>
          <cell r="X338">
            <v>1.5</v>
          </cell>
          <cell r="Z338">
            <v>1.5</v>
          </cell>
          <cell r="AA338">
            <v>1.5</v>
          </cell>
          <cell r="AB338">
            <v>1.5</v>
          </cell>
          <cell r="AD338">
            <v>1.5</v>
          </cell>
          <cell r="AE338" t="str">
            <v>Ô</v>
          </cell>
          <cell r="AG338" t="str">
            <v>Ô</v>
          </cell>
          <cell r="AH338">
            <v>26.5</v>
          </cell>
        </row>
        <row r="339">
          <cell r="C339">
            <v>50220</v>
          </cell>
          <cell r="E339">
            <v>44286</v>
          </cell>
          <cell r="F339" t="str">
            <v>LT</v>
          </cell>
          <cell r="G339" t="str">
            <v>LT</v>
          </cell>
          <cell r="H339" t="str">
            <v>LT</v>
          </cell>
          <cell r="I339" t="str">
            <v>LT</v>
          </cell>
          <cell r="J339" t="str">
            <v>F</v>
          </cell>
          <cell r="L339">
            <v>1</v>
          </cell>
          <cell r="M339">
            <v>2</v>
          </cell>
          <cell r="N339">
            <v>2</v>
          </cell>
          <cell r="O339">
            <v>2</v>
          </cell>
          <cell r="P339">
            <v>2</v>
          </cell>
          <cell r="Q339">
            <v>2</v>
          </cell>
          <cell r="S339">
            <v>2</v>
          </cell>
          <cell r="T339">
            <v>1.5</v>
          </cell>
          <cell r="U339">
            <v>1.5</v>
          </cell>
          <cell r="V339">
            <v>1.5</v>
          </cell>
          <cell r="W339">
            <v>1.5</v>
          </cell>
          <cell r="X339">
            <v>1.5</v>
          </cell>
          <cell r="Z339">
            <v>1.5</v>
          </cell>
          <cell r="AA339" t="str">
            <v>ô</v>
          </cell>
          <cell r="AB339" t="str">
            <v>ô</v>
          </cell>
          <cell r="AD339" t="str">
            <v>ô</v>
          </cell>
          <cell r="AE339" t="str">
            <v>ô</v>
          </cell>
          <cell r="AG339">
            <v>2</v>
          </cell>
          <cell r="AH339">
            <v>24</v>
          </cell>
        </row>
        <row r="340">
          <cell r="C340">
            <v>50244</v>
          </cell>
          <cell r="E340">
            <v>44301</v>
          </cell>
          <cell r="F340" t="str">
            <v>LT</v>
          </cell>
          <cell r="G340" t="str">
            <v>LT</v>
          </cell>
          <cell r="H340" t="str">
            <v>LT</v>
          </cell>
          <cell r="I340" t="str">
            <v>LT</v>
          </cell>
          <cell r="J340" t="str">
            <v>F</v>
          </cell>
          <cell r="L340">
            <v>1</v>
          </cell>
          <cell r="M340">
            <v>2</v>
          </cell>
          <cell r="N340">
            <v>2</v>
          </cell>
          <cell r="O340">
            <v>2</v>
          </cell>
          <cell r="P340">
            <v>2</v>
          </cell>
          <cell r="Q340">
            <v>2</v>
          </cell>
          <cell r="S340">
            <v>2</v>
          </cell>
          <cell r="T340">
            <v>1.5</v>
          </cell>
          <cell r="U340">
            <v>1.5</v>
          </cell>
          <cell r="V340">
            <v>1.5</v>
          </cell>
          <cell r="W340">
            <v>1.5</v>
          </cell>
          <cell r="X340">
            <v>1.5</v>
          </cell>
          <cell r="Z340">
            <v>1.5</v>
          </cell>
          <cell r="AA340">
            <v>1.5</v>
          </cell>
          <cell r="AB340">
            <v>1.5</v>
          </cell>
          <cell r="AD340">
            <v>1.5</v>
          </cell>
          <cell r="AE340">
            <v>1.5</v>
          </cell>
          <cell r="AG340">
            <v>2</v>
          </cell>
          <cell r="AH340">
            <v>30</v>
          </cell>
        </row>
        <row r="341">
          <cell r="C341">
            <v>50639</v>
          </cell>
          <cell r="E341">
            <v>44489</v>
          </cell>
          <cell r="F341" t="str">
            <v>LT</v>
          </cell>
          <cell r="G341" t="str">
            <v>LT</v>
          </cell>
          <cell r="H341" t="str">
            <v>LT</v>
          </cell>
          <cell r="I341" t="str">
            <v>LT</v>
          </cell>
          <cell r="J341" t="str">
            <v>F</v>
          </cell>
          <cell r="L341">
            <v>1</v>
          </cell>
          <cell r="M341">
            <v>2</v>
          </cell>
          <cell r="N341">
            <v>2</v>
          </cell>
          <cell r="O341">
            <v>2</v>
          </cell>
          <cell r="P341">
            <v>0</v>
          </cell>
          <cell r="Q341">
            <v>2</v>
          </cell>
          <cell r="S341">
            <v>2</v>
          </cell>
          <cell r="T341">
            <v>1.5</v>
          </cell>
          <cell r="U341">
            <v>1.5</v>
          </cell>
          <cell r="V341">
            <v>1.5</v>
          </cell>
          <cell r="W341">
            <v>1.5</v>
          </cell>
          <cell r="X341">
            <v>1.5</v>
          </cell>
          <cell r="Z341">
            <v>1.5</v>
          </cell>
          <cell r="AA341">
            <v>1.5</v>
          </cell>
          <cell r="AB341">
            <v>1.5</v>
          </cell>
          <cell r="AD341">
            <v>1.5</v>
          </cell>
          <cell r="AE341">
            <v>1.5</v>
          </cell>
          <cell r="AG341">
            <v>2</v>
          </cell>
          <cell r="AH341">
            <v>28</v>
          </cell>
        </row>
        <row r="342">
          <cell r="C342">
            <v>50814</v>
          </cell>
          <cell r="E342">
            <v>44610</v>
          </cell>
          <cell r="W342">
            <v>1.5</v>
          </cell>
          <cell r="X342">
            <v>1.5</v>
          </cell>
          <cell r="Z342">
            <v>1.5</v>
          </cell>
          <cell r="AA342">
            <v>1.5</v>
          </cell>
          <cell r="AB342">
            <v>1.5</v>
          </cell>
          <cell r="AD342">
            <v>1.5</v>
          </cell>
          <cell r="AE342">
            <v>1.5</v>
          </cell>
          <cell r="AG342">
            <v>2</v>
          </cell>
          <cell r="AH342">
            <v>12.5</v>
          </cell>
        </row>
        <row r="343">
          <cell r="C343">
            <v>50060</v>
          </cell>
          <cell r="E343">
            <v>43984</v>
          </cell>
          <cell r="F343" t="str">
            <v>LT</v>
          </cell>
          <cell r="G343" t="str">
            <v>LT</v>
          </cell>
          <cell r="H343" t="str">
            <v>LT</v>
          </cell>
          <cell r="I343" t="str">
            <v>LT</v>
          </cell>
          <cell r="J343" t="str">
            <v>F</v>
          </cell>
          <cell r="L343">
            <v>1</v>
          </cell>
          <cell r="M343">
            <v>2</v>
          </cell>
          <cell r="N343">
            <v>2</v>
          </cell>
          <cell r="O343">
            <v>2</v>
          </cell>
          <cell r="P343">
            <v>2</v>
          </cell>
          <cell r="Q343">
            <v>2</v>
          </cell>
          <cell r="S343">
            <v>2</v>
          </cell>
          <cell r="T343">
            <v>1.5</v>
          </cell>
          <cell r="U343">
            <v>1.5</v>
          </cell>
          <cell r="V343">
            <v>1.5</v>
          </cell>
          <cell r="W343">
            <v>1.5</v>
          </cell>
          <cell r="X343">
            <v>1.5</v>
          </cell>
          <cell r="Z343">
            <v>1.5</v>
          </cell>
          <cell r="AA343">
            <v>1.5</v>
          </cell>
          <cell r="AB343">
            <v>1.5</v>
          </cell>
          <cell r="AD343">
            <v>1.5</v>
          </cell>
          <cell r="AE343">
            <v>1.5</v>
          </cell>
          <cell r="AG343">
            <v>2</v>
          </cell>
          <cell r="AH343">
            <v>30</v>
          </cell>
        </row>
        <row r="344">
          <cell r="C344">
            <v>50079</v>
          </cell>
          <cell r="E344">
            <v>44014</v>
          </cell>
          <cell r="F344" t="str">
            <v>LT</v>
          </cell>
          <cell r="G344" t="str">
            <v>LT</v>
          </cell>
          <cell r="H344" t="str">
            <v>LT</v>
          </cell>
          <cell r="I344" t="str">
            <v>LT</v>
          </cell>
          <cell r="J344" t="str">
            <v>F</v>
          </cell>
          <cell r="L344">
            <v>1</v>
          </cell>
          <cell r="M344">
            <v>2</v>
          </cell>
          <cell r="N344">
            <v>2</v>
          </cell>
          <cell r="O344">
            <v>2</v>
          </cell>
          <cell r="P344">
            <v>2</v>
          </cell>
          <cell r="Q344">
            <v>2</v>
          </cell>
          <cell r="S344">
            <v>2</v>
          </cell>
          <cell r="T344">
            <v>1.5</v>
          </cell>
          <cell r="U344">
            <v>1.5</v>
          </cell>
          <cell r="V344">
            <v>1.5</v>
          </cell>
          <cell r="W344">
            <v>1.5</v>
          </cell>
          <cell r="X344">
            <v>4</v>
          </cell>
          <cell r="Z344">
            <v>0</v>
          </cell>
          <cell r="AA344">
            <v>1.5</v>
          </cell>
          <cell r="AB344">
            <v>1.5</v>
          </cell>
          <cell r="AD344">
            <v>1.5</v>
          </cell>
          <cell r="AE344">
            <v>1.5</v>
          </cell>
          <cell r="AG344">
            <v>2</v>
          </cell>
          <cell r="AH344">
            <v>31</v>
          </cell>
        </row>
        <row r="345">
          <cell r="C345">
            <v>50257</v>
          </cell>
          <cell r="E345">
            <v>44327</v>
          </cell>
          <cell r="F345" t="str">
            <v>LT</v>
          </cell>
          <cell r="G345" t="str">
            <v>LT</v>
          </cell>
          <cell r="H345" t="str">
            <v>LT</v>
          </cell>
          <cell r="I345" t="str">
            <v>LT</v>
          </cell>
          <cell r="J345" t="str">
            <v>F</v>
          </cell>
          <cell r="L345">
            <v>1</v>
          </cell>
          <cell r="M345">
            <v>2</v>
          </cell>
          <cell r="N345">
            <v>2</v>
          </cell>
          <cell r="O345">
            <v>2</v>
          </cell>
          <cell r="P345">
            <v>2</v>
          </cell>
          <cell r="Q345">
            <v>2</v>
          </cell>
          <cell r="S345">
            <v>2</v>
          </cell>
          <cell r="T345">
            <v>1.5</v>
          </cell>
          <cell r="U345">
            <v>1.5</v>
          </cell>
          <cell r="V345">
            <v>1.5</v>
          </cell>
          <cell r="W345">
            <v>1.5</v>
          </cell>
          <cell r="X345">
            <v>1.5</v>
          </cell>
          <cell r="Z345">
            <v>1.5</v>
          </cell>
          <cell r="AA345">
            <v>1.5</v>
          </cell>
          <cell r="AB345">
            <v>1.5</v>
          </cell>
          <cell r="AD345">
            <v>1.5</v>
          </cell>
          <cell r="AE345">
            <v>1.5</v>
          </cell>
          <cell r="AG345">
            <v>2</v>
          </cell>
          <cell r="AH345">
            <v>30</v>
          </cell>
        </row>
        <row r="346">
          <cell r="C346">
            <v>50393</v>
          </cell>
          <cell r="E346">
            <v>44413</v>
          </cell>
          <cell r="F346" t="str">
            <v>LT</v>
          </cell>
          <cell r="G346" t="str">
            <v>LT</v>
          </cell>
          <cell r="H346" t="str">
            <v>LT</v>
          </cell>
          <cell r="I346" t="str">
            <v>LT</v>
          </cell>
          <cell r="J346" t="str">
            <v>F</v>
          </cell>
          <cell r="L346">
            <v>1</v>
          </cell>
          <cell r="M346">
            <v>2</v>
          </cell>
          <cell r="N346">
            <v>2</v>
          </cell>
          <cell r="O346">
            <v>2</v>
          </cell>
          <cell r="P346">
            <v>2</v>
          </cell>
          <cell r="Q346">
            <v>2</v>
          </cell>
          <cell r="S346">
            <v>2</v>
          </cell>
          <cell r="T346">
            <v>1.5</v>
          </cell>
          <cell r="U346">
            <v>1.5</v>
          </cell>
          <cell r="V346">
            <v>1.5</v>
          </cell>
          <cell r="W346">
            <v>1.5</v>
          </cell>
          <cell r="X346">
            <v>4</v>
          </cell>
          <cell r="Z346">
            <v>1.5</v>
          </cell>
          <cell r="AA346">
            <v>1.5</v>
          </cell>
          <cell r="AB346">
            <v>1.5</v>
          </cell>
          <cell r="AD346" t="str">
            <v>Cô</v>
          </cell>
          <cell r="AE346" t="str">
            <v>Cô</v>
          </cell>
          <cell r="AG346" t="str">
            <v>Cô</v>
          </cell>
          <cell r="AH346">
            <v>27.5</v>
          </cell>
        </row>
        <row r="347">
          <cell r="C347">
            <v>50467</v>
          </cell>
          <cell r="E347">
            <v>44432</v>
          </cell>
          <cell r="F347" t="str">
            <v>LT</v>
          </cell>
          <cell r="G347" t="str">
            <v>LT</v>
          </cell>
          <cell r="H347" t="str">
            <v>LT</v>
          </cell>
          <cell r="I347" t="str">
            <v>LT</v>
          </cell>
          <cell r="J347" t="str">
            <v>F</v>
          </cell>
          <cell r="L347">
            <v>1</v>
          </cell>
          <cell r="M347">
            <v>2</v>
          </cell>
          <cell r="N347">
            <v>2</v>
          </cell>
          <cell r="O347">
            <v>2</v>
          </cell>
          <cell r="P347">
            <v>2</v>
          </cell>
          <cell r="Q347">
            <v>2</v>
          </cell>
          <cell r="S347">
            <v>2</v>
          </cell>
          <cell r="T347">
            <v>1.5</v>
          </cell>
          <cell r="U347">
            <v>1.5</v>
          </cell>
          <cell r="V347">
            <v>1.5</v>
          </cell>
          <cell r="W347">
            <v>1.5</v>
          </cell>
          <cell r="X347">
            <v>1.5</v>
          </cell>
          <cell r="Z347">
            <v>1.5</v>
          </cell>
          <cell r="AA347">
            <v>1.5</v>
          </cell>
          <cell r="AB347">
            <v>1.5</v>
          </cell>
          <cell r="AD347">
            <v>1.5</v>
          </cell>
          <cell r="AE347">
            <v>1.5</v>
          </cell>
          <cell r="AG347">
            <v>2</v>
          </cell>
          <cell r="AH347">
            <v>30</v>
          </cell>
        </row>
        <row r="348">
          <cell r="C348">
            <v>50511</v>
          </cell>
          <cell r="E348">
            <v>44445</v>
          </cell>
          <cell r="F348" t="str">
            <v>LT</v>
          </cell>
          <cell r="G348" t="str">
            <v>LT</v>
          </cell>
          <cell r="H348" t="str">
            <v>LT</v>
          </cell>
          <cell r="I348" t="str">
            <v>LT</v>
          </cell>
          <cell r="J348" t="str">
            <v>F</v>
          </cell>
          <cell r="L348">
            <v>1</v>
          </cell>
          <cell r="M348">
            <v>2</v>
          </cell>
          <cell r="N348">
            <v>2</v>
          </cell>
          <cell r="O348">
            <v>2</v>
          </cell>
          <cell r="P348">
            <v>2</v>
          </cell>
          <cell r="Q348">
            <v>2</v>
          </cell>
          <cell r="S348">
            <v>2</v>
          </cell>
          <cell r="T348">
            <v>1.5</v>
          </cell>
          <cell r="U348">
            <v>1.5</v>
          </cell>
          <cell r="V348">
            <v>1.5</v>
          </cell>
          <cell r="W348">
            <v>3</v>
          </cell>
          <cell r="X348">
            <v>4</v>
          </cell>
          <cell r="Z348">
            <v>1.5</v>
          </cell>
          <cell r="AA348">
            <v>1.5</v>
          </cell>
          <cell r="AB348">
            <v>1.5</v>
          </cell>
          <cell r="AD348">
            <v>1</v>
          </cell>
          <cell r="AE348">
            <v>1.5</v>
          </cell>
          <cell r="AG348">
            <v>2</v>
          </cell>
          <cell r="AH348">
            <v>33.5</v>
          </cell>
        </row>
        <row r="349">
          <cell r="C349">
            <v>50584</v>
          </cell>
          <cell r="E349">
            <v>44470</v>
          </cell>
          <cell r="F349" t="str">
            <v>LT</v>
          </cell>
          <cell r="G349" t="str">
            <v>LT</v>
          </cell>
          <cell r="H349" t="str">
            <v>LT</v>
          </cell>
          <cell r="I349" t="str">
            <v>LT</v>
          </cell>
          <cell r="J349" t="str">
            <v>F</v>
          </cell>
          <cell r="L349">
            <v>1</v>
          </cell>
          <cell r="M349">
            <v>2</v>
          </cell>
          <cell r="N349">
            <v>2</v>
          </cell>
          <cell r="O349">
            <v>2</v>
          </cell>
          <cell r="P349">
            <v>2</v>
          </cell>
          <cell r="Q349">
            <v>2</v>
          </cell>
          <cell r="S349">
            <v>2</v>
          </cell>
          <cell r="T349">
            <v>1.5</v>
          </cell>
          <cell r="U349">
            <v>1.5</v>
          </cell>
          <cell r="V349">
            <v>1.5</v>
          </cell>
          <cell r="W349">
            <v>1.5</v>
          </cell>
          <cell r="X349">
            <v>1.5</v>
          </cell>
          <cell r="Z349">
            <v>1.5</v>
          </cell>
          <cell r="AA349">
            <v>1.5</v>
          </cell>
          <cell r="AB349">
            <v>1.5</v>
          </cell>
          <cell r="AD349">
            <v>1.5</v>
          </cell>
          <cell r="AE349">
            <v>1.5</v>
          </cell>
          <cell r="AG349" t="str">
            <v>Ô</v>
          </cell>
          <cell r="AH349">
            <v>28</v>
          </cell>
        </row>
        <row r="350">
          <cell r="C350">
            <v>50719</v>
          </cell>
          <cell r="E350">
            <v>44526</v>
          </cell>
          <cell r="F350" t="str">
            <v>LT</v>
          </cell>
          <cell r="G350" t="str">
            <v>LT</v>
          </cell>
          <cell r="H350" t="str">
            <v>LT</v>
          </cell>
          <cell r="I350" t="str">
            <v>LT</v>
          </cell>
          <cell r="J350" t="str">
            <v>F</v>
          </cell>
          <cell r="L350">
            <v>1</v>
          </cell>
          <cell r="M350">
            <v>2</v>
          </cell>
          <cell r="N350">
            <v>2</v>
          </cell>
          <cell r="O350">
            <v>2</v>
          </cell>
          <cell r="P350">
            <v>2</v>
          </cell>
          <cell r="Q350">
            <v>2</v>
          </cell>
          <cell r="S350">
            <v>2</v>
          </cell>
          <cell r="T350">
            <v>1.5</v>
          </cell>
          <cell r="U350">
            <v>1.5</v>
          </cell>
          <cell r="V350">
            <v>1.5</v>
          </cell>
          <cell r="W350">
            <v>1.5</v>
          </cell>
          <cell r="X350">
            <v>1.5</v>
          </cell>
          <cell r="Z350">
            <v>1.5</v>
          </cell>
          <cell r="AA350">
            <v>1.5</v>
          </cell>
          <cell r="AB350">
            <v>1.5</v>
          </cell>
          <cell r="AD350">
            <v>1.5</v>
          </cell>
          <cell r="AE350">
            <v>1.5</v>
          </cell>
          <cell r="AG350">
            <v>2</v>
          </cell>
          <cell r="AH350">
            <v>30</v>
          </cell>
        </row>
        <row r="351">
          <cell r="C351">
            <v>50761</v>
          </cell>
          <cell r="E351">
            <v>44585</v>
          </cell>
          <cell r="F351" t="str">
            <v>LT</v>
          </cell>
          <cell r="G351" t="str">
            <v>LT</v>
          </cell>
          <cell r="H351" t="str">
            <v>LT</v>
          </cell>
          <cell r="I351" t="str">
            <v>LT</v>
          </cell>
          <cell r="J351" t="str">
            <v>Ro</v>
          </cell>
          <cell r="L351">
            <v>1</v>
          </cell>
          <cell r="M351">
            <v>2</v>
          </cell>
          <cell r="N351">
            <v>2</v>
          </cell>
          <cell r="O351">
            <v>2</v>
          </cell>
          <cell r="P351">
            <v>2</v>
          </cell>
          <cell r="Q351">
            <v>2</v>
          </cell>
          <cell r="S351">
            <v>2</v>
          </cell>
          <cell r="T351" t="str">
            <v>Ro</v>
          </cell>
          <cell r="U351">
            <v>1.5</v>
          </cell>
          <cell r="V351">
            <v>1.5</v>
          </cell>
          <cell r="W351">
            <v>1.5</v>
          </cell>
          <cell r="X351">
            <v>1.5</v>
          </cell>
          <cell r="Z351">
            <v>1.5</v>
          </cell>
          <cell r="AA351">
            <v>1.5</v>
          </cell>
          <cell r="AB351">
            <v>1.5</v>
          </cell>
          <cell r="AD351">
            <v>1.5</v>
          </cell>
          <cell r="AE351">
            <v>1.5</v>
          </cell>
          <cell r="AG351">
            <v>2</v>
          </cell>
          <cell r="AH351">
            <v>28.5</v>
          </cell>
        </row>
        <row r="352">
          <cell r="C352">
            <v>50771</v>
          </cell>
          <cell r="E352">
            <v>44601</v>
          </cell>
          <cell r="N352">
            <v>2</v>
          </cell>
          <cell r="O352">
            <v>2</v>
          </cell>
          <cell r="P352">
            <v>2</v>
          </cell>
          <cell r="Q352" t="str">
            <v>Ro</v>
          </cell>
          <cell r="S352">
            <v>2</v>
          </cell>
          <cell r="T352">
            <v>1.5</v>
          </cell>
          <cell r="U352">
            <v>1.5</v>
          </cell>
          <cell r="V352">
            <v>1.5</v>
          </cell>
          <cell r="W352">
            <v>1.5</v>
          </cell>
          <cell r="X352">
            <v>4</v>
          </cell>
          <cell r="Z352">
            <v>1.5</v>
          </cell>
          <cell r="AA352">
            <v>0</v>
          </cell>
          <cell r="AB352" t="str">
            <v>Ô</v>
          </cell>
          <cell r="AD352" t="str">
            <v>Ô</v>
          </cell>
          <cell r="AE352" t="str">
            <v>Ô</v>
          </cell>
          <cell r="AG352" t="str">
            <v>Ô</v>
          </cell>
          <cell r="AH352">
            <v>19.5</v>
          </cell>
        </row>
        <row r="353">
          <cell r="C353">
            <v>50775</v>
          </cell>
          <cell r="E353">
            <v>44602</v>
          </cell>
          <cell r="O353">
            <v>2</v>
          </cell>
          <cell r="P353">
            <v>2</v>
          </cell>
          <cell r="Q353">
            <v>2</v>
          </cell>
          <cell r="S353">
            <v>2</v>
          </cell>
          <cell r="T353">
            <v>1.5</v>
          </cell>
          <cell r="U353">
            <v>1.5</v>
          </cell>
          <cell r="V353">
            <v>1.5</v>
          </cell>
          <cell r="W353">
            <v>1.5</v>
          </cell>
          <cell r="X353">
            <v>4</v>
          </cell>
          <cell r="Z353">
            <v>1.5</v>
          </cell>
          <cell r="AA353">
            <v>1.5</v>
          </cell>
          <cell r="AB353">
            <v>1.5</v>
          </cell>
          <cell r="AD353">
            <v>1</v>
          </cell>
          <cell r="AE353">
            <v>1.5</v>
          </cell>
          <cell r="AG353">
            <v>2</v>
          </cell>
          <cell r="AH353">
            <v>27</v>
          </cell>
        </row>
        <row r="354">
          <cell r="C354">
            <v>50785</v>
          </cell>
          <cell r="E354">
            <v>44606</v>
          </cell>
          <cell r="S354">
            <v>2</v>
          </cell>
          <cell r="T354">
            <v>1.5</v>
          </cell>
          <cell r="U354">
            <v>1.5</v>
          </cell>
          <cell r="V354">
            <v>1.5</v>
          </cell>
          <cell r="W354">
            <v>1.5</v>
          </cell>
          <cell r="X354">
            <v>1.5</v>
          </cell>
          <cell r="Z354">
            <v>1.5</v>
          </cell>
          <cell r="AA354">
            <v>1.5</v>
          </cell>
          <cell r="AB354">
            <v>1.5</v>
          </cell>
          <cell r="AD354">
            <v>1.5</v>
          </cell>
          <cell r="AE354">
            <v>1.5</v>
          </cell>
          <cell r="AG354">
            <v>2</v>
          </cell>
          <cell r="AH354">
            <v>19</v>
          </cell>
        </row>
        <row r="355">
          <cell r="C355">
            <v>50813</v>
          </cell>
          <cell r="E355">
            <v>44614</v>
          </cell>
          <cell r="AA355">
            <v>1.5</v>
          </cell>
          <cell r="AB355">
            <v>1.5</v>
          </cell>
          <cell r="AD355">
            <v>1.5</v>
          </cell>
          <cell r="AE355">
            <v>1.5</v>
          </cell>
          <cell r="AG355">
            <v>2</v>
          </cell>
          <cell r="AH355">
            <v>8</v>
          </cell>
        </row>
        <row r="356">
          <cell r="C356">
            <v>50816</v>
          </cell>
          <cell r="E356">
            <v>44615</v>
          </cell>
          <cell r="AB356">
            <v>1.5</v>
          </cell>
          <cell r="AD356" t="str">
            <v>Ro</v>
          </cell>
          <cell r="AE356">
            <v>1.5</v>
          </cell>
          <cell r="AG356">
            <v>2</v>
          </cell>
          <cell r="AH356">
            <v>5</v>
          </cell>
        </row>
        <row r="357">
          <cell r="C357">
            <v>50817</v>
          </cell>
          <cell r="E357">
            <v>44615</v>
          </cell>
          <cell r="AB357">
            <v>1.5</v>
          </cell>
          <cell r="AD357">
            <v>2</v>
          </cell>
          <cell r="AE357">
            <v>1.5</v>
          </cell>
          <cell r="AG357">
            <v>2</v>
          </cell>
          <cell r="AH357">
            <v>7</v>
          </cell>
        </row>
        <row r="358">
          <cell r="C358" t="str">
            <v>QL002</v>
          </cell>
          <cell r="E358">
            <v>0</v>
          </cell>
          <cell r="F358" t="str">
            <v>LT</v>
          </cell>
          <cell r="G358" t="str">
            <v>LT</v>
          </cell>
          <cell r="H358" t="str">
            <v>LT</v>
          </cell>
          <cell r="I358" t="str">
            <v>LT</v>
          </cell>
          <cell r="J358" t="str">
            <v>F</v>
          </cell>
          <cell r="L358">
            <v>1</v>
          </cell>
          <cell r="M358">
            <v>2</v>
          </cell>
          <cell r="N358">
            <v>2</v>
          </cell>
          <cell r="O358">
            <v>2</v>
          </cell>
          <cell r="P358">
            <v>2</v>
          </cell>
          <cell r="Q358">
            <v>2</v>
          </cell>
          <cell r="S358">
            <v>2</v>
          </cell>
          <cell r="T358">
            <v>1.5</v>
          </cell>
          <cell r="U358">
            <v>1.5</v>
          </cell>
          <cell r="V358">
            <v>1.5</v>
          </cell>
          <cell r="W358">
            <v>1.5</v>
          </cell>
          <cell r="X358">
            <v>1.5</v>
          </cell>
          <cell r="Z358">
            <v>1.5</v>
          </cell>
          <cell r="AA358">
            <v>1.5</v>
          </cell>
          <cell r="AB358">
            <v>1.5</v>
          </cell>
          <cell r="AD358">
            <v>1.5</v>
          </cell>
          <cell r="AE358" t="str">
            <v>F</v>
          </cell>
          <cell r="AG358">
            <v>2</v>
          </cell>
          <cell r="AH358">
            <v>28.5</v>
          </cell>
        </row>
        <row r="359">
          <cell r="C359">
            <v>50060</v>
          </cell>
          <cell r="E359">
            <v>43984</v>
          </cell>
          <cell r="F359" t="str">
            <v>LT</v>
          </cell>
          <cell r="G359" t="str">
            <v>LT</v>
          </cell>
          <cell r="H359" t="str">
            <v>LT</v>
          </cell>
          <cell r="I359" t="str">
            <v>LT</v>
          </cell>
          <cell r="J359" t="str">
            <v>F</v>
          </cell>
          <cell r="L359">
            <v>1</v>
          </cell>
          <cell r="M359">
            <v>2</v>
          </cell>
          <cell r="N359">
            <v>2</v>
          </cell>
          <cell r="O359">
            <v>2</v>
          </cell>
          <cell r="P359">
            <v>2</v>
          </cell>
          <cell r="Q359">
            <v>2</v>
          </cell>
          <cell r="S359">
            <v>2</v>
          </cell>
          <cell r="T359">
            <v>1.5</v>
          </cell>
          <cell r="U359">
            <v>1.5</v>
          </cell>
          <cell r="V359">
            <v>1.5</v>
          </cell>
          <cell r="W359">
            <v>1.5</v>
          </cell>
          <cell r="X359">
            <v>1.5</v>
          </cell>
          <cell r="Z359">
            <v>1.5</v>
          </cell>
          <cell r="AA359" t="str">
            <v>Ô</v>
          </cell>
          <cell r="AB359" t="str">
            <v>Ô</v>
          </cell>
          <cell r="AD359" t="str">
            <v>Ô</v>
          </cell>
          <cell r="AE359">
            <v>2</v>
          </cell>
          <cell r="AG359">
            <v>2</v>
          </cell>
          <cell r="AH359">
            <v>26</v>
          </cell>
        </row>
        <row r="360">
          <cell r="C360">
            <v>50079</v>
          </cell>
          <cell r="E360">
            <v>44014</v>
          </cell>
          <cell r="F360" t="str">
            <v>LT</v>
          </cell>
          <cell r="G360" t="str">
            <v>LT</v>
          </cell>
          <cell r="H360" t="str">
            <v>LT</v>
          </cell>
          <cell r="I360" t="str">
            <v>LT</v>
          </cell>
          <cell r="J360" t="str">
            <v>F</v>
          </cell>
          <cell r="L360">
            <v>1</v>
          </cell>
          <cell r="M360">
            <v>2</v>
          </cell>
          <cell r="N360">
            <v>2</v>
          </cell>
          <cell r="O360">
            <v>2</v>
          </cell>
          <cell r="P360">
            <v>2</v>
          </cell>
          <cell r="Q360">
            <v>2</v>
          </cell>
          <cell r="S360">
            <v>2</v>
          </cell>
          <cell r="T360">
            <v>1.5</v>
          </cell>
          <cell r="U360">
            <v>1.5</v>
          </cell>
          <cell r="V360">
            <v>1.5</v>
          </cell>
          <cell r="W360">
            <v>1.5</v>
          </cell>
          <cell r="X360">
            <v>1.5</v>
          </cell>
          <cell r="Z360">
            <v>1.5</v>
          </cell>
          <cell r="AA360">
            <v>1.5</v>
          </cell>
          <cell r="AB360" t="str">
            <v>Ô</v>
          </cell>
          <cell r="AD360" t="str">
            <v>Ô</v>
          </cell>
          <cell r="AE360" t="str">
            <v>Ô</v>
          </cell>
          <cell r="AG360">
            <v>2</v>
          </cell>
          <cell r="AH360">
            <v>25.5</v>
          </cell>
        </row>
        <row r="361">
          <cell r="C361">
            <v>50257</v>
          </cell>
          <cell r="E361">
            <v>44327</v>
          </cell>
          <cell r="F361" t="str">
            <v>LT</v>
          </cell>
          <cell r="G361" t="str">
            <v>LT</v>
          </cell>
          <cell r="H361" t="str">
            <v>LT</v>
          </cell>
          <cell r="I361" t="str">
            <v>LT</v>
          </cell>
          <cell r="J361" t="str">
            <v>F</v>
          </cell>
          <cell r="L361">
            <v>1</v>
          </cell>
          <cell r="M361">
            <v>2</v>
          </cell>
          <cell r="N361">
            <v>2</v>
          </cell>
          <cell r="O361">
            <v>2</v>
          </cell>
          <cell r="P361">
            <v>2</v>
          </cell>
          <cell r="Q361">
            <v>2</v>
          </cell>
          <cell r="S361">
            <v>2</v>
          </cell>
          <cell r="T361">
            <v>1.5</v>
          </cell>
          <cell r="U361">
            <v>1.5</v>
          </cell>
          <cell r="V361">
            <v>1.5</v>
          </cell>
          <cell r="W361">
            <v>1.5</v>
          </cell>
          <cell r="X361">
            <v>1.5</v>
          </cell>
          <cell r="Z361">
            <v>1.5</v>
          </cell>
          <cell r="AA361">
            <v>1.5</v>
          </cell>
          <cell r="AB361">
            <v>1.5</v>
          </cell>
          <cell r="AD361">
            <v>1.5</v>
          </cell>
          <cell r="AE361">
            <v>1.5</v>
          </cell>
          <cell r="AG361" t="str">
            <v>F</v>
          </cell>
          <cell r="AH361">
            <v>28</v>
          </cell>
        </row>
        <row r="362">
          <cell r="C362">
            <v>50393</v>
          </cell>
          <cell r="E362">
            <v>44413</v>
          </cell>
          <cell r="F362" t="str">
            <v>LT</v>
          </cell>
          <cell r="G362" t="str">
            <v>LT</v>
          </cell>
          <cell r="H362" t="str">
            <v>LT</v>
          </cell>
          <cell r="I362" t="str">
            <v>LT</v>
          </cell>
          <cell r="J362" t="str">
            <v>F</v>
          </cell>
          <cell r="L362">
            <v>1</v>
          </cell>
          <cell r="M362">
            <v>2</v>
          </cell>
          <cell r="N362">
            <v>2</v>
          </cell>
          <cell r="O362">
            <v>2</v>
          </cell>
          <cell r="P362">
            <v>2</v>
          </cell>
          <cell r="Q362">
            <v>2</v>
          </cell>
          <cell r="S362">
            <v>2</v>
          </cell>
          <cell r="T362">
            <v>1.5</v>
          </cell>
          <cell r="U362">
            <v>1.5</v>
          </cell>
          <cell r="V362" t="str">
            <v>Ô</v>
          </cell>
          <cell r="W362" t="str">
            <v>Ô</v>
          </cell>
          <cell r="X362" t="str">
            <v>Ô</v>
          </cell>
          <cell r="Z362" t="str">
            <v>Ô</v>
          </cell>
          <cell r="AA362" t="str">
            <v>Ô</v>
          </cell>
          <cell r="AB362" t="str">
            <v>Ô</v>
          </cell>
          <cell r="AD362">
            <v>1.5</v>
          </cell>
          <cell r="AE362">
            <v>1.5</v>
          </cell>
          <cell r="AG362">
            <v>2</v>
          </cell>
          <cell r="AH362">
            <v>21</v>
          </cell>
        </row>
        <row r="363">
          <cell r="C363">
            <v>50311</v>
          </cell>
          <cell r="E363">
            <v>44410</v>
          </cell>
          <cell r="F363" t="str">
            <v>LT</v>
          </cell>
          <cell r="G363" t="str">
            <v>LT</v>
          </cell>
          <cell r="H363" t="str">
            <v>LT</v>
          </cell>
          <cell r="I363" t="str">
            <v>LT</v>
          </cell>
          <cell r="J363" t="str">
            <v>F</v>
          </cell>
          <cell r="L363">
            <v>2.5</v>
          </cell>
          <cell r="M363">
            <v>1.5</v>
          </cell>
          <cell r="N363" t="str">
            <v>F</v>
          </cell>
          <cell r="O363">
            <v>3</v>
          </cell>
          <cell r="P363">
            <v>3</v>
          </cell>
          <cell r="Q363">
            <v>2.5</v>
          </cell>
          <cell r="S363">
            <v>2.5</v>
          </cell>
          <cell r="T363">
            <v>2.5</v>
          </cell>
          <cell r="U363">
            <v>1.5</v>
          </cell>
          <cell r="V363">
            <v>2.5</v>
          </cell>
          <cell r="W363">
            <v>1.5</v>
          </cell>
          <cell r="X363">
            <v>2</v>
          </cell>
          <cell r="Z363">
            <v>1.5</v>
          </cell>
          <cell r="AA363">
            <v>2.5</v>
          </cell>
          <cell r="AB363">
            <v>1.5</v>
          </cell>
          <cell r="AD363">
            <v>2.5</v>
          </cell>
          <cell r="AE363">
            <v>2.5</v>
          </cell>
          <cell r="AG363">
            <v>3</v>
          </cell>
          <cell r="AH363">
            <v>38.5</v>
          </cell>
        </row>
        <row r="364">
          <cell r="C364">
            <v>50312</v>
          </cell>
          <cell r="E364">
            <v>44398</v>
          </cell>
          <cell r="F364" t="str">
            <v>LT</v>
          </cell>
          <cell r="G364" t="str">
            <v>LT</v>
          </cell>
          <cell r="H364" t="str">
            <v>LT</v>
          </cell>
          <cell r="I364" t="str">
            <v>LT</v>
          </cell>
          <cell r="J364" t="str">
            <v>F</v>
          </cell>
          <cell r="L364">
            <v>2.5</v>
          </cell>
          <cell r="M364">
            <v>2.5</v>
          </cell>
          <cell r="N364">
            <v>3</v>
          </cell>
          <cell r="O364">
            <v>3</v>
          </cell>
          <cell r="P364">
            <v>3</v>
          </cell>
          <cell r="Q364">
            <v>2.5</v>
          </cell>
          <cell r="S364">
            <v>2.5</v>
          </cell>
          <cell r="T364">
            <v>2.5</v>
          </cell>
          <cell r="U364">
            <v>1.5</v>
          </cell>
          <cell r="V364">
            <v>2.5</v>
          </cell>
          <cell r="W364">
            <v>1.5</v>
          </cell>
          <cell r="X364">
            <v>2</v>
          </cell>
          <cell r="Z364">
            <v>1.5</v>
          </cell>
          <cell r="AA364">
            <v>2.5</v>
          </cell>
          <cell r="AB364">
            <v>1.5</v>
          </cell>
          <cell r="AD364">
            <v>2.5</v>
          </cell>
          <cell r="AE364">
            <v>2.5</v>
          </cell>
          <cell r="AG364">
            <v>3</v>
          </cell>
          <cell r="AH364">
            <v>42.5</v>
          </cell>
        </row>
        <row r="365">
          <cell r="C365">
            <v>50417</v>
          </cell>
          <cell r="E365">
            <v>44419</v>
          </cell>
          <cell r="F365" t="str">
            <v>LT</v>
          </cell>
          <cell r="G365" t="str">
            <v>LT</v>
          </cell>
          <cell r="H365" t="str">
            <v>LT</v>
          </cell>
          <cell r="I365" t="str">
            <v>LT</v>
          </cell>
          <cell r="J365" t="str">
            <v>F</v>
          </cell>
          <cell r="L365">
            <v>2.5</v>
          </cell>
          <cell r="M365">
            <v>2.5</v>
          </cell>
          <cell r="N365">
            <v>3</v>
          </cell>
          <cell r="O365">
            <v>3</v>
          </cell>
          <cell r="P365">
            <v>3</v>
          </cell>
          <cell r="Q365">
            <v>2.5</v>
          </cell>
          <cell r="S365">
            <v>1.5</v>
          </cell>
          <cell r="T365">
            <v>1.5</v>
          </cell>
          <cell r="U365">
            <v>3.5</v>
          </cell>
          <cell r="V365">
            <v>1.5</v>
          </cell>
          <cell r="W365">
            <v>2.5</v>
          </cell>
          <cell r="X365">
            <v>2</v>
          </cell>
          <cell r="Z365">
            <v>3.5</v>
          </cell>
          <cell r="AA365">
            <v>1.5</v>
          </cell>
          <cell r="AB365">
            <v>3.5</v>
          </cell>
          <cell r="AD365">
            <v>2.5</v>
          </cell>
          <cell r="AE365">
            <v>2.5</v>
          </cell>
          <cell r="AG365">
            <v>3</v>
          </cell>
          <cell r="AH365">
            <v>45.5</v>
          </cell>
        </row>
        <row r="366">
          <cell r="C366">
            <v>50659</v>
          </cell>
          <cell r="E366">
            <v>44495</v>
          </cell>
          <cell r="F366" t="str">
            <v>LT</v>
          </cell>
          <cell r="G366" t="str">
            <v>LT</v>
          </cell>
          <cell r="H366" t="str">
            <v>LT</v>
          </cell>
          <cell r="I366" t="str">
            <v>LT</v>
          </cell>
          <cell r="J366" t="str">
            <v>F</v>
          </cell>
          <cell r="L366" t="str">
            <v>Ô</v>
          </cell>
          <cell r="M366" t="str">
            <v>Ô</v>
          </cell>
          <cell r="N366" t="str">
            <v>Ô</v>
          </cell>
          <cell r="O366" t="str">
            <v>Ô</v>
          </cell>
          <cell r="P366" t="str">
            <v>Ô</v>
          </cell>
          <cell r="Q366" t="str">
            <v>Ô</v>
          </cell>
          <cell r="S366">
            <v>2.5</v>
          </cell>
          <cell r="T366">
            <v>1.5</v>
          </cell>
          <cell r="U366">
            <v>3.5</v>
          </cell>
          <cell r="V366">
            <v>1.5</v>
          </cell>
          <cell r="W366">
            <v>2.5</v>
          </cell>
          <cell r="X366">
            <v>2</v>
          </cell>
          <cell r="Z366">
            <v>3.5</v>
          </cell>
          <cell r="AA366">
            <v>1.5</v>
          </cell>
          <cell r="AB366">
            <v>3.5</v>
          </cell>
          <cell r="AD366">
            <v>2.5</v>
          </cell>
          <cell r="AE366">
            <v>2.5</v>
          </cell>
          <cell r="AG366">
            <v>3</v>
          </cell>
          <cell r="AH366">
            <v>30</v>
          </cell>
        </row>
        <row r="367">
          <cell r="C367">
            <v>50169</v>
          </cell>
          <cell r="E367">
            <v>44252</v>
          </cell>
          <cell r="F367" t="str">
            <v>LT</v>
          </cell>
          <cell r="G367" t="str">
            <v>LT</v>
          </cell>
          <cell r="H367" t="str">
            <v>LT</v>
          </cell>
          <cell r="I367" t="str">
            <v>LT</v>
          </cell>
          <cell r="J367" t="str">
            <v>F</v>
          </cell>
          <cell r="L367">
            <v>1</v>
          </cell>
          <cell r="M367">
            <v>1.5</v>
          </cell>
          <cell r="N367">
            <v>1.5</v>
          </cell>
          <cell r="O367">
            <v>1.5</v>
          </cell>
          <cell r="P367">
            <v>1.5</v>
          </cell>
          <cell r="Q367">
            <v>1.5</v>
          </cell>
          <cell r="S367">
            <v>1.5</v>
          </cell>
          <cell r="T367">
            <v>1.5</v>
          </cell>
          <cell r="U367">
            <v>1.5</v>
          </cell>
          <cell r="V367">
            <v>1.5</v>
          </cell>
          <cell r="W367">
            <v>1.5</v>
          </cell>
          <cell r="X367">
            <v>1.5</v>
          </cell>
          <cell r="Z367">
            <v>1.5</v>
          </cell>
          <cell r="AA367">
            <v>1.5</v>
          </cell>
          <cell r="AB367">
            <v>1.5</v>
          </cell>
          <cell r="AD367">
            <v>1.5</v>
          </cell>
          <cell r="AE367">
            <v>1.5</v>
          </cell>
          <cell r="AG367">
            <v>1.5</v>
          </cell>
          <cell r="AH367">
            <v>26.5</v>
          </cell>
        </row>
        <row r="368">
          <cell r="C368">
            <v>50524</v>
          </cell>
          <cell r="E368">
            <v>44446</v>
          </cell>
          <cell r="F368" t="str">
            <v>LT</v>
          </cell>
          <cell r="G368" t="str">
            <v>LT</v>
          </cell>
          <cell r="H368" t="str">
            <v>LT</v>
          </cell>
          <cell r="I368" t="str">
            <v>LT</v>
          </cell>
          <cell r="J368" t="str">
            <v>F</v>
          </cell>
          <cell r="L368">
            <v>2</v>
          </cell>
          <cell r="M368">
            <v>1.5</v>
          </cell>
          <cell r="N368">
            <v>1.5</v>
          </cell>
          <cell r="O368">
            <v>1.5</v>
          </cell>
          <cell r="P368">
            <v>1.5</v>
          </cell>
          <cell r="Q368">
            <v>1.5</v>
          </cell>
          <cell r="S368">
            <v>1.5</v>
          </cell>
          <cell r="T368">
            <v>1.5</v>
          </cell>
          <cell r="U368">
            <v>1.5</v>
          </cell>
          <cell r="V368">
            <v>1.5</v>
          </cell>
          <cell r="W368">
            <v>1.5</v>
          </cell>
          <cell r="X368">
            <v>1.5</v>
          </cell>
          <cell r="Z368">
            <v>1.5</v>
          </cell>
          <cell r="AA368">
            <v>1.5</v>
          </cell>
          <cell r="AB368">
            <v>1.5</v>
          </cell>
          <cell r="AD368">
            <v>1.5</v>
          </cell>
          <cell r="AE368">
            <v>1.5</v>
          </cell>
          <cell r="AG368">
            <v>1.5</v>
          </cell>
          <cell r="AH368">
            <v>27.5</v>
          </cell>
        </row>
        <row r="369">
          <cell r="C369">
            <v>50767</v>
          </cell>
          <cell r="E369">
            <v>44223</v>
          </cell>
          <cell r="F369" t="str">
            <v>LT</v>
          </cell>
          <cell r="G369" t="str">
            <v>LT</v>
          </cell>
          <cell r="H369" t="str">
            <v>LT</v>
          </cell>
          <cell r="I369" t="str">
            <v>LT</v>
          </cell>
          <cell r="J369" t="str">
            <v>Ro</v>
          </cell>
          <cell r="L369">
            <v>1</v>
          </cell>
          <cell r="M369" t="str">
            <v>Ro</v>
          </cell>
          <cell r="N369">
            <v>1.5</v>
          </cell>
          <cell r="O369">
            <v>1.5</v>
          </cell>
          <cell r="P369">
            <v>1.5</v>
          </cell>
          <cell r="Q369">
            <v>1.5</v>
          </cell>
          <cell r="S369">
            <v>1.5</v>
          </cell>
          <cell r="T369">
            <v>1.5</v>
          </cell>
          <cell r="U369">
            <v>1.5</v>
          </cell>
          <cell r="V369">
            <v>1.5</v>
          </cell>
          <cell r="W369">
            <v>1.5</v>
          </cell>
          <cell r="X369">
            <v>1.5</v>
          </cell>
          <cell r="Z369">
            <v>1.5</v>
          </cell>
          <cell r="AA369">
            <v>1.5</v>
          </cell>
          <cell r="AB369">
            <v>1.5</v>
          </cell>
          <cell r="AD369">
            <v>1.5</v>
          </cell>
          <cell r="AE369">
            <v>1.5</v>
          </cell>
          <cell r="AG369">
            <v>1.5</v>
          </cell>
          <cell r="AH369">
            <v>25</v>
          </cell>
        </row>
        <row r="370">
          <cell r="C370">
            <v>50828</v>
          </cell>
          <cell r="E370">
            <v>44611</v>
          </cell>
          <cell r="X370">
            <v>1.5</v>
          </cell>
          <cell r="Z370">
            <v>1.5</v>
          </cell>
          <cell r="AA370">
            <v>1.5</v>
          </cell>
          <cell r="AB370">
            <v>1.5</v>
          </cell>
          <cell r="AD370">
            <v>1.5</v>
          </cell>
          <cell r="AE370">
            <v>1.5</v>
          </cell>
          <cell r="AG370">
            <v>1.5</v>
          </cell>
          <cell r="AH370">
            <v>10.5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 nhỏ"/>
      <sheetName val="T2"/>
    </sheetNames>
    <sheetDataSet>
      <sheetData sheetId="0" refreshError="1">
        <row r="4">
          <cell r="A4">
            <v>50010</v>
          </cell>
          <cell r="B4">
            <v>10000</v>
          </cell>
        </row>
        <row r="5">
          <cell r="A5">
            <v>50012</v>
          </cell>
          <cell r="B5">
            <v>20000</v>
          </cell>
        </row>
        <row r="6">
          <cell r="A6">
            <v>50014</v>
          </cell>
          <cell r="B6">
            <v>10000</v>
          </cell>
        </row>
        <row r="7">
          <cell r="A7">
            <v>50015</v>
          </cell>
          <cell r="B7">
            <v>10000</v>
          </cell>
        </row>
        <row r="8">
          <cell r="A8">
            <v>50016</v>
          </cell>
          <cell r="B8">
            <v>10000</v>
          </cell>
        </row>
        <row r="9">
          <cell r="A9">
            <v>50018</v>
          </cell>
          <cell r="B9">
            <v>10000</v>
          </cell>
        </row>
        <row r="10">
          <cell r="A10">
            <v>50023</v>
          </cell>
          <cell r="B10">
            <v>20000</v>
          </cell>
        </row>
        <row r="11">
          <cell r="A11">
            <v>50028</v>
          </cell>
          <cell r="B11">
            <v>20000</v>
          </cell>
        </row>
        <row r="12">
          <cell r="A12">
            <v>50029</v>
          </cell>
          <cell r="B12">
            <v>10000</v>
          </cell>
        </row>
        <row r="13">
          <cell r="A13">
            <v>50035</v>
          </cell>
          <cell r="B13">
            <v>10000</v>
          </cell>
        </row>
        <row r="14">
          <cell r="A14">
            <v>50049</v>
          </cell>
          <cell r="B14">
            <v>20000</v>
          </cell>
        </row>
        <row r="15">
          <cell r="A15">
            <v>50056</v>
          </cell>
          <cell r="B15">
            <v>10000</v>
          </cell>
        </row>
        <row r="16">
          <cell r="A16">
            <v>50060</v>
          </cell>
          <cell r="B16">
            <v>10000</v>
          </cell>
        </row>
        <row r="17">
          <cell r="A17">
            <v>50063</v>
          </cell>
          <cell r="B17">
            <v>20000</v>
          </cell>
        </row>
        <row r="18">
          <cell r="A18">
            <v>50073</v>
          </cell>
          <cell r="B18">
            <v>10000</v>
          </cell>
        </row>
        <row r="19">
          <cell r="A19">
            <v>50075</v>
          </cell>
          <cell r="B19">
            <v>10000</v>
          </cell>
        </row>
        <row r="20">
          <cell r="A20">
            <v>50078</v>
          </cell>
          <cell r="B20">
            <v>20000</v>
          </cell>
        </row>
        <row r="21">
          <cell r="A21">
            <v>50079</v>
          </cell>
          <cell r="B21">
            <v>10000</v>
          </cell>
        </row>
        <row r="22">
          <cell r="A22">
            <v>50089</v>
          </cell>
          <cell r="B22">
            <v>10000</v>
          </cell>
        </row>
        <row r="23">
          <cell r="A23">
            <v>50096</v>
          </cell>
          <cell r="B23">
            <v>20000</v>
          </cell>
        </row>
        <row r="24">
          <cell r="A24">
            <v>50098</v>
          </cell>
          <cell r="B24">
            <v>10000</v>
          </cell>
        </row>
        <row r="25">
          <cell r="A25">
            <v>50105</v>
          </cell>
          <cell r="B25">
            <v>10000</v>
          </cell>
        </row>
        <row r="26">
          <cell r="A26">
            <v>50124</v>
          </cell>
          <cell r="B26">
            <v>10000</v>
          </cell>
        </row>
        <row r="27">
          <cell r="A27">
            <v>50125</v>
          </cell>
          <cell r="B27">
            <v>10000</v>
          </cell>
        </row>
        <row r="28">
          <cell r="A28">
            <v>50136</v>
          </cell>
          <cell r="B28">
            <v>20000</v>
          </cell>
        </row>
        <row r="29">
          <cell r="A29">
            <v>50138</v>
          </cell>
          <cell r="B29">
            <v>10000</v>
          </cell>
        </row>
        <row r="30">
          <cell r="A30">
            <v>50139</v>
          </cell>
          <cell r="B30">
            <v>10000</v>
          </cell>
        </row>
        <row r="31">
          <cell r="A31">
            <v>50141</v>
          </cell>
          <cell r="B31">
            <v>10000</v>
          </cell>
        </row>
        <row r="32">
          <cell r="A32">
            <v>50144</v>
          </cell>
          <cell r="B32">
            <v>20000</v>
          </cell>
        </row>
        <row r="33">
          <cell r="A33">
            <v>50147</v>
          </cell>
          <cell r="B33">
            <v>20000</v>
          </cell>
        </row>
        <row r="34">
          <cell r="A34">
            <v>50153</v>
          </cell>
          <cell r="B34">
            <v>10000</v>
          </cell>
        </row>
        <row r="35">
          <cell r="A35">
            <v>50154</v>
          </cell>
          <cell r="B35">
            <v>10000</v>
          </cell>
        </row>
        <row r="36">
          <cell r="A36">
            <v>50183</v>
          </cell>
          <cell r="B36">
            <v>10000</v>
          </cell>
        </row>
        <row r="37">
          <cell r="A37">
            <v>50198</v>
          </cell>
          <cell r="B37">
            <v>10000</v>
          </cell>
        </row>
        <row r="38">
          <cell r="A38">
            <v>50200</v>
          </cell>
          <cell r="B38">
            <v>10000</v>
          </cell>
        </row>
        <row r="39">
          <cell r="A39">
            <v>50212</v>
          </cell>
          <cell r="B39">
            <v>10000</v>
          </cell>
        </row>
        <row r="40">
          <cell r="A40">
            <v>50216</v>
          </cell>
          <cell r="B40">
            <v>10000</v>
          </cell>
        </row>
        <row r="41">
          <cell r="A41">
            <v>50218</v>
          </cell>
          <cell r="B41">
            <v>20000</v>
          </cell>
        </row>
        <row r="42">
          <cell r="A42">
            <v>50220</v>
          </cell>
          <cell r="B42">
            <v>10000</v>
          </cell>
        </row>
        <row r="43">
          <cell r="A43">
            <v>50221</v>
          </cell>
          <cell r="B43">
            <v>20000</v>
          </cell>
        </row>
        <row r="44">
          <cell r="A44">
            <v>50222</v>
          </cell>
          <cell r="B44">
            <v>20000</v>
          </cell>
        </row>
        <row r="45">
          <cell r="A45">
            <v>50225</v>
          </cell>
          <cell r="B45">
            <v>10000</v>
          </cell>
        </row>
        <row r="46">
          <cell r="A46">
            <v>50229</v>
          </cell>
          <cell r="B46">
            <v>10000</v>
          </cell>
        </row>
        <row r="47">
          <cell r="A47">
            <v>50230</v>
          </cell>
          <cell r="B47">
            <v>10000</v>
          </cell>
        </row>
        <row r="48">
          <cell r="A48">
            <v>50231</v>
          </cell>
          <cell r="B48">
            <v>10000</v>
          </cell>
        </row>
        <row r="49">
          <cell r="A49">
            <v>50238</v>
          </cell>
          <cell r="B49">
            <v>10000</v>
          </cell>
        </row>
        <row r="50">
          <cell r="A50">
            <v>50244</v>
          </cell>
          <cell r="B50">
            <v>10000</v>
          </cell>
        </row>
        <row r="51">
          <cell r="A51">
            <v>50253</v>
          </cell>
          <cell r="B51">
            <v>10000</v>
          </cell>
        </row>
        <row r="52">
          <cell r="A52">
            <v>50254</v>
          </cell>
          <cell r="B52">
            <v>10000</v>
          </cell>
        </row>
        <row r="53">
          <cell r="A53">
            <v>50255</v>
          </cell>
          <cell r="B53">
            <v>20000</v>
          </cell>
        </row>
        <row r="54">
          <cell r="A54">
            <v>50257</v>
          </cell>
          <cell r="B54">
            <v>10000</v>
          </cell>
        </row>
        <row r="55">
          <cell r="A55">
            <v>50258</v>
          </cell>
          <cell r="B55">
            <v>10000</v>
          </cell>
        </row>
        <row r="56">
          <cell r="A56">
            <v>50263</v>
          </cell>
          <cell r="B56">
            <v>10000</v>
          </cell>
        </row>
        <row r="57">
          <cell r="A57">
            <v>50266</v>
          </cell>
          <cell r="B57">
            <v>10000</v>
          </cell>
        </row>
        <row r="58">
          <cell r="A58">
            <v>50267</v>
          </cell>
          <cell r="B58">
            <v>10000</v>
          </cell>
        </row>
        <row r="59">
          <cell r="A59">
            <v>50274</v>
          </cell>
          <cell r="B59">
            <v>10000</v>
          </cell>
        </row>
        <row r="60">
          <cell r="A60">
            <v>50276</v>
          </cell>
          <cell r="B60">
            <v>20000</v>
          </cell>
        </row>
        <row r="61">
          <cell r="A61">
            <v>50282</v>
          </cell>
          <cell r="B61">
            <v>10000</v>
          </cell>
        </row>
        <row r="62">
          <cell r="A62">
            <v>50284</v>
          </cell>
          <cell r="B62">
            <v>10000</v>
          </cell>
        </row>
        <row r="63">
          <cell r="A63">
            <v>50287</v>
          </cell>
          <cell r="B63">
            <v>10000</v>
          </cell>
        </row>
        <row r="64">
          <cell r="A64">
            <v>50288</v>
          </cell>
          <cell r="B64">
            <v>10000</v>
          </cell>
        </row>
        <row r="65">
          <cell r="A65">
            <v>50289</v>
          </cell>
          <cell r="B65">
            <v>20000</v>
          </cell>
        </row>
        <row r="66">
          <cell r="A66">
            <v>50290</v>
          </cell>
          <cell r="B66">
            <v>10000</v>
          </cell>
        </row>
        <row r="67">
          <cell r="A67">
            <v>50293</v>
          </cell>
          <cell r="B67">
            <v>10000</v>
          </cell>
        </row>
        <row r="68">
          <cell r="A68">
            <v>50294</v>
          </cell>
          <cell r="B68">
            <v>20000</v>
          </cell>
        </row>
        <row r="69">
          <cell r="A69">
            <v>50329</v>
          </cell>
          <cell r="B69">
            <v>10000</v>
          </cell>
        </row>
        <row r="70">
          <cell r="A70">
            <v>50341</v>
          </cell>
          <cell r="B70">
            <v>10000</v>
          </cell>
        </row>
        <row r="71">
          <cell r="A71">
            <v>50362</v>
          </cell>
          <cell r="B71">
            <v>10000</v>
          </cell>
        </row>
        <row r="72">
          <cell r="A72">
            <v>50372</v>
          </cell>
          <cell r="B72">
            <v>20000</v>
          </cell>
        </row>
        <row r="73">
          <cell r="A73">
            <v>50374</v>
          </cell>
          <cell r="B73">
            <v>10000</v>
          </cell>
        </row>
        <row r="74">
          <cell r="A74">
            <v>50376</v>
          </cell>
          <cell r="B74">
            <v>20000</v>
          </cell>
        </row>
        <row r="75">
          <cell r="A75">
            <v>50389</v>
          </cell>
          <cell r="B75">
            <v>10000</v>
          </cell>
        </row>
        <row r="76">
          <cell r="A76">
            <v>50393</v>
          </cell>
          <cell r="B76">
            <v>10000</v>
          </cell>
        </row>
        <row r="77">
          <cell r="A77">
            <v>50394</v>
          </cell>
          <cell r="B77">
            <v>10000</v>
          </cell>
        </row>
        <row r="78">
          <cell r="A78">
            <v>50407</v>
          </cell>
          <cell r="B78">
            <v>20000</v>
          </cell>
        </row>
        <row r="79">
          <cell r="A79">
            <v>50417</v>
          </cell>
          <cell r="B79">
            <v>10000</v>
          </cell>
        </row>
        <row r="80">
          <cell r="A80">
            <v>50425</v>
          </cell>
          <cell r="B80">
            <v>10000</v>
          </cell>
        </row>
        <row r="81">
          <cell r="A81">
            <v>50446</v>
          </cell>
          <cell r="B81">
            <v>20000</v>
          </cell>
        </row>
        <row r="82">
          <cell r="A82">
            <v>50455</v>
          </cell>
          <cell r="B82">
            <v>10000</v>
          </cell>
        </row>
        <row r="83">
          <cell r="A83">
            <v>50459</v>
          </cell>
          <cell r="B83">
            <v>10000</v>
          </cell>
        </row>
        <row r="84">
          <cell r="A84">
            <v>50469</v>
          </cell>
          <cell r="B84">
            <v>10000</v>
          </cell>
        </row>
        <row r="85">
          <cell r="A85">
            <v>50477</v>
          </cell>
          <cell r="B85">
            <v>10000</v>
          </cell>
        </row>
        <row r="86">
          <cell r="A86">
            <v>50482</v>
          </cell>
          <cell r="B86">
            <v>10000</v>
          </cell>
        </row>
        <row r="87">
          <cell r="A87">
            <v>50486</v>
          </cell>
          <cell r="B87">
            <v>20000</v>
          </cell>
        </row>
        <row r="88">
          <cell r="A88">
            <v>50511</v>
          </cell>
          <cell r="B88">
            <v>10000</v>
          </cell>
        </row>
        <row r="89">
          <cell r="A89">
            <v>50518</v>
          </cell>
          <cell r="B89">
            <v>10000</v>
          </cell>
        </row>
        <row r="90">
          <cell r="A90">
            <v>50528</v>
          </cell>
          <cell r="B90">
            <v>10000</v>
          </cell>
        </row>
        <row r="91">
          <cell r="A91">
            <v>50550</v>
          </cell>
          <cell r="B91">
            <v>10000</v>
          </cell>
        </row>
        <row r="92">
          <cell r="A92">
            <v>50569</v>
          </cell>
          <cell r="B92">
            <v>20000</v>
          </cell>
        </row>
        <row r="93">
          <cell r="A93">
            <v>50584</v>
          </cell>
          <cell r="B93">
            <v>10000</v>
          </cell>
        </row>
        <row r="94">
          <cell r="A94">
            <v>50585</v>
          </cell>
          <cell r="B94">
            <v>10000</v>
          </cell>
        </row>
        <row r="95">
          <cell r="A95">
            <v>50613</v>
          </cell>
          <cell r="B95">
            <v>10000</v>
          </cell>
        </row>
        <row r="96">
          <cell r="A96">
            <v>50636</v>
          </cell>
          <cell r="B96">
            <v>20000</v>
          </cell>
        </row>
        <row r="97">
          <cell r="A97">
            <v>50637</v>
          </cell>
          <cell r="B97">
            <v>10000</v>
          </cell>
        </row>
        <row r="98">
          <cell r="A98">
            <v>50640</v>
          </cell>
          <cell r="B98">
            <v>10000</v>
          </cell>
        </row>
        <row r="99">
          <cell r="A99">
            <v>50688</v>
          </cell>
          <cell r="B99">
            <v>10000</v>
          </cell>
        </row>
        <row r="100">
          <cell r="A100">
            <v>50689</v>
          </cell>
          <cell r="B100">
            <v>10000</v>
          </cell>
        </row>
        <row r="101">
          <cell r="A101">
            <v>50703</v>
          </cell>
          <cell r="B101">
            <v>10000</v>
          </cell>
        </row>
        <row r="102">
          <cell r="A102">
            <v>50723</v>
          </cell>
          <cell r="B102">
            <v>20000</v>
          </cell>
        </row>
        <row r="103">
          <cell r="A103">
            <v>50725</v>
          </cell>
          <cell r="B103">
            <v>20000</v>
          </cell>
        </row>
      </sheetData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1"/>
      <sheetName val="t2"/>
      <sheetName val="t3"/>
      <sheetName val="t4"/>
      <sheetName val="T5"/>
      <sheetName val="t6"/>
      <sheetName val="t7"/>
      <sheetName val="t8"/>
      <sheetName val="Sheet8"/>
      <sheetName val="T9"/>
      <sheetName val="Sheet5"/>
      <sheetName val="Sheet3"/>
    </sheetNames>
    <sheetDataSet>
      <sheetData sheetId="0">
        <row r="4">
          <cell r="A4">
            <v>2</v>
          </cell>
          <cell r="B4" t="str">
            <v>Bếp</v>
          </cell>
          <cell r="C4">
            <v>80610</v>
          </cell>
        </row>
        <row r="5">
          <cell r="A5">
            <v>3</v>
          </cell>
          <cell r="B5" t="str">
            <v>Bếp</v>
          </cell>
          <cell r="C5">
            <v>80999</v>
          </cell>
        </row>
        <row r="6">
          <cell r="A6">
            <v>4</v>
          </cell>
          <cell r="B6" t="str">
            <v>H.Thiện</v>
          </cell>
          <cell r="C6">
            <v>80352</v>
          </cell>
        </row>
        <row r="7">
          <cell r="A7">
            <v>5</v>
          </cell>
          <cell r="B7" t="str">
            <v>H.Thiện</v>
          </cell>
          <cell r="C7">
            <v>80876</v>
          </cell>
        </row>
        <row r="8">
          <cell r="A8">
            <v>6</v>
          </cell>
          <cell r="B8" t="str">
            <v>H.Thiện</v>
          </cell>
          <cell r="C8">
            <v>80876</v>
          </cell>
        </row>
        <row r="9">
          <cell r="A9">
            <v>7</v>
          </cell>
          <cell r="B9" t="str">
            <v>H.Thiện</v>
          </cell>
          <cell r="C9">
            <v>81354</v>
          </cell>
        </row>
        <row r="10">
          <cell r="A10">
            <v>8</v>
          </cell>
          <cell r="B10" t="str">
            <v>H.Thiện</v>
          </cell>
          <cell r="C10">
            <v>81555</v>
          </cell>
        </row>
        <row r="11">
          <cell r="A11">
            <v>9</v>
          </cell>
          <cell r="B11" t="str">
            <v>H.Thiện</v>
          </cell>
          <cell r="C11">
            <v>81609</v>
          </cell>
        </row>
        <row r="12">
          <cell r="A12">
            <v>10</v>
          </cell>
          <cell r="B12" t="str">
            <v>H.Thiện</v>
          </cell>
          <cell r="C12">
            <v>81609</v>
          </cell>
        </row>
        <row r="13">
          <cell r="A13">
            <v>11</v>
          </cell>
          <cell r="B13" t="str">
            <v>H.Thiện</v>
          </cell>
          <cell r="C13">
            <v>81658</v>
          </cell>
        </row>
        <row r="14">
          <cell r="A14">
            <v>12</v>
          </cell>
          <cell r="B14" t="str">
            <v>H.Thiện</v>
          </cell>
          <cell r="C14">
            <v>81674</v>
          </cell>
        </row>
        <row r="15">
          <cell r="A15">
            <v>13</v>
          </cell>
          <cell r="B15" t="str">
            <v>H.Thiện</v>
          </cell>
          <cell r="C15">
            <v>81988</v>
          </cell>
        </row>
        <row r="16">
          <cell r="A16">
            <v>14</v>
          </cell>
          <cell r="B16" t="str">
            <v>H.Thiện</v>
          </cell>
          <cell r="C16">
            <v>81988</v>
          </cell>
        </row>
        <row r="17">
          <cell r="A17">
            <v>15</v>
          </cell>
          <cell r="B17" t="str">
            <v>H.Thiện</v>
          </cell>
          <cell r="C17">
            <v>82912</v>
          </cell>
        </row>
        <row r="18">
          <cell r="A18">
            <v>16</v>
          </cell>
          <cell r="B18" t="str">
            <v>H.Thiện</v>
          </cell>
          <cell r="C18">
            <v>81987</v>
          </cell>
        </row>
        <row r="19">
          <cell r="A19">
            <v>17</v>
          </cell>
          <cell r="B19" t="str">
            <v>H.Thiện</v>
          </cell>
          <cell r="C19">
            <v>81987</v>
          </cell>
        </row>
        <row r="20">
          <cell r="A20">
            <v>18</v>
          </cell>
          <cell r="B20" t="str">
            <v>H.Thiện</v>
          </cell>
          <cell r="C20">
            <v>81262</v>
          </cell>
        </row>
        <row r="21">
          <cell r="A21">
            <v>19</v>
          </cell>
          <cell r="B21" t="str">
            <v>H.Thiện</v>
          </cell>
          <cell r="C21">
            <v>81262</v>
          </cell>
        </row>
        <row r="22">
          <cell r="A22">
            <v>20</v>
          </cell>
          <cell r="B22" t="str">
            <v>H.Thiện</v>
          </cell>
          <cell r="C22">
            <v>83258</v>
          </cell>
        </row>
        <row r="23">
          <cell r="A23">
            <v>21</v>
          </cell>
          <cell r="B23" t="str">
            <v>H.Thiện</v>
          </cell>
          <cell r="C23">
            <v>81975</v>
          </cell>
        </row>
        <row r="24">
          <cell r="A24">
            <v>22</v>
          </cell>
          <cell r="B24" t="str">
            <v>H.Thiện</v>
          </cell>
          <cell r="C24">
            <v>81984</v>
          </cell>
        </row>
        <row r="25">
          <cell r="A25">
            <v>23</v>
          </cell>
          <cell r="B25" t="str">
            <v>K.Hóa</v>
          </cell>
          <cell r="C25">
            <v>80031</v>
          </cell>
        </row>
        <row r="26">
          <cell r="A26">
            <v>24</v>
          </cell>
          <cell r="B26" t="str">
            <v>K.Hóa</v>
          </cell>
          <cell r="C26">
            <v>80031</v>
          </cell>
        </row>
        <row r="27">
          <cell r="A27">
            <v>25</v>
          </cell>
          <cell r="B27" t="str">
            <v>K.Hóa</v>
          </cell>
          <cell r="C27">
            <v>80053</v>
          </cell>
        </row>
        <row r="28">
          <cell r="A28">
            <v>26</v>
          </cell>
          <cell r="B28" t="str">
            <v>K.Hóa</v>
          </cell>
          <cell r="C28">
            <v>80061</v>
          </cell>
        </row>
        <row r="29">
          <cell r="A29">
            <v>27</v>
          </cell>
          <cell r="B29" t="str">
            <v>K.Hóa</v>
          </cell>
          <cell r="C29">
            <v>80061</v>
          </cell>
        </row>
        <row r="30">
          <cell r="A30">
            <v>28</v>
          </cell>
          <cell r="B30" t="str">
            <v>K.Hóa</v>
          </cell>
          <cell r="C30">
            <v>80082</v>
          </cell>
        </row>
        <row r="31">
          <cell r="A31">
            <v>29</v>
          </cell>
          <cell r="B31" t="str">
            <v>K.Hóa</v>
          </cell>
          <cell r="C31">
            <v>80125</v>
          </cell>
        </row>
        <row r="32">
          <cell r="A32">
            <v>30</v>
          </cell>
          <cell r="B32" t="str">
            <v>K.Hóa</v>
          </cell>
          <cell r="C32">
            <v>80131</v>
          </cell>
        </row>
        <row r="33">
          <cell r="A33">
            <v>31</v>
          </cell>
          <cell r="B33" t="str">
            <v>K.Hóa</v>
          </cell>
          <cell r="C33">
            <v>80201</v>
          </cell>
        </row>
        <row r="34">
          <cell r="A34">
            <v>32</v>
          </cell>
          <cell r="B34" t="str">
            <v>K.Hóa</v>
          </cell>
          <cell r="C34">
            <v>80201</v>
          </cell>
        </row>
        <row r="35">
          <cell r="A35">
            <v>33</v>
          </cell>
          <cell r="B35" t="str">
            <v>K.Hóa</v>
          </cell>
          <cell r="C35">
            <v>80203</v>
          </cell>
        </row>
        <row r="36">
          <cell r="A36">
            <v>34</v>
          </cell>
          <cell r="B36" t="str">
            <v>K.Hóa</v>
          </cell>
          <cell r="C36">
            <v>80203</v>
          </cell>
        </row>
        <row r="37">
          <cell r="A37">
            <v>35</v>
          </cell>
          <cell r="B37" t="str">
            <v>K.Hóa</v>
          </cell>
          <cell r="C37">
            <v>80265</v>
          </cell>
        </row>
        <row r="38">
          <cell r="A38">
            <v>36</v>
          </cell>
          <cell r="B38" t="str">
            <v>K.Hóa</v>
          </cell>
          <cell r="C38">
            <v>80281</v>
          </cell>
        </row>
        <row r="39">
          <cell r="A39">
            <v>37</v>
          </cell>
          <cell r="B39" t="str">
            <v>K.Hóa</v>
          </cell>
          <cell r="C39">
            <v>80281</v>
          </cell>
        </row>
        <row r="40">
          <cell r="A40">
            <v>38</v>
          </cell>
          <cell r="B40" t="str">
            <v>K.Hóa</v>
          </cell>
          <cell r="C40">
            <v>80418</v>
          </cell>
        </row>
        <row r="41">
          <cell r="A41">
            <v>39</v>
          </cell>
          <cell r="B41" t="str">
            <v>K.Hóa</v>
          </cell>
          <cell r="C41">
            <v>80457</v>
          </cell>
        </row>
        <row r="42">
          <cell r="A42">
            <v>40</v>
          </cell>
          <cell r="B42" t="str">
            <v>K.Hóa</v>
          </cell>
          <cell r="C42">
            <v>80498</v>
          </cell>
        </row>
        <row r="43">
          <cell r="A43">
            <v>41</v>
          </cell>
          <cell r="B43" t="str">
            <v>K.Hóa</v>
          </cell>
          <cell r="C43">
            <v>80511</v>
          </cell>
        </row>
        <row r="44">
          <cell r="A44">
            <v>42</v>
          </cell>
          <cell r="B44" t="str">
            <v>K.Hóa</v>
          </cell>
          <cell r="C44">
            <v>80601</v>
          </cell>
        </row>
        <row r="45">
          <cell r="A45">
            <v>43</v>
          </cell>
          <cell r="B45" t="str">
            <v>K.Hóa</v>
          </cell>
          <cell r="C45">
            <v>80736</v>
          </cell>
        </row>
        <row r="46">
          <cell r="A46">
            <v>44</v>
          </cell>
          <cell r="B46" t="str">
            <v>K.Hóa</v>
          </cell>
          <cell r="C46">
            <v>80736</v>
          </cell>
        </row>
        <row r="47">
          <cell r="A47">
            <v>45</v>
          </cell>
          <cell r="B47" t="str">
            <v>K.Hóa</v>
          </cell>
          <cell r="C47">
            <v>80772</v>
          </cell>
        </row>
        <row r="48">
          <cell r="A48">
            <v>46</v>
          </cell>
          <cell r="B48" t="str">
            <v>K.Hóa</v>
          </cell>
          <cell r="C48">
            <v>80772</v>
          </cell>
        </row>
        <row r="49">
          <cell r="A49">
            <v>47</v>
          </cell>
          <cell r="B49" t="str">
            <v>K.Hóa</v>
          </cell>
          <cell r="C49">
            <v>80781</v>
          </cell>
        </row>
        <row r="50">
          <cell r="A50">
            <v>48</v>
          </cell>
          <cell r="B50" t="str">
            <v>K.Hóa</v>
          </cell>
          <cell r="C50">
            <v>80791</v>
          </cell>
        </row>
        <row r="51">
          <cell r="A51">
            <v>49</v>
          </cell>
          <cell r="B51" t="str">
            <v>K.Hóa</v>
          </cell>
          <cell r="C51">
            <v>81142</v>
          </cell>
        </row>
        <row r="52">
          <cell r="A52">
            <v>50</v>
          </cell>
          <cell r="B52" t="str">
            <v>K.Hóa</v>
          </cell>
          <cell r="C52">
            <v>81142</v>
          </cell>
        </row>
        <row r="53">
          <cell r="A53">
            <v>51</v>
          </cell>
          <cell r="B53" t="str">
            <v>K.Hóa</v>
          </cell>
          <cell r="C53">
            <v>81149</v>
          </cell>
        </row>
        <row r="54">
          <cell r="A54">
            <v>52</v>
          </cell>
          <cell r="B54" t="str">
            <v>K.Hóa</v>
          </cell>
          <cell r="C54">
            <v>81827</v>
          </cell>
        </row>
        <row r="55">
          <cell r="A55">
            <v>53</v>
          </cell>
          <cell r="B55" t="str">
            <v>K.Hóa</v>
          </cell>
          <cell r="C55">
            <v>81827</v>
          </cell>
        </row>
        <row r="56">
          <cell r="A56">
            <v>54</v>
          </cell>
          <cell r="B56" t="str">
            <v>K.Hóa</v>
          </cell>
          <cell r="C56">
            <v>81940</v>
          </cell>
        </row>
        <row r="57">
          <cell r="A57">
            <v>55</v>
          </cell>
          <cell r="B57" t="str">
            <v>K.Hóa</v>
          </cell>
          <cell r="C57">
            <v>82109</v>
          </cell>
        </row>
        <row r="58">
          <cell r="A58">
            <v>56</v>
          </cell>
          <cell r="B58" t="str">
            <v>K.Hóa</v>
          </cell>
          <cell r="C58">
            <v>82109</v>
          </cell>
        </row>
        <row r="59">
          <cell r="A59">
            <v>57</v>
          </cell>
          <cell r="B59" t="str">
            <v>K.Hóa</v>
          </cell>
          <cell r="C59">
            <v>82589</v>
          </cell>
        </row>
        <row r="60">
          <cell r="A60">
            <v>58</v>
          </cell>
          <cell r="B60" t="str">
            <v>K.Hóa</v>
          </cell>
          <cell r="C60">
            <v>80157</v>
          </cell>
        </row>
        <row r="61">
          <cell r="A61">
            <v>59</v>
          </cell>
          <cell r="B61" t="str">
            <v>K.Hóa</v>
          </cell>
          <cell r="C61">
            <v>80578</v>
          </cell>
        </row>
        <row r="62">
          <cell r="A62">
            <v>60</v>
          </cell>
          <cell r="B62" t="str">
            <v>K.Hóa</v>
          </cell>
          <cell r="C62">
            <v>80578</v>
          </cell>
        </row>
        <row r="63">
          <cell r="A63">
            <v>61</v>
          </cell>
          <cell r="B63" t="str">
            <v>K.Hóa</v>
          </cell>
          <cell r="C63">
            <v>82210</v>
          </cell>
        </row>
        <row r="64">
          <cell r="A64">
            <v>62</v>
          </cell>
          <cell r="B64" t="str">
            <v>K.Hóa</v>
          </cell>
          <cell r="C64">
            <v>80007</v>
          </cell>
        </row>
        <row r="65">
          <cell r="A65">
            <v>63</v>
          </cell>
          <cell r="B65" t="str">
            <v>K.Hóa</v>
          </cell>
          <cell r="C65">
            <v>80007</v>
          </cell>
        </row>
        <row r="66">
          <cell r="A66">
            <v>64</v>
          </cell>
          <cell r="B66" t="str">
            <v>K.Hóa</v>
          </cell>
          <cell r="C66">
            <v>80503</v>
          </cell>
        </row>
        <row r="67">
          <cell r="A67">
            <v>65</v>
          </cell>
          <cell r="B67" t="str">
            <v>K.Hóa</v>
          </cell>
          <cell r="C67">
            <v>80503</v>
          </cell>
        </row>
        <row r="68">
          <cell r="A68">
            <v>66</v>
          </cell>
          <cell r="B68" t="str">
            <v>K.Hóa</v>
          </cell>
          <cell r="C68">
            <v>80063</v>
          </cell>
        </row>
        <row r="69">
          <cell r="A69">
            <v>67</v>
          </cell>
          <cell r="B69" t="str">
            <v>K.Hóa</v>
          </cell>
          <cell r="C69">
            <v>81075</v>
          </cell>
        </row>
        <row r="70">
          <cell r="A70">
            <v>68</v>
          </cell>
          <cell r="B70" t="str">
            <v>K.Hóa</v>
          </cell>
          <cell r="C70">
            <v>81083</v>
          </cell>
        </row>
        <row r="71">
          <cell r="A71">
            <v>69</v>
          </cell>
          <cell r="B71" t="str">
            <v>K.Hóa</v>
          </cell>
          <cell r="C71">
            <v>81083</v>
          </cell>
        </row>
        <row r="72">
          <cell r="A72">
            <v>70</v>
          </cell>
          <cell r="B72" t="str">
            <v>K.Hóa</v>
          </cell>
          <cell r="C72">
            <v>81035</v>
          </cell>
        </row>
        <row r="73">
          <cell r="A73">
            <v>71</v>
          </cell>
          <cell r="B73" t="str">
            <v>K.Hóa</v>
          </cell>
          <cell r="C73">
            <v>81035</v>
          </cell>
        </row>
        <row r="74">
          <cell r="A74">
            <v>72</v>
          </cell>
          <cell r="B74" t="str">
            <v>K.Hóa</v>
          </cell>
          <cell r="C74">
            <v>80492</v>
          </cell>
        </row>
        <row r="75">
          <cell r="A75">
            <v>73</v>
          </cell>
          <cell r="B75" t="str">
            <v>K.Hóa</v>
          </cell>
          <cell r="C75">
            <v>80492</v>
          </cell>
        </row>
        <row r="76">
          <cell r="A76">
            <v>74</v>
          </cell>
          <cell r="B76" t="str">
            <v>K.Hoạch</v>
          </cell>
          <cell r="C76">
            <v>80479</v>
          </cell>
        </row>
        <row r="77">
          <cell r="A77">
            <v>75</v>
          </cell>
          <cell r="B77" t="str">
            <v>K.Hoạch</v>
          </cell>
          <cell r="C77">
            <v>80885</v>
          </cell>
        </row>
        <row r="78">
          <cell r="A78">
            <v>76</v>
          </cell>
          <cell r="B78" t="str">
            <v>K.Hoạch</v>
          </cell>
          <cell r="C78">
            <v>80885</v>
          </cell>
        </row>
        <row r="79">
          <cell r="A79">
            <v>77</v>
          </cell>
          <cell r="B79" t="str">
            <v>K.Hoạch</v>
          </cell>
          <cell r="C79">
            <v>81053</v>
          </cell>
        </row>
        <row r="80">
          <cell r="A80">
            <v>78</v>
          </cell>
          <cell r="B80" t="str">
            <v>K.Hoạch</v>
          </cell>
          <cell r="C80">
            <v>81053</v>
          </cell>
        </row>
        <row r="81">
          <cell r="A81">
            <v>79</v>
          </cell>
          <cell r="B81" t="str">
            <v>K.Hoạch</v>
          </cell>
          <cell r="C81">
            <v>81244</v>
          </cell>
        </row>
        <row r="82">
          <cell r="A82">
            <v>80</v>
          </cell>
          <cell r="B82" t="str">
            <v>K.Hoạch</v>
          </cell>
          <cell r="C82">
            <v>81884</v>
          </cell>
        </row>
        <row r="83">
          <cell r="A83">
            <v>81</v>
          </cell>
          <cell r="B83" t="str">
            <v>K.Hoạch</v>
          </cell>
          <cell r="C83">
            <v>82146</v>
          </cell>
        </row>
        <row r="84">
          <cell r="A84">
            <v>82</v>
          </cell>
          <cell r="B84" t="str">
            <v>K.Hoạch</v>
          </cell>
          <cell r="C84">
            <v>82146</v>
          </cell>
        </row>
        <row r="85">
          <cell r="A85">
            <v>83</v>
          </cell>
          <cell r="B85" t="str">
            <v>K.Hoạch</v>
          </cell>
          <cell r="C85">
            <v>81263</v>
          </cell>
        </row>
        <row r="86">
          <cell r="A86">
            <v>84</v>
          </cell>
          <cell r="B86" t="str">
            <v>K.Thuật</v>
          </cell>
          <cell r="C86">
            <v>80045</v>
          </cell>
        </row>
        <row r="87">
          <cell r="A87">
            <v>85</v>
          </cell>
          <cell r="B87" t="str">
            <v>K.Thuật</v>
          </cell>
          <cell r="C87">
            <v>80140</v>
          </cell>
        </row>
        <row r="88">
          <cell r="A88">
            <v>86</v>
          </cell>
          <cell r="B88" t="str">
            <v>K.Thuật</v>
          </cell>
          <cell r="C88">
            <v>80532</v>
          </cell>
        </row>
        <row r="89">
          <cell r="A89">
            <v>87</v>
          </cell>
          <cell r="B89" t="str">
            <v>K.Thuật</v>
          </cell>
          <cell r="C89">
            <v>80551</v>
          </cell>
        </row>
        <row r="90">
          <cell r="A90">
            <v>88</v>
          </cell>
          <cell r="B90" t="str">
            <v>K.Thuật</v>
          </cell>
          <cell r="C90">
            <v>80551</v>
          </cell>
        </row>
        <row r="91">
          <cell r="A91">
            <v>89</v>
          </cell>
          <cell r="B91" t="str">
            <v>K.Thuật</v>
          </cell>
          <cell r="C91">
            <v>80551</v>
          </cell>
        </row>
        <row r="92">
          <cell r="A92">
            <v>90</v>
          </cell>
          <cell r="B92" t="str">
            <v>K.Thuật</v>
          </cell>
          <cell r="C92">
            <v>80894</v>
          </cell>
        </row>
        <row r="93">
          <cell r="A93">
            <v>91</v>
          </cell>
          <cell r="B93" t="str">
            <v>K.Thuật</v>
          </cell>
          <cell r="C93">
            <v>80960</v>
          </cell>
        </row>
        <row r="94">
          <cell r="A94">
            <v>92</v>
          </cell>
          <cell r="B94" t="str">
            <v>K.Thuật</v>
          </cell>
          <cell r="C94">
            <v>81259</v>
          </cell>
        </row>
        <row r="95">
          <cell r="A95">
            <v>93</v>
          </cell>
          <cell r="B95" t="str">
            <v>K.Thuật</v>
          </cell>
          <cell r="C95">
            <v>81276</v>
          </cell>
        </row>
        <row r="96">
          <cell r="A96">
            <v>94</v>
          </cell>
          <cell r="B96" t="str">
            <v>K.Thuật</v>
          </cell>
          <cell r="C96">
            <v>81360</v>
          </cell>
        </row>
        <row r="97">
          <cell r="A97">
            <v>95</v>
          </cell>
          <cell r="B97" t="str">
            <v>K.Thuật</v>
          </cell>
          <cell r="C97">
            <v>81384</v>
          </cell>
        </row>
        <row r="98">
          <cell r="A98">
            <v>96</v>
          </cell>
          <cell r="B98" t="str">
            <v>K.Thuật</v>
          </cell>
          <cell r="C98">
            <v>81700</v>
          </cell>
        </row>
        <row r="99">
          <cell r="A99">
            <v>97</v>
          </cell>
          <cell r="B99" t="str">
            <v>K.Thuật</v>
          </cell>
          <cell r="C99">
            <v>81939</v>
          </cell>
        </row>
        <row r="100">
          <cell r="A100">
            <v>98</v>
          </cell>
          <cell r="B100" t="str">
            <v>K.Thuật</v>
          </cell>
          <cell r="C100">
            <v>80714</v>
          </cell>
        </row>
        <row r="101">
          <cell r="A101">
            <v>99</v>
          </cell>
          <cell r="B101" t="str">
            <v>K.Thuật</v>
          </cell>
          <cell r="C101">
            <v>80714</v>
          </cell>
        </row>
        <row r="102">
          <cell r="A102">
            <v>100</v>
          </cell>
          <cell r="B102" t="str">
            <v>K.Thuật</v>
          </cell>
          <cell r="C102">
            <v>80426</v>
          </cell>
        </row>
        <row r="103">
          <cell r="A103">
            <v>101</v>
          </cell>
          <cell r="B103" t="str">
            <v>K.Thuật</v>
          </cell>
          <cell r="C103">
            <v>82317</v>
          </cell>
        </row>
        <row r="104">
          <cell r="A104">
            <v>102</v>
          </cell>
          <cell r="B104" t="str">
            <v>K.Thuật</v>
          </cell>
          <cell r="C104">
            <v>81753</v>
          </cell>
        </row>
        <row r="105">
          <cell r="A105">
            <v>103</v>
          </cell>
          <cell r="B105" t="str">
            <v>T1</v>
          </cell>
          <cell r="C105">
            <v>80028</v>
          </cell>
        </row>
        <row r="106">
          <cell r="A106">
            <v>104</v>
          </cell>
          <cell r="B106" t="str">
            <v>T1</v>
          </cell>
          <cell r="C106">
            <v>80152</v>
          </cell>
        </row>
        <row r="107">
          <cell r="A107">
            <v>105</v>
          </cell>
          <cell r="B107" t="str">
            <v>T1</v>
          </cell>
          <cell r="C107">
            <v>80165</v>
          </cell>
        </row>
        <row r="108">
          <cell r="A108">
            <v>106</v>
          </cell>
          <cell r="B108" t="str">
            <v>T1</v>
          </cell>
          <cell r="C108">
            <v>80199</v>
          </cell>
        </row>
        <row r="109">
          <cell r="A109">
            <v>107</v>
          </cell>
          <cell r="B109" t="str">
            <v>T1</v>
          </cell>
          <cell r="C109">
            <v>80269</v>
          </cell>
        </row>
        <row r="110">
          <cell r="A110">
            <v>108</v>
          </cell>
          <cell r="B110" t="str">
            <v>T1</v>
          </cell>
          <cell r="C110">
            <v>81002</v>
          </cell>
        </row>
        <row r="111">
          <cell r="A111">
            <v>109</v>
          </cell>
          <cell r="B111" t="str">
            <v>T1</v>
          </cell>
          <cell r="C111">
            <v>81087</v>
          </cell>
        </row>
        <row r="112">
          <cell r="A112">
            <v>110</v>
          </cell>
          <cell r="B112" t="str">
            <v>T1</v>
          </cell>
          <cell r="C112">
            <v>81087</v>
          </cell>
        </row>
        <row r="113">
          <cell r="A113">
            <v>111</v>
          </cell>
          <cell r="B113" t="str">
            <v>T1</v>
          </cell>
          <cell r="C113">
            <v>81100</v>
          </cell>
        </row>
        <row r="114">
          <cell r="A114">
            <v>112</v>
          </cell>
          <cell r="B114" t="str">
            <v>T1</v>
          </cell>
          <cell r="C114">
            <v>81288</v>
          </cell>
        </row>
        <row r="115">
          <cell r="A115">
            <v>113</v>
          </cell>
          <cell r="B115" t="str">
            <v>T1</v>
          </cell>
          <cell r="C115">
            <v>81428</v>
          </cell>
        </row>
        <row r="116">
          <cell r="A116">
            <v>114</v>
          </cell>
          <cell r="B116" t="str">
            <v>T1</v>
          </cell>
          <cell r="C116">
            <v>81428</v>
          </cell>
        </row>
        <row r="117">
          <cell r="A117">
            <v>115</v>
          </cell>
          <cell r="B117" t="str">
            <v>T1</v>
          </cell>
          <cell r="C117">
            <v>81614</v>
          </cell>
        </row>
        <row r="118">
          <cell r="A118">
            <v>116</v>
          </cell>
          <cell r="B118" t="str">
            <v>T1</v>
          </cell>
          <cell r="C118">
            <v>81614</v>
          </cell>
        </row>
        <row r="119">
          <cell r="A119">
            <v>117</v>
          </cell>
          <cell r="B119" t="str">
            <v>T1</v>
          </cell>
          <cell r="C119">
            <v>81770</v>
          </cell>
        </row>
        <row r="120">
          <cell r="A120">
            <v>118</v>
          </cell>
          <cell r="B120" t="str">
            <v>T1</v>
          </cell>
          <cell r="C120">
            <v>82539</v>
          </cell>
        </row>
        <row r="121">
          <cell r="A121">
            <v>119</v>
          </cell>
          <cell r="B121" t="str">
            <v>T1</v>
          </cell>
          <cell r="C121">
            <v>82588</v>
          </cell>
        </row>
        <row r="122">
          <cell r="A122">
            <v>120</v>
          </cell>
          <cell r="B122" t="str">
            <v>T1</v>
          </cell>
          <cell r="C122">
            <v>82732</v>
          </cell>
        </row>
        <row r="123">
          <cell r="A123">
            <v>121</v>
          </cell>
          <cell r="B123" t="str">
            <v>T1</v>
          </cell>
          <cell r="C123">
            <v>82738</v>
          </cell>
        </row>
        <row r="124">
          <cell r="A124">
            <v>122</v>
          </cell>
          <cell r="B124" t="str">
            <v>T1</v>
          </cell>
          <cell r="C124">
            <v>82229</v>
          </cell>
        </row>
        <row r="125">
          <cell r="A125">
            <v>123</v>
          </cell>
          <cell r="B125" t="str">
            <v>T1</v>
          </cell>
          <cell r="C125">
            <v>83022</v>
          </cell>
        </row>
        <row r="126">
          <cell r="A126">
            <v>124</v>
          </cell>
          <cell r="B126" t="str">
            <v>T1</v>
          </cell>
          <cell r="C126">
            <v>80128</v>
          </cell>
        </row>
        <row r="127">
          <cell r="A127">
            <v>125</v>
          </cell>
          <cell r="B127" t="str">
            <v>T1</v>
          </cell>
          <cell r="C127">
            <v>80128</v>
          </cell>
        </row>
        <row r="128">
          <cell r="A128">
            <v>126</v>
          </cell>
          <cell r="B128" t="str">
            <v>T1</v>
          </cell>
          <cell r="C128">
            <v>80153</v>
          </cell>
        </row>
        <row r="129">
          <cell r="A129">
            <v>127</v>
          </cell>
          <cell r="B129" t="str">
            <v>T1</v>
          </cell>
          <cell r="C129">
            <v>80153</v>
          </cell>
        </row>
        <row r="130">
          <cell r="A130">
            <v>128</v>
          </cell>
          <cell r="B130" t="str">
            <v>T1</v>
          </cell>
          <cell r="C130">
            <v>81281</v>
          </cell>
        </row>
        <row r="131">
          <cell r="A131">
            <v>129</v>
          </cell>
          <cell r="B131" t="str">
            <v>T1</v>
          </cell>
          <cell r="C131">
            <v>81281</v>
          </cell>
        </row>
        <row r="132">
          <cell r="A132">
            <v>130</v>
          </cell>
          <cell r="B132" t="str">
            <v>T1</v>
          </cell>
          <cell r="C132">
            <v>83339</v>
          </cell>
        </row>
        <row r="133">
          <cell r="A133">
            <v>131</v>
          </cell>
          <cell r="B133" t="str">
            <v>T10</v>
          </cell>
          <cell r="C133">
            <v>80644</v>
          </cell>
        </row>
        <row r="134">
          <cell r="A134">
            <v>132</v>
          </cell>
          <cell r="B134" t="str">
            <v>T10</v>
          </cell>
          <cell r="C134">
            <v>80652</v>
          </cell>
        </row>
        <row r="135">
          <cell r="A135">
            <v>133</v>
          </cell>
          <cell r="B135" t="str">
            <v>T10</v>
          </cell>
          <cell r="C135">
            <v>80652</v>
          </cell>
        </row>
        <row r="136">
          <cell r="A136">
            <v>134</v>
          </cell>
          <cell r="B136" t="str">
            <v>T10</v>
          </cell>
          <cell r="C136">
            <v>80663</v>
          </cell>
        </row>
        <row r="137">
          <cell r="A137">
            <v>135</v>
          </cell>
          <cell r="B137" t="str">
            <v>T10</v>
          </cell>
          <cell r="C137">
            <v>80663</v>
          </cell>
        </row>
        <row r="138">
          <cell r="A138">
            <v>136</v>
          </cell>
          <cell r="B138" t="str">
            <v>T10</v>
          </cell>
          <cell r="C138">
            <v>80677</v>
          </cell>
        </row>
        <row r="139">
          <cell r="A139">
            <v>137</v>
          </cell>
          <cell r="B139" t="str">
            <v>T10</v>
          </cell>
          <cell r="C139">
            <v>80677</v>
          </cell>
        </row>
        <row r="140">
          <cell r="A140">
            <v>138</v>
          </cell>
          <cell r="B140" t="str">
            <v>T10</v>
          </cell>
          <cell r="C140">
            <v>80678</v>
          </cell>
        </row>
        <row r="141">
          <cell r="A141">
            <v>139</v>
          </cell>
          <cell r="B141" t="str">
            <v>T10</v>
          </cell>
          <cell r="C141">
            <v>80678</v>
          </cell>
        </row>
        <row r="142">
          <cell r="A142">
            <v>140</v>
          </cell>
          <cell r="B142" t="str">
            <v>T10</v>
          </cell>
          <cell r="C142">
            <v>81146</v>
          </cell>
        </row>
        <row r="143">
          <cell r="A143">
            <v>141</v>
          </cell>
          <cell r="B143" t="str">
            <v>T10</v>
          </cell>
          <cell r="C143">
            <v>81172</v>
          </cell>
        </row>
        <row r="144">
          <cell r="A144">
            <v>142</v>
          </cell>
          <cell r="B144" t="str">
            <v>T10</v>
          </cell>
          <cell r="C144">
            <v>81172</v>
          </cell>
        </row>
        <row r="145">
          <cell r="A145">
            <v>143</v>
          </cell>
          <cell r="B145" t="str">
            <v>T10</v>
          </cell>
          <cell r="C145">
            <v>81251</v>
          </cell>
        </row>
        <row r="146">
          <cell r="A146">
            <v>144</v>
          </cell>
          <cell r="B146" t="str">
            <v>T10</v>
          </cell>
          <cell r="C146">
            <v>81337</v>
          </cell>
        </row>
        <row r="147">
          <cell r="A147">
            <v>145</v>
          </cell>
          <cell r="B147" t="str">
            <v>T10</v>
          </cell>
          <cell r="C147">
            <v>81337</v>
          </cell>
        </row>
        <row r="148">
          <cell r="A148">
            <v>146</v>
          </cell>
          <cell r="B148" t="str">
            <v>T10</v>
          </cell>
          <cell r="C148">
            <v>81685</v>
          </cell>
        </row>
        <row r="149">
          <cell r="A149">
            <v>147</v>
          </cell>
          <cell r="B149" t="str">
            <v>T10</v>
          </cell>
          <cell r="C149">
            <v>82055</v>
          </cell>
        </row>
        <row r="150">
          <cell r="A150">
            <v>148</v>
          </cell>
          <cell r="B150" t="str">
            <v>T10</v>
          </cell>
          <cell r="C150">
            <v>82091</v>
          </cell>
        </row>
        <row r="151">
          <cell r="A151">
            <v>149</v>
          </cell>
          <cell r="B151" t="str">
            <v>T10</v>
          </cell>
          <cell r="C151">
            <v>82427</v>
          </cell>
        </row>
        <row r="152">
          <cell r="A152">
            <v>150</v>
          </cell>
          <cell r="B152" t="str">
            <v>T10</v>
          </cell>
          <cell r="C152">
            <v>82456</v>
          </cell>
        </row>
        <row r="153">
          <cell r="A153">
            <v>151</v>
          </cell>
          <cell r="B153" t="str">
            <v>T10</v>
          </cell>
          <cell r="C153">
            <v>82456</v>
          </cell>
        </row>
        <row r="154">
          <cell r="A154">
            <v>152</v>
          </cell>
          <cell r="B154" t="str">
            <v>T10</v>
          </cell>
          <cell r="C154">
            <v>82621</v>
          </cell>
        </row>
        <row r="155">
          <cell r="A155">
            <v>153</v>
          </cell>
          <cell r="B155" t="str">
            <v>T10</v>
          </cell>
          <cell r="C155">
            <v>82895</v>
          </cell>
        </row>
        <row r="156">
          <cell r="A156">
            <v>154</v>
          </cell>
          <cell r="B156" t="str">
            <v>T10</v>
          </cell>
          <cell r="C156">
            <v>82092</v>
          </cell>
        </row>
        <row r="157">
          <cell r="A157">
            <v>155</v>
          </cell>
          <cell r="B157" t="str">
            <v>T10</v>
          </cell>
          <cell r="C157">
            <v>82898</v>
          </cell>
        </row>
        <row r="158">
          <cell r="A158">
            <v>156</v>
          </cell>
          <cell r="B158" t="str">
            <v>T10</v>
          </cell>
          <cell r="C158">
            <v>83129</v>
          </cell>
        </row>
        <row r="159">
          <cell r="A159">
            <v>157</v>
          </cell>
          <cell r="B159" t="str">
            <v>T10</v>
          </cell>
          <cell r="C159">
            <v>80764</v>
          </cell>
        </row>
        <row r="160">
          <cell r="A160">
            <v>158</v>
          </cell>
          <cell r="B160" t="str">
            <v>T10</v>
          </cell>
          <cell r="C160">
            <v>80764</v>
          </cell>
        </row>
        <row r="161">
          <cell r="A161">
            <v>159</v>
          </cell>
          <cell r="B161" t="str">
            <v>T10</v>
          </cell>
          <cell r="C161">
            <v>82401</v>
          </cell>
        </row>
        <row r="162">
          <cell r="A162">
            <v>160</v>
          </cell>
          <cell r="B162" t="str">
            <v>T10</v>
          </cell>
          <cell r="C162">
            <v>82401</v>
          </cell>
        </row>
        <row r="163">
          <cell r="A163">
            <v>161</v>
          </cell>
          <cell r="B163" t="str">
            <v>T10</v>
          </cell>
          <cell r="C163">
            <v>80645</v>
          </cell>
        </row>
        <row r="164">
          <cell r="A164">
            <v>162</v>
          </cell>
          <cell r="B164" t="str">
            <v>T10</v>
          </cell>
          <cell r="C164">
            <v>80645</v>
          </cell>
        </row>
        <row r="165">
          <cell r="A165">
            <v>163</v>
          </cell>
          <cell r="B165" t="str">
            <v>T10</v>
          </cell>
          <cell r="C165">
            <v>80660</v>
          </cell>
        </row>
        <row r="166">
          <cell r="A166">
            <v>164</v>
          </cell>
          <cell r="B166" t="str">
            <v>T10</v>
          </cell>
          <cell r="C166">
            <v>80660</v>
          </cell>
        </row>
        <row r="167">
          <cell r="A167">
            <v>165</v>
          </cell>
          <cell r="B167" t="str">
            <v>T10</v>
          </cell>
          <cell r="C167">
            <v>83242</v>
          </cell>
        </row>
        <row r="168">
          <cell r="A168">
            <v>166</v>
          </cell>
          <cell r="B168" t="str">
            <v>T10</v>
          </cell>
          <cell r="C168">
            <v>83242</v>
          </cell>
        </row>
        <row r="169">
          <cell r="A169">
            <v>167</v>
          </cell>
          <cell r="B169" t="str">
            <v>T10</v>
          </cell>
          <cell r="C169">
            <v>83186</v>
          </cell>
        </row>
        <row r="170">
          <cell r="A170">
            <v>168</v>
          </cell>
          <cell r="B170" t="str">
            <v>T10</v>
          </cell>
          <cell r="C170">
            <v>83186</v>
          </cell>
        </row>
        <row r="171">
          <cell r="A171">
            <v>169</v>
          </cell>
          <cell r="B171" t="str">
            <v>T10</v>
          </cell>
          <cell r="C171">
            <v>80757</v>
          </cell>
        </row>
        <row r="172">
          <cell r="A172">
            <v>170</v>
          </cell>
          <cell r="B172" t="str">
            <v>T10</v>
          </cell>
          <cell r="C172">
            <v>83136</v>
          </cell>
        </row>
        <row r="173">
          <cell r="A173">
            <v>171</v>
          </cell>
          <cell r="B173" t="str">
            <v>T10</v>
          </cell>
          <cell r="C173">
            <v>83180</v>
          </cell>
        </row>
        <row r="174">
          <cell r="A174">
            <v>172</v>
          </cell>
          <cell r="B174" t="str">
            <v>T11</v>
          </cell>
          <cell r="C174">
            <v>80136</v>
          </cell>
        </row>
        <row r="175">
          <cell r="A175">
            <v>173</v>
          </cell>
          <cell r="B175" t="str">
            <v>T11</v>
          </cell>
          <cell r="C175">
            <v>81383</v>
          </cell>
        </row>
        <row r="176">
          <cell r="A176">
            <v>174</v>
          </cell>
          <cell r="B176" t="str">
            <v>T11</v>
          </cell>
          <cell r="C176">
            <v>81444</v>
          </cell>
        </row>
        <row r="177">
          <cell r="A177">
            <v>175</v>
          </cell>
          <cell r="B177" t="str">
            <v>T11</v>
          </cell>
          <cell r="C177">
            <v>81447</v>
          </cell>
        </row>
        <row r="178">
          <cell r="A178">
            <v>176</v>
          </cell>
          <cell r="B178" t="str">
            <v>T11</v>
          </cell>
          <cell r="C178">
            <v>81456</v>
          </cell>
        </row>
        <row r="179">
          <cell r="A179">
            <v>177</v>
          </cell>
          <cell r="B179" t="str">
            <v>T11</v>
          </cell>
          <cell r="C179">
            <v>81485</v>
          </cell>
        </row>
        <row r="180">
          <cell r="A180">
            <v>178</v>
          </cell>
          <cell r="B180" t="str">
            <v>T11</v>
          </cell>
          <cell r="C180">
            <v>81485</v>
          </cell>
        </row>
        <row r="181">
          <cell r="A181">
            <v>179</v>
          </cell>
          <cell r="B181" t="str">
            <v>T11</v>
          </cell>
          <cell r="C181">
            <v>81493</v>
          </cell>
        </row>
        <row r="182">
          <cell r="A182">
            <v>180</v>
          </cell>
          <cell r="B182" t="str">
            <v>T11</v>
          </cell>
          <cell r="C182">
            <v>81526</v>
          </cell>
        </row>
        <row r="183">
          <cell r="A183">
            <v>181</v>
          </cell>
          <cell r="B183" t="str">
            <v>T11</v>
          </cell>
          <cell r="C183">
            <v>81624</v>
          </cell>
        </row>
        <row r="184">
          <cell r="A184">
            <v>182</v>
          </cell>
          <cell r="B184" t="str">
            <v>T11</v>
          </cell>
          <cell r="C184">
            <v>81947</v>
          </cell>
        </row>
        <row r="185">
          <cell r="A185">
            <v>183</v>
          </cell>
          <cell r="B185" t="str">
            <v>T11</v>
          </cell>
          <cell r="C185">
            <v>82118</v>
          </cell>
        </row>
        <row r="186">
          <cell r="A186">
            <v>184</v>
          </cell>
          <cell r="B186" t="str">
            <v>T11</v>
          </cell>
          <cell r="C186">
            <v>82282</v>
          </cell>
        </row>
        <row r="187">
          <cell r="A187">
            <v>185</v>
          </cell>
          <cell r="B187" t="str">
            <v>T11</v>
          </cell>
          <cell r="C187">
            <v>82384</v>
          </cell>
        </row>
        <row r="188">
          <cell r="A188">
            <v>186</v>
          </cell>
          <cell r="B188" t="str">
            <v>T11</v>
          </cell>
          <cell r="C188">
            <v>82457</v>
          </cell>
        </row>
        <row r="189">
          <cell r="A189">
            <v>187</v>
          </cell>
          <cell r="B189" t="str">
            <v>T11</v>
          </cell>
          <cell r="C189">
            <v>82473</v>
          </cell>
        </row>
        <row r="190">
          <cell r="A190">
            <v>188</v>
          </cell>
          <cell r="B190" t="str">
            <v>T11</v>
          </cell>
          <cell r="C190">
            <v>82556</v>
          </cell>
        </row>
        <row r="191">
          <cell r="A191">
            <v>189</v>
          </cell>
          <cell r="B191" t="str">
            <v>T11</v>
          </cell>
          <cell r="C191">
            <v>82559</v>
          </cell>
        </row>
        <row r="192">
          <cell r="A192">
            <v>190</v>
          </cell>
          <cell r="B192" t="str">
            <v>T11</v>
          </cell>
          <cell r="C192">
            <v>82610</v>
          </cell>
        </row>
        <row r="193">
          <cell r="A193">
            <v>191</v>
          </cell>
          <cell r="B193" t="str">
            <v>T11</v>
          </cell>
          <cell r="C193">
            <v>82887</v>
          </cell>
        </row>
        <row r="194">
          <cell r="A194">
            <v>192</v>
          </cell>
          <cell r="B194" t="str">
            <v>T11</v>
          </cell>
          <cell r="C194">
            <v>82878</v>
          </cell>
        </row>
        <row r="195">
          <cell r="A195">
            <v>193</v>
          </cell>
          <cell r="B195" t="str">
            <v>T11</v>
          </cell>
          <cell r="C195">
            <v>82878</v>
          </cell>
        </row>
        <row r="196">
          <cell r="A196">
            <v>194</v>
          </cell>
          <cell r="B196" t="str">
            <v>T11</v>
          </cell>
          <cell r="C196">
            <v>81487</v>
          </cell>
        </row>
        <row r="197">
          <cell r="A197">
            <v>195</v>
          </cell>
          <cell r="B197" t="str">
            <v>T11</v>
          </cell>
          <cell r="C197">
            <v>83101</v>
          </cell>
        </row>
        <row r="198">
          <cell r="A198">
            <v>196</v>
          </cell>
          <cell r="B198" t="str">
            <v>T11</v>
          </cell>
          <cell r="C198">
            <v>83102</v>
          </cell>
        </row>
        <row r="199">
          <cell r="A199">
            <v>197</v>
          </cell>
          <cell r="B199" t="str">
            <v>T11</v>
          </cell>
          <cell r="C199">
            <v>83182</v>
          </cell>
        </row>
        <row r="200">
          <cell r="A200">
            <v>198</v>
          </cell>
          <cell r="B200" t="str">
            <v>T11</v>
          </cell>
          <cell r="C200">
            <v>83182</v>
          </cell>
        </row>
        <row r="201">
          <cell r="A201">
            <v>199</v>
          </cell>
          <cell r="B201" t="str">
            <v>T11</v>
          </cell>
          <cell r="C201">
            <v>83179</v>
          </cell>
        </row>
        <row r="202">
          <cell r="A202">
            <v>200</v>
          </cell>
          <cell r="B202" t="str">
            <v>T11</v>
          </cell>
          <cell r="C202">
            <v>83179</v>
          </cell>
        </row>
        <row r="203">
          <cell r="A203">
            <v>201</v>
          </cell>
          <cell r="B203" t="str">
            <v>T11</v>
          </cell>
          <cell r="C203">
            <v>83230</v>
          </cell>
        </row>
        <row r="204">
          <cell r="A204">
            <v>202</v>
          </cell>
          <cell r="B204" t="str">
            <v>T11</v>
          </cell>
          <cell r="C204">
            <v>83145</v>
          </cell>
        </row>
        <row r="205">
          <cell r="A205">
            <v>203</v>
          </cell>
          <cell r="B205" t="str">
            <v>T11</v>
          </cell>
          <cell r="C205">
            <v>81435</v>
          </cell>
        </row>
        <row r="206">
          <cell r="A206">
            <v>204</v>
          </cell>
          <cell r="B206" t="str">
            <v>T11</v>
          </cell>
          <cell r="C206">
            <v>81435</v>
          </cell>
        </row>
        <row r="207">
          <cell r="A207">
            <v>205</v>
          </cell>
          <cell r="B207" t="str">
            <v>T11</v>
          </cell>
          <cell r="C207">
            <v>83401</v>
          </cell>
        </row>
        <row r="208">
          <cell r="A208">
            <v>206</v>
          </cell>
          <cell r="B208" t="str">
            <v>T11</v>
          </cell>
          <cell r="C208">
            <v>83401</v>
          </cell>
        </row>
        <row r="209">
          <cell r="A209">
            <v>207</v>
          </cell>
          <cell r="B209" t="str">
            <v>T12</v>
          </cell>
          <cell r="C209">
            <v>81393</v>
          </cell>
        </row>
        <row r="210">
          <cell r="A210">
            <v>208</v>
          </cell>
          <cell r="B210" t="str">
            <v>T12</v>
          </cell>
          <cell r="C210">
            <v>81393</v>
          </cell>
        </row>
        <row r="211">
          <cell r="A211">
            <v>209</v>
          </cell>
          <cell r="B211" t="str">
            <v>T12</v>
          </cell>
          <cell r="C211">
            <v>81439</v>
          </cell>
        </row>
        <row r="212">
          <cell r="A212">
            <v>210</v>
          </cell>
          <cell r="B212" t="str">
            <v>T12</v>
          </cell>
          <cell r="C212">
            <v>81442</v>
          </cell>
        </row>
        <row r="213">
          <cell r="A213">
            <v>211</v>
          </cell>
          <cell r="B213" t="str">
            <v>T12</v>
          </cell>
          <cell r="C213">
            <v>81452</v>
          </cell>
        </row>
        <row r="214">
          <cell r="A214">
            <v>212</v>
          </cell>
          <cell r="B214" t="str">
            <v>T12</v>
          </cell>
          <cell r="C214">
            <v>81510</v>
          </cell>
        </row>
        <row r="215">
          <cell r="A215">
            <v>213</v>
          </cell>
          <cell r="B215" t="str">
            <v>T12</v>
          </cell>
          <cell r="C215">
            <v>81522</v>
          </cell>
        </row>
        <row r="216">
          <cell r="A216">
            <v>214</v>
          </cell>
          <cell r="B216" t="str">
            <v>T12</v>
          </cell>
          <cell r="C216">
            <v>81529</v>
          </cell>
        </row>
        <row r="217">
          <cell r="A217">
            <v>215</v>
          </cell>
          <cell r="B217" t="str">
            <v>T12</v>
          </cell>
          <cell r="C217">
            <v>81541</v>
          </cell>
        </row>
        <row r="218">
          <cell r="A218">
            <v>216</v>
          </cell>
          <cell r="B218" t="str">
            <v>T12</v>
          </cell>
          <cell r="C218">
            <v>81541</v>
          </cell>
        </row>
        <row r="219">
          <cell r="A219">
            <v>217</v>
          </cell>
          <cell r="B219" t="str">
            <v>T12</v>
          </cell>
          <cell r="C219">
            <v>81651</v>
          </cell>
        </row>
        <row r="220">
          <cell r="A220">
            <v>218</v>
          </cell>
          <cell r="B220" t="str">
            <v>T12</v>
          </cell>
          <cell r="C220">
            <v>81972</v>
          </cell>
        </row>
        <row r="221">
          <cell r="A221">
            <v>219</v>
          </cell>
          <cell r="B221" t="str">
            <v>T12</v>
          </cell>
          <cell r="C221">
            <v>82040</v>
          </cell>
        </row>
        <row r="222">
          <cell r="A222">
            <v>220</v>
          </cell>
          <cell r="B222" t="str">
            <v>T12</v>
          </cell>
          <cell r="C222">
            <v>82040</v>
          </cell>
        </row>
        <row r="223">
          <cell r="A223">
            <v>221</v>
          </cell>
          <cell r="B223" t="str">
            <v>T12</v>
          </cell>
          <cell r="C223">
            <v>82051</v>
          </cell>
        </row>
        <row r="224">
          <cell r="A224">
            <v>222</v>
          </cell>
          <cell r="B224" t="str">
            <v>T12</v>
          </cell>
          <cell r="C224">
            <v>82102</v>
          </cell>
        </row>
        <row r="225">
          <cell r="A225">
            <v>223</v>
          </cell>
          <cell r="B225" t="str">
            <v>T12</v>
          </cell>
          <cell r="C225">
            <v>82110</v>
          </cell>
        </row>
        <row r="226">
          <cell r="A226">
            <v>224</v>
          </cell>
          <cell r="B226" t="str">
            <v>T12</v>
          </cell>
          <cell r="C226">
            <v>82127</v>
          </cell>
        </row>
        <row r="227">
          <cell r="A227">
            <v>225</v>
          </cell>
          <cell r="B227" t="str">
            <v>T12</v>
          </cell>
          <cell r="C227">
            <v>82197</v>
          </cell>
        </row>
        <row r="228">
          <cell r="A228">
            <v>226</v>
          </cell>
          <cell r="B228" t="str">
            <v>T12</v>
          </cell>
          <cell r="C228">
            <v>82246</v>
          </cell>
        </row>
        <row r="229">
          <cell r="A229">
            <v>227</v>
          </cell>
          <cell r="B229" t="str">
            <v>T12</v>
          </cell>
          <cell r="C229">
            <v>82246</v>
          </cell>
        </row>
        <row r="230">
          <cell r="A230">
            <v>228</v>
          </cell>
          <cell r="B230" t="str">
            <v>T12</v>
          </cell>
          <cell r="C230">
            <v>82340</v>
          </cell>
        </row>
        <row r="231">
          <cell r="A231">
            <v>229</v>
          </cell>
          <cell r="B231" t="str">
            <v>T12</v>
          </cell>
          <cell r="C231">
            <v>82340</v>
          </cell>
        </row>
        <row r="232">
          <cell r="A232">
            <v>230</v>
          </cell>
          <cell r="B232" t="str">
            <v>T12</v>
          </cell>
          <cell r="C232">
            <v>80834</v>
          </cell>
        </row>
        <row r="233">
          <cell r="A233">
            <v>231</v>
          </cell>
          <cell r="B233" t="str">
            <v>T12</v>
          </cell>
          <cell r="C233">
            <v>81495</v>
          </cell>
        </row>
        <row r="234">
          <cell r="A234">
            <v>232</v>
          </cell>
          <cell r="B234" t="str">
            <v>T12</v>
          </cell>
          <cell r="C234">
            <v>82608</v>
          </cell>
        </row>
        <row r="235">
          <cell r="A235">
            <v>233</v>
          </cell>
          <cell r="B235" t="str">
            <v>T12</v>
          </cell>
          <cell r="C235">
            <v>83194</v>
          </cell>
        </row>
        <row r="236">
          <cell r="A236">
            <v>234</v>
          </cell>
          <cell r="B236" t="str">
            <v>T12</v>
          </cell>
          <cell r="C236">
            <v>83413</v>
          </cell>
        </row>
        <row r="237">
          <cell r="A237">
            <v>235</v>
          </cell>
          <cell r="B237" t="str">
            <v>T12</v>
          </cell>
          <cell r="C237">
            <v>82117</v>
          </cell>
        </row>
        <row r="238">
          <cell r="A238">
            <v>236</v>
          </cell>
          <cell r="B238" t="str">
            <v>T12</v>
          </cell>
          <cell r="C238">
            <v>81528</v>
          </cell>
        </row>
        <row r="239">
          <cell r="A239">
            <v>237</v>
          </cell>
          <cell r="B239" t="str">
            <v>T13</v>
          </cell>
          <cell r="C239">
            <v>80765</v>
          </cell>
        </row>
        <row r="240">
          <cell r="A240">
            <v>238</v>
          </cell>
          <cell r="B240" t="str">
            <v>T13</v>
          </cell>
          <cell r="C240">
            <v>81045</v>
          </cell>
        </row>
        <row r="241">
          <cell r="A241">
            <v>239</v>
          </cell>
          <cell r="B241" t="str">
            <v>T13</v>
          </cell>
          <cell r="C241">
            <v>81045</v>
          </cell>
        </row>
        <row r="242">
          <cell r="A242">
            <v>240</v>
          </cell>
          <cell r="B242" t="str">
            <v>T13</v>
          </cell>
          <cell r="C242">
            <v>81756</v>
          </cell>
        </row>
        <row r="243">
          <cell r="A243">
            <v>241</v>
          </cell>
          <cell r="B243" t="str">
            <v>T13</v>
          </cell>
          <cell r="C243">
            <v>81778</v>
          </cell>
        </row>
        <row r="244">
          <cell r="A244">
            <v>242</v>
          </cell>
          <cell r="B244" t="str">
            <v>T13</v>
          </cell>
          <cell r="C244">
            <v>81782</v>
          </cell>
        </row>
        <row r="245">
          <cell r="A245">
            <v>243</v>
          </cell>
          <cell r="B245" t="str">
            <v>T13</v>
          </cell>
          <cell r="C245">
            <v>81785</v>
          </cell>
        </row>
        <row r="246">
          <cell r="A246">
            <v>244</v>
          </cell>
          <cell r="B246" t="str">
            <v>T13</v>
          </cell>
          <cell r="C246">
            <v>81807</v>
          </cell>
        </row>
        <row r="247">
          <cell r="A247">
            <v>245</v>
          </cell>
          <cell r="B247" t="str">
            <v>T13</v>
          </cell>
          <cell r="C247">
            <v>81807</v>
          </cell>
        </row>
        <row r="248">
          <cell r="A248">
            <v>246</v>
          </cell>
          <cell r="B248" t="str">
            <v>T13</v>
          </cell>
          <cell r="C248">
            <v>81825</v>
          </cell>
        </row>
        <row r="249">
          <cell r="A249">
            <v>247</v>
          </cell>
          <cell r="B249" t="str">
            <v>T13</v>
          </cell>
          <cell r="C249">
            <v>81826</v>
          </cell>
        </row>
        <row r="250">
          <cell r="A250">
            <v>248</v>
          </cell>
          <cell r="B250" t="str">
            <v>T13</v>
          </cell>
          <cell r="C250">
            <v>81829</v>
          </cell>
        </row>
        <row r="251">
          <cell r="A251">
            <v>249</v>
          </cell>
          <cell r="B251" t="str">
            <v>T13</v>
          </cell>
          <cell r="C251">
            <v>81829</v>
          </cell>
        </row>
        <row r="252">
          <cell r="A252">
            <v>250</v>
          </cell>
          <cell r="B252" t="str">
            <v>T13</v>
          </cell>
          <cell r="C252">
            <v>81891</v>
          </cell>
        </row>
        <row r="253">
          <cell r="A253">
            <v>251</v>
          </cell>
          <cell r="B253" t="str">
            <v>T13</v>
          </cell>
          <cell r="C253">
            <v>81891</v>
          </cell>
        </row>
        <row r="254">
          <cell r="A254">
            <v>252</v>
          </cell>
          <cell r="B254" t="str">
            <v>T13</v>
          </cell>
          <cell r="C254">
            <v>82112</v>
          </cell>
        </row>
        <row r="255">
          <cell r="A255">
            <v>253</v>
          </cell>
          <cell r="B255" t="str">
            <v>T13</v>
          </cell>
          <cell r="C255">
            <v>82147</v>
          </cell>
        </row>
        <row r="256">
          <cell r="A256">
            <v>254</v>
          </cell>
          <cell r="B256" t="str">
            <v>T13</v>
          </cell>
          <cell r="C256">
            <v>82175</v>
          </cell>
        </row>
        <row r="257">
          <cell r="A257">
            <v>255</v>
          </cell>
          <cell r="B257" t="str">
            <v>T13</v>
          </cell>
          <cell r="C257">
            <v>82203</v>
          </cell>
        </row>
        <row r="258">
          <cell r="A258">
            <v>256</v>
          </cell>
          <cell r="B258" t="str">
            <v>T13</v>
          </cell>
          <cell r="C258">
            <v>82208</v>
          </cell>
        </row>
        <row r="259">
          <cell r="A259">
            <v>257</v>
          </cell>
          <cell r="B259" t="str">
            <v>T13</v>
          </cell>
          <cell r="C259">
            <v>82395</v>
          </cell>
        </row>
        <row r="260">
          <cell r="A260">
            <v>258</v>
          </cell>
          <cell r="B260" t="str">
            <v>T13</v>
          </cell>
          <cell r="C260">
            <v>82606</v>
          </cell>
        </row>
        <row r="261">
          <cell r="A261">
            <v>259</v>
          </cell>
          <cell r="B261" t="str">
            <v>T13</v>
          </cell>
          <cell r="C261">
            <v>82622</v>
          </cell>
        </row>
        <row r="262">
          <cell r="A262">
            <v>260</v>
          </cell>
          <cell r="B262" t="str">
            <v>T13</v>
          </cell>
          <cell r="C262">
            <v>82103</v>
          </cell>
        </row>
        <row r="263">
          <cell r="A263">
            <v>261</v>
          </cell>
          <cell r="B263" t="str">
            <v>T13</v>
          </cell>
          <cell r="C263">
            <v>82103</v>
          </cell>
        </row>
        <row r="264">
          <cell r="A264">
            <v>262</v>
          </cell>
          <cell r="B264" t="str">
            <v>T13</v>
          </cell>
          <cell r="C264">
            <v>82434</v>
          </cell>
        </row>
        <row r="265">
          <cell r="A265">
            <v>263</v>
          </cell>
          <cell r="B265" t="str">
            <v>T13</v>
          </cell>
          <cell r="C265">
            <v>82107</v>
          </cell>
        </row>
        <row r="266">
          <cell r="A266">
            <v>264</v>
          </cell>
          <cell r="B266" t="str">
            <v>T14</v>
          </cell>
          <cell r="C266">
            <v>80468</v>
          </cell>
        </row>
        <row r="267">
          <cell r="A267">
            <v>265</v>
          </cell>
          <cell r="B267" t="str">
            <v>T14</v>
          </cell>
          <cell r="C267">
            <v>81412</v>
          </cell>
        </row>
        <row r="268">
          <cell r="A268">
            <v>266</v>
          </cell>
          <cell r="B268" t="str">
            <v>T14</v>
          </cell>
          <cell r="C268">
            <v>81705</v>
          </cell>
        </row>
        <row r="269">
          <cell r="A269">
            <v>267</v>
          </cell>
          <cell r="B269" t="str">
            <v>T14</v>
          </cell>
          <cell r="C269">
            <v>81892</v>
          </cell>
        </row>
        <row r="270">
          <cell r="A270">
            <v>268</v>
          </cell>
          <cell r="B270" t="str">
            <v>T14</v>
          </cell>
          <cell r="C270">
            <v>81892</v>
          </cell>
        </row>
        <row r="271">
          <cell r="A271">
            <v>269</v>
          </cell>
          <cell r="B271" t="str">
            <v>T14</v>
          </cell>
          <cell r="C271">
            <v>81938</v>
          </cell>
        </row>
        <row r="272">
          <cell r="A272">
            <v>270</v>
          </cell>
          <cell r="B272" t="str">
            <v>T14</v>
          </cell>
          <cell r="C272">
            <v>81938</v>
          </cell>
        </row>
        <row r="273">
          <cell r="A273">
            <v>271</v>
          </cell>
          <cell r="B273" t="str">
            <v>T14</v>
          </cell>
          <cell r="C273">
            <v>81959</v>
          </cell>
        </row>
        <row r="274">
          <cell r="A274">
            <v>272</v>
          </cell>
          <cell r="B274" t="str">
            <v>T14</v>
          </cell>
          <cell r="C274">
            <v>82089</v>
          </cell>
        </row>
        <row r="275">
          <cell r="A275">
            <v>273</v>
          </cell>
          <cell r="B275" t="str">
            <v>T14</v>
          </cell>
          <cell r="C275">
            <v>82089</v>
          </cell>
        </row>
        <row r="276">
          <cell r="A276">
            <v>274</v>
          </cell>
          <cell r="B276" t="str">
            <v>T14</v>
          </cell>
          <cell r="C276">
            <v>82090</v>
          </cell>
        </row>
        <row r="277">
          <cell r="A277">
            <v>275</v>
          </cell>
          <cell r="B277" t="str">
            <v>T14</v>
          </cell>
          <cell r="C277">
            <v>82101</v>
          </cell>
        </row>
        <row r="278">
          <cell r="A278">
            <v>276</v>
          </cell>
          <cell r="B278" t="str">
            <v>T14</v>
          </cell>
          <cell r="C278">
            <v>82169</v>
          </cell>
        </row>
        <row r="279">
          <cell r="A279">
            <v>277</v>
          </cell>
          <cell r="B279" t="str">
            <v>T14</v>
          </cell>
          <cell r="C279">
            <v>82247</v>
          </cell>
        </row>
        <row r="280">
          <cell r="A280">
            <v>278</v>
          </cell>
          <cell r="B280" t="str">
            <v>T14</v>
          </cell>
          <cell r="C280">
            <v>82315</v>
          </cell>
        </row>
        <row r="281">
          <cell r="A281">
            <v>279</v>
          </cell>
          <cell r="B281" t="str">
            <v>T14</v>
          </cell>
          <cell r="C281">
            <v>82336</v>
          </cell>
        </row>
        <row r="282">
          <cell r="A282">
            <v>280</v>
          </cell>
          <cell r="B282" t="str">
            <v>T14</v>
          </cell>
          <cell r="C282">
            <v>82440</v>
          </cell>
        </row>
        <row r="283">
          <cell r="A283">
            <v>281</v>
          </cell>
          <cell r="B283" t="str">
            <v>T14</v>
          </cell>
          <cell r="C283">
            <v>82453</v>
          </cell>
        </row>
        <row r="284">
          <cell r="A284">
            <v>282</v>
          </cell>
          <cell r="B284" t="str">
            <v>T14</v>
          </cell>
          <cell r="C284">
            <v>82663</v>
          </cell>
        </row>
        <row r="285">
          <cell r="A285">
            <v>283</v>
          </cell>
          <cell r="B285" t="str">
            <v>T14</v>
          </cell>
          <cell r="C285">
            <v>82730</v>
          </cell>
        </row>
        <row r="286">
          <cell r="A286">
            <v>284</v>
          </cell>
          <cell r="B286" t="str">
            <v>T14</v>
          </cell>
          <cell r="C286">
            <v>82730</v>
          </cell>
        </row>
        <row r="287">
          <cell r="A287">
            <v>285</v>
          </cell>
          <cell r="B287" t="str">
            <v>T14</v>
          </cell>
          <cell r="C287">
            <v>82279</v>
          </cell>
        </row>
        <row r="288">
          <cell r="A288">
            <v>286</v>
          </cell>
          <cell r="B288" t="str">
            <v>T14</v>
          </cell>
          <cell r="C288">
            <v>82640</v>
          </cell>
        </row>
        <row r="289">
          <cell r="A289">
            <v>287</v>
          </cell>
          <cell r="B289" t="str">
            <v>T14</v>
          </cell>
          <cell r="C289">
            <v>81839</v>
          </cell>
        </row>
        <row r="290">
          <cell r="A290">
            <v>288</v>
          </cell>
          <cell r="B290" t="str">
            <v>T14</v>
          </cell>
          <cell r="C290">
            <v>81839</v>
          </cell>
        </row>
        <row r="291">
          <cell r="A291">
            <v>289</v>
          </cell>
          <cell r="B291" t="str">
            <v>T14</v>
          </cell>
          <cell r="C291">
            <v>80973</v>
          </cell>
        </row>
        <row r="292">
          <cell r="A292">
            <v>290</v>
          </cell>
          <cell r="B292" t="str">
            <v>T14</v>
          </cell>
          <cell r="C292">
            <v>83085</v>
          </cell>
        </row>
        <row r="293">
          <cell r="A293">
            <v>291</v>
          </cell>
          <cell r="B293" t="str">
            <v>T14</v>
          </cell>
          <cell r="C293">
            <v>81930</v>
          </cell>
        </row>
        <row r="294">
          <cell r="A294">
            <v>292</v>
          </cell>
          <cell r="B294" t="str">
            <v>T14</v>
          </cell>
          <cell r="C294">
            <v>81930</v>
          </cell>
        </row>
        <row r="295">
          <cell r="A295">
            <v>293</v>
          </cell>
          <cell r="B295" t="str">
            <v>T14</v>
          </cell>
          <cell r="C295">
            <v>81943</v>
          </cell>
        </row>
        <row r="296">
          <cell r="A296">
            <v>294</v>
          </cell>
          <cell r="B296" t="str">
            <v>T14</v>
          </cell>
          <cell r="C296">
            <v>82183</v>
          </cell>
        </row>
        <row r="297">
          <cell r="A297">
            <v>295</v>
          </cell>
          <cell r="B297" t="str">
            <v>T14</v>
          </cell>
          <cell r="C297">
            <v>82262</v>
          </cell>
        </row>
        <row r="298">
          <cell r="A298">
            <v>296</v>
          </cell>
          <cell r="B298" t="str">
            <v>T14</v>
          </cell>
          <cell r="C298">
            <v>82262</v>
          </cell>
        </row>
        <row r="299">
          <cell r="A299">
            <v>297</v>
          </cell>
          <cell r="B299" t="str">
            <v>T14</v>
          </cell>
          <cell r="C299">
            <v>81780</v>
          </cell>
        </row>
        <row r="300">
          <cell r="A300">
            <v>298</v>
          </cell>
          <cell r="B300" t="str">
            <v>T14</v>
          </cell>
          <cell r="C300">
            <v>81780</v>
          </cell>
        </row>
        <row r="301">
          <cell r="A301">
            <v>299</v>
          </cell>
          <cell r="B301" t="str">
            <v>T14</v>
          </cell>
          <cell r="C301">
            <v>81921</v>
          </cell>
        </row>
        <row r="302">
          <cell r="A302">
            <v>300</v>
          </cell>
          <cell r="B302" t="str">
            <v>T15</v>
          </cell>
          <cell r="C302">
            <v>83305</v>
          </cell>
        </row>
        <row r="303">
          <cell r="A303">
            <v>301</v>
          </cell>
          <cell r="B303" t="str">
            <v>T15</v>
          </cell>
          <cell r="C303">
            <v>80278</v>
          </cell>
        </row>
        <row r="304">
          <cell r="A304">
            <v>302</v>
          </cell>
          <cell r="B304" t="str">
            <v>T15</v>
          </cell>
          <cell r="C304">
            <v>80363</v>
          </cell>
        </row>
        <row r="305">
          <cell r="A305">
            <v>303</v>
          </cell>
          <cell r="B305" t="str">
            <v>T15</v>
          </cell>
          <cell r="C305">
            <v>80556</v>
          </cell>
        </row>
        <row r="306">
          <cell r="A306">
            <v>304</v>
          </cell>
          <cell r="B306" t="str">
            <v>T15</v>
          </cell>
          <cell r="C306">
            <v>80952</v>
          </cell>
        </row>
        <row r="307">
          <cell r="A307">
            <v>305</v>
          </cell>
          <cell r="B307" t="str">
            <v>T15</v>
          </cell>
          <cell r="C307">
            <v>81014</v>
          </cell>
        </row>
        <row r="308">
          <cell r="A308">
            <v>306</v>
          </cell>
          <cell r="B308" t="str">
            <v>T15</v>
          </cell>
          <cell r="C308">
            <v>81731</v>
          </cell>
        </row>
        <row r="309">
          <cell r="A309">
            <v>307</v>
          </cell>
          <cell r="B309" t="str">
            <v>T15</v>
          </cell>
          <cell r="C309">
            <v>82511</v>
          </cell>
        </row>
        <row r="310">
          <cell r="A310">
            <v>308</v>
          </cell>
          <cell r="B310" t="str">
            <v>T15</v>
          </cell>
          <cell r="C310">
            <v>82511</v>
          </cell>
        </row>
        <row r="311">
          <cell r="A311">
            <v>309</v>
          </cell>
          <cell r="B311" t="str">
            <v>T15</v>
          </cell>
          <cell r="C311">
            <v>82532</v>
          </cell>
        </row>
        <row r="312">
          <cell r="A312">
            <v>310</v>
          </cell>
          <cell r="B312" t="str">
            <v>T15</v>
          </cell>
          <cell r="C312">
            <v>82544</v>
          </cell>
        </row>
        <row r="313">
          <cell r="A313">
            <v>311</v>
          </cell>
          <cell r="B313" t="str">
            <v>T15</v>
          </cell>
          <cell r="C313">
            <v>82549</v>
          </cell>
        </row>
        <row r="314">
          <cell r="A314">
            <v>312</v>
          </cell>
          <cell r="B314" t="str">
            <v>T15</v>
          </cell>
          <cell r="C314">
            <v>82550</v>
          </cell>
        </row>
        <row r="315">
          <cell r="A315">
            <v>313</v>
          </cell>
          <cell r="B315" t="str">
            <v>T15</v>
          </cell>
          <cell r="C315">
            <v>82565</v>
          </cell>
        </row>
        <row r="316">
          <cell r="A316">
            <v>314</v>
          </cell>
          <cell r="B316" t="str">
            <v>T15</v>
          </cell>
          <cell r="C316">
            <v>82574</v>
          </cell>
        </row>
        <row r="317">
          <cell r="A317">
            <v>315</v>
          </cell>
          <cell r="B317" t="str">
            <v>T15</v>
          </cell>
          <cell r="C317">
            <v>82600</v>
          </cell>
        </row>
        <row r="318">
          <cell r="A318">
            <v>316</v>
          </cell>
          <cell r="B318" t="str">
            <v>T15</v>
          </cell>
          <cell r="C318">
            <v>82968</v>
          </cell>
        </row>
        <row r="319">
          <cell r="A319">
            <v>317</v>
          </cell>
          <cell r="B319" t="str">
            <v>T15</v>
          </cell>
          <cell r="C319">
            <v>80198</v>
          </cell>
        </row>
        <row r="320">
          <cell r="A320">
            <v>318</v>
          </cell>
          <cell r="B320" t="str">
            <v>T15</v>
          </cell>
          <cell r="C320">
            <v>81732</v>
          </cell>
        </row>
        <row r="321">
          <cell r="A321">
            <v>319</v>
          </cell>
          <cell r="B321" t="str">
            <v>T15</v>
          </cell>
          <cell r="C321">
            <v>81732</v>
          </cell>
        </row>
        <row r="322">
          <cell r="A322">
            <v>320</v>
          </cell>
          <cell r="B322" t="str">
            <v>T15</v>
          </cell>
          <cell r="C322">
            <v>82143</v>
          </cell>
        </row>
        <row r="323">
          <cell r="A323">
            <v>321</v>
          </cell>
          <cell r="B323" t="str">
            <v>T15</v>
          </cell>
          <cell r="C323">
            <v>82143</v>
          </cell>
        </row>
        <row r="324">
          <cell r="A324">
            <v>322</v>
          </cell>
          <cell r="B324" t="str">
            <v>T16</v>
          </cell>
          <cell r="C324">
            <v>80686</v>
          </cell>
        </row>
        <row r="325">
          <cell r="A325">
            <v>323</v>
          </cell>
          <cell r="B325" t="str">
            <v>T16</v>
          </cell>
          <cell r="C325">
            <v>80933</v>
          </cell>
        </row>
        <row r="326">
          <cell r="A326">
            <v>324</v>
          </cell>
          <cell r="B326" t="str">
            <v>T16</v>
          </cell>
          <cell r="C326">
            <v>80934</v>
          </cell>
        </row>
        <row r="327">
          <cell r="A327">
            <v>325</v>
          </cell>
          <cell r="B327" t="str">
            <v>T16</v>
          </cell>
          <cell r="C327">
            <v>80934</v>
          </cell>
        </row>
        <row r="328">
          <cell r="A328">
            <v>326</v>
          </cell>
          <cell r="B328" t="str">
            <v>T16</v>
          </cell>
          <cell r="C328">
            <v>82095</v>
          </cell>
        </row>
        <row r="329">
          <cell r="A329">
            <v>327</v>
          </cell>
          <cell r="B329" t="str">
            <v>T16</v>
          </cell>
          <cell r="C329">
            <v>82095</v>
          </cell>
        </row>
        <row r="330">
          <cell r="A330">
            <v>328</v>
          </cell>
          <cell r="B330" t="str">
            <v>T16</v>
          </cell>
          <cell r="C330">
            <v>82248</v>
          </cell>
        </row>
        <row r="331">
          <cell r="A331">
            <v>329</v>
          </cell>
          <cell r="B331" t="str">
            <v>T16</v>
          </cell>
          <cell r="C331">
            <v>82683</v>
          </cell>
        </row>
        <row r="332">
          <cell r="A332">
            <v>330</v>
          </cell>
          <cell r="B332" t="str">
            <v>T16</v>
          </cell>
          <cell r="C332">
            <v>82683</v>
          </cell>
        </row>
        <row r="333">
          <cell r="A333">
            <v>331</v>
          </cell>
          <cell r="B333" t="str">
            <v>T16</v>
          </cell>
          <cell r="C333">
            <v>82685</v>
          </cell>
        </row>
        <row r="334">
          <cell r="A334">
            <v>332</v>
          </cell>
          <cell r="B334" t="str">
            <v>T16</v>
          </cell>
          <cell r="C334">
            <v>82686</v>
          </cell>
        </row>
        <row r="335">
          <cell r="A335">
            <v>333</v>
          </cell>
          <cell r="B335" t="str">
            <v>T16</v>
          </cell>
          <cell r="C335">
            <v>82686</v>
          </cell>
        </row>
        <row r="336">
          <cell r="A336">
            <v>334</v>
          </cell>
          <cell r="B336" t="str">
            <v>T16</v>
          </cell>
          <cell r="C336">
            <v>82710</v>
          </cell>
        </row>
        <row r="337">
          <cell r="A337">
            <v>335</v>
          </cell>
          <cell r="B337" t="str">
            <v>T16</v>
          </cell>
          <cell r="C337">
            <v>82716</v>
          </cell>
        </row>
        <row r="338">
          <cell r="A338">
            <v>336</v>
          </cell>
          <cell r="B338" t="str">
            <v>T16</v>
          </cell>
          <cell r="C338">
            <v>82716</v>
          </cell>
        </row>
        <row r="339">
          <cell r="A339">
            <v>337</v>
          </cell>
          <cell r="B339" t="str">
            <v>T16</v>
          </cell>
          <cell r="C339">
            <v>81308</v>
          </cell>
        </row>
        <row r="340">
          <cell r="A340">
            <v>338</v>
          </cell>
          <cell r="B340" t="str">
            <v>T16</v>
          </cell>
          <cell r="C340">
            <v>82856</v>
          </cell>
        </row>
        <row r="341">
          <cell r="A341">
            <v>339</v>
          </cell>
          <cell r="B341" t="str">
            <v>T16</v>
          </cell>
          <cell r="C341">
            <v>82733</v>
          </cell>
        </row>
        <row r="342">
          <cell r="A342">
            <v>340</v>
          </cell>
          <cell r="B342" t="str">
            <v>T16</v>
          </cell>
          <cell r="C342">
            <v>82725</v>
          </cell>
        </row>
        <row r="343">
          <cell r="A343">
            <v>341</v>
          </cell>
          <cell r="B343" t="str">
            <v>T16</v>
          </cell>
          <cell r="C343">
            <v>82966</v>
          </cell>
        </row>
        <row r="344">
          <cell r="A344">
            <v>342</v>
          </cell>
          <cell r="B344" t="str">
            <v>T16</v>
          </cell>
          <cell r="C344">
            <v>83270</v>
          </cell>
        </row>
        <row r="345">
          <cell r="A345">
            <v>343</v>
          </cell>
          <cell r="B345" t="str">
            <v>T16</v>
          </cell>
          <cell r="C345">
            <v>83382</v>
          </cell>
        </row>
        <row r="346">
          <cell r="A346">
            <v>344</v>
          </cell>
          <cell r="B346" t="str">
            <v>T17</v>
          </cell>
          <cell r="C346">
            <v>80651</v>
          </cell>
        </row>
        <row r="347">
          <cell r="A347">
            <v>345</v>
          </cell>
          <cell r="B347" t="str">
            <v>T17</v>
          </cell>
          <cell r="C347">
            <v>80651</v>
          </cell>
        </row>
        <row r="348">
          <cell r="A348">
            <v>346</v>
          </cell>
          <cell r="B348" t="str">
            <v>T17</v>
          </cell>
          <cell r="C348">
            <v>82764</v>
          </cell>
        </row>
        <row r="349">
          <cell r="A349">
            <v>347</v>
          </cell>
          <cell r="B349" t="str">
            <v>T17</v>
          </cell>
          <cell r="C349">
            <v>82766</v>
          </cell>
        </row>
        <row r="350">
          <cell r="A350">
            <v>348</v>
          </cell>
          <cell r="B350" t="str">
            <v>T17</v>
          </cell>
          <cell r="C350">
            <v>82766</v>
          </cell>
        </row>
        <row r="351">
          <cell r="A351">
            <v>349</v>
          </cell>
          <cell r="B351" t="str">
            <v>T17</v>
          </cell>
          <cell r="C351">
            <v>82827</v>
          </cell>
        </row>
        <row r="352">
          <cell r="A352">
            <v>350</v>
          </cell>
          <cell r="B352" t="str">
            <v>T17</v>
          </cell>
          <cell r="C352">
            <v>82835</v>
          </cell>
        </row>
        <row r="353">
          <cell r="A353">
            <v>351</v>
          </cell>
          <cell r="B353" t="str">
            <v>T17</v>
          </cell>
          <cell r="C353">
            <v>82835</v>
          </cell>
        </row>
        <row r="354">
          <cell r="A354">
            <v>352</v>
          </cell>
          <cell r="B354" t="str">
            <v>T17</v>
          </cell>
          <cell r="C354">
            <v>82838</v>
          </cell>
        </row>
        <row r="355">
          <cell r="A355">
            <v>353</v>
          </cell>
          <cell r="B355" t="str">
            <v>T17</v>
          </cell>
          <cell r="C355">
            <v>82841</v>
          </cell>
        </row>
        <row r="356">
          <cell r="A356">
            <v>354</v>
          </cell>
          <cell r="B356" t="str">
            <v>T17</v>
          </cell>
          <cell r="C356">
            <v>82841</v>
          </cell>
        </row>
        <row r="357">
          <cell r="A357">
            <v>355</v>
          </cell>
          <cell r="B357" t="str">
            <v>T17</v>
          </cell>
          <cell r="C357">
            <v>82864</v>
          </cell>
        </row>
        <row r="358">
          <cell r="A358">
            <v>356</v>
          </cell>
          <cell r="B358" t="str">
            <v>T17</v>
          </cell>
          <cell r="C358">
            <v>82865</v>
          </cell>
        </row>
        <row r="359">
          <cell r="A359">
            <v>357</v>
          </cell>
          <cell r="B359" t="str">
            <v>T17</v>
          </cell>
          <cell r="C359">
            <v>82865</v>
          </cell>
        </row>
        <row r="360">
          <cell r="A360">
            <v>358</v>
          </cell>
          <cell r="B360" t="str">
            <v>T17</v>
          </cell>
          <cell r="C360">
            <v>82801</v>
          </cell>
        </row>
        <row r="361">
          <cell r="A361">
            <v>359</v>
          </cell>
          <cell r="B361" t="str">
            <v>T17</v>
          </cell>
          <cell r="C361">
            <v>82801</v>
          </cell>
        </row>
        <row r="362">
          <cell r="A362">
            <v>360</v>
          </cell>
          <cell r="B362" t="str">
            <v>T17</v>
          </cell>
          <cell r="C362">
            <v>82917</v>
          </cell>
        </row>
        <row r="363">
          <cell r="A363">
            <v>361</v>
          </cell>
          <cell r="B363" t="str">
            <v>T17</v>
          </cell>
          <cell r="C363">
            <v>82836</v>
          </cell>
        </row>
        <row r="364">
          <cell r="A364">
            <v>362</v>
          </cell>
          <cell r="B364" t="str">
            <v>T17</v>
          </cell>
          <cell r="C364">
            <v>82836</v>
          </cell>
        </row>
        <row r="365">
          <cell r="A365">
            <v>363</v>
          </cell>
          <cell r="B365" t="str">
            <v>T17</v>
          </cell>
          <cell r="C365">
            <v>82931</v>
          </cell>
        </row>
        <row r="366">
          <cell r="A366">
            <v>364</v>
          </cell>
          <cell r="B366" t="str">
            <v>T18</v>
          </cell>
          <cell r="C366">
            <v>80673</v>
          </cell>
        </row>
        <row r="367">
          <cell r="A367">
            <v>365</v>
          </cell>
          <cell r="B367" t="str">
            <v>T18</v>
          </cell>
          <cell r="C367">
            <v>82757</v>
          </cell>
        </row>
        <row r="368">
          <cell r="A368">
            <v>366</v>
          </cell>
          <cell r="B368" t="str">
            <v>T18</v>
          </cell>
          <cell r="C368">
            <v>82763</v>
          </cell>
        </row>
        <row r="369">
          <cell r="A369">
            <v>367</v>
          </cell>
          <cell r="B369" t="str">
            <v>T18</v>
          </cell>
          <cell r="C369">
            <v>82763</v>
          </cell>
        </row>
        <row r="370">
          <cell r="A370">
            <v>368</v>
          </cell>
          <cell r="B370" t="str">
            <v>T18</v>
          </cell>
          <cell r="C370">
            <v>82765</v>
          </cell>
        </row>
        <row r="371">
          <cell r="A371">
            <v>369</v>
          </cell>
          <cell r="B371" t="str">
            <v>T18</v>
          </cell>
          <cell r="C371">
            <v>82781</v>
          </cell>
        </row>
        <row r="372">
          <cell r="A372">
            <v>370</v>
          </cell>
          <cell r="B372" t="str">
            <v>T18</v>
          </cell>
          <cell r="C372">
            <v>82791</v>
          </cell>
        </row>
        <row r="373">
          <cell r="A373">
            <v>371</v>
          </cell>
          <cell r="B373" t="str">
            <v>T18</v>
          </cell>
          <cell r="C373">
            <v>82791</v>
          </cell>
        </row>
        <row r="374">
          <cell r="A374">
            <v>372</v>
          </cell>
          <cell r="B374" t="str">
            <v>T18</v>
          </cell>
          <cell r="C374">
            <v>82792</v>
          </cell>
        </row>
        <row r="375">
          <cell r="A375">
            <v>373</v>
          </cell>
          <cell r="B375" t="str">
            <v>T18</v>
          </cell>
          <cell r="C375">
            <v>82796</v>
          </cell>
        </row>
        <row r="376">
          <cell r="A376">
            <v>374</v>
          </cell>
          <cell r="B376" t="str">
            <v>T18</v>
          </cell>
          <cell r="C376">
            <v>82797</v>
          </cell>
        </row>
        <row r="377">
          <cell r="A377">
            <v>375</v>
          </cell>
          <cell r="B377" t="str">
            <v>T18</v>
          </cell>
          <cell r="C377">
            <v>82797</v>
          </cell>
        </row>
        <row r="378">
          <cell r="A378">
            <v>376</v>
          </cell>
          <cell r="B378" t="str">
            <v>T18</v>
          </cell>
          <cell r="C378">
            <v>82822</v>
          </cell>
        </row>
        <row r="379">
          <cell r="A379">
            <v>377</v>
          </cell>
          <cell r="B379" t="str">
            <v>T18</v>
          </cell>
          <cell r="C379">
            <v>82833</v>
          </cell>
        </row>
        <row r="380">
          <cell r="A380">
            <v>378</v>
          </cell>
          <cell r="B380" t="str">
            <v>T18</v>
          </cell>
          <cell r="C380">
            <v>82837</v>
          </cell>
        </row>
        <row r="381">
          <cell r="A381">
            <v>379</v>
          </cell>
          <cell r="B381" t="str">
            <v>T18</v>
          </cell>
          <cell r="C381">
            <v>82860</v>
          </cell>
        </row>
        <row r="382">
          <cell r="A382">
            <v>380</v>
          </cell>
          <cell r="B382" t="str">
            <v>T18</v>
          </cell>
          <cell r="C382">
            <v>83019</v>
          </cell>
        </row>
        <row r="383">
          <cell r="A383">
            <v>381</v>
          </cell>
          <cell r="B383" t="str">
            <v>T18</v>
          </cell>
          <cell r="C383">
            <v>80253</v>
          </cell>
        </row>
        <row r="384">
          <cell r="A384">
            <v>382</v>
          </cell>
          <cell r="B384" t="str">
            <v>T18</v>
          </cell>
          <cell r="C384">
            <v>83079</v>
          </cell>
        </row>
        <row r="385">
          <cell r="A385">
            <v>383</v>
          </cell>
          <cell r="B385" t="str">
            <v>T18</v>
          </cell>
          <cell r="C385">
            <v>83241</v>
          </cell>
        </row>
        <row r="386">
          <cell r="A386">
            <v>384</v>
          </cell>
          <cell r="B386" t="str">
            <v>T19</v>
          </cell>
          <cell r="C386">
            <v>81402</v>
          </cell>
        </row>
        <row r="387">
          <cell r="A387">
            <v>385</v>
          </cell>
          <cell r="B387" t="str">
            <v>T19</v>
          </cell>
          <cell r="C387">
            <v>81925</v>
          </cell>
        </row>
        <row r="388">
          <cell r="A388">
            <v>386</v>
          </cell>
          <cell r="B388" t="str">
            <v>T19</v>
          </cell>
          <cell r="C388">
            <v>83069</v>
          </cell>
        </row>
        <row r="389">
          <cell r="A389">
            <v>387</v>
          </cell>
          <cell r="B389" t="str">
            <v>T19</v>
          </cell>
          <cell r="C389">
            <v>83027</v>
          </cell>
        </row>
        <row r="390">
          <cell r="A390">
            <v>388</v>
          </cell>
          <cell r="B390" t="str">
            <v>T19</v>
          </cell>
          <cell r="C390">
            <v>83027</v>
          </cell>
        </row>
        <row r="391">
          <cell r="A391">
            <v>389</v>
          </cell>
          <cell r="B391" t="str">
            <v>T19</v>
          </cell>
          <cell r="C391">
            <v>82927</v>
          </cell>
        </row>
        <row r="392">
          <cell r="A392">
            <v>390</v>
          </cell>
          <cell r="B392" t="str">
            <v>T19</v>
          </cell>
          <cell r="C392">
            <v>83088</v>
          </cell>
        </row>
        <row r="393">
          <cell r="A393">
            <v>391</v>
          </cell>
          <cell r="B393" t="str">
            <v>T19</v>
          </cell>
          <cell r="C393">
            <v>83055</v>
          </cell>
        </row>
        <row r="394">
          <cell r="A394">
            <v>392</v>
          </cell>
          <cell r="B394" t="str">
            <v>T19</v>
          </cell>
          <cell r="C394">
            <v>82938</v>
          </cell>
        </row>
        <row r="395">
          <cell r="A395">
            <v>393</v>
          </cell>
          <cell r="B395" t="str">
            <v>T19</v>
          </cell>
          <cell r="C395">
            <v>83069</v>
          </cell>
        </row>
        <row r="396">
          <cell r="A396">
            <v>394</v>
          </cell>
          <cell r="B396" t="str">
            <v>T19</v>
          </cell>
          <cell r="C396">
            <v>83063</v>
          </cell>
        </row>
        <row r="397">
          <cell r="A397">
            <v>395</v>
          </cell>
          <cell r="B397" t="str">
            <v>T19</v>
          </cell>
          <cell r="C397">
            <v>83063</v>
          </cell>
        </row>
        <row r="398">
          <cell r="A398">
            <v>396</v>
          </cell>
          <cell r="B398" t="str">
            <v>T19</v>
          </cell>
          <cell r="C398">
            <v>83153</v>
          </cell>
        </row>
        <row r="399">
          <cell r="A399">
            <v>397</v>
          </cell>
          <cell r="B399" t="str">
            <v>T19</v>
          </cell>
          <cell r="C399">
            <v>83272</v>
          </cell>
        </row>
        <row r="400">
          <cell r="A400">
            <v>398</v>
          </cell>
          <cell r="B400" t="str">
            <v>T19</v>
          </cell>
          <cell r="C400">
            <v>83225</v>
          </cell>
        </row>
        <row r="401">
          <cell r="A401">
            <v>399</v>
          </cell>
          <cell r="B401" t="str">
            <v>T19</v>
          </cell>
          <cell r="C401">
            <v>83267</v>
          </cell>
        </row>
        <row r="402">
          <cell r="A402">
            <v>400</v>
          </cell>
          <cell r="B402" t="str">
            <v>T19</v>
          </cell>
          <cell r="C402">
            <v>83267</v>
          </cell>
        </row>
        <row r="403">
          <cell r="A403">
            <v>401</v>
          </cell>
          <cell r="B403" t="str">
            <v>T2</v>
          </cell>
          <cell r="C403">
            <v>80127</v>
          </cell>
        </row>
        <row r="404">
          <cell r="A404">
            <v>402</v>
          </cell>
          <cell r="B404" t="str">
            <v>T2</v>
          </cell>
          <cell r="C404">
            <v>80127</v>
          </cell>
        </row>
        <row r="405">
          <cell r="A405">
            <v>403</v>
          </cell>
          <cell r="B405" t="str">
            <v>T2</v>
          </cell>
          <cell r="C405">
            <v>80144</v>
          </cell>
        </row>
        <row r="406">
          <cell r="A406">
            <v>404</v>
          </cell>
          <cell r="B406" t="str">
            <v>T2</v>
          </cell>
          <cell r="C406">
            <v>80174</v>
          </cell>
        </row>
        <row r="407">
          <cell r="A407">
            <v>405</v>
          </cell>
          <cell r="B407" t="str">
            <v>T2</v>
          </cell>
          <cell r="C407">
            <v>80324</v>
          </cell>
        </row>
        <row r="408">
          <cell r="A408">
            <v>406</v>
          </cell>
          <cell r="B408" t="str">
            <v>T2</v>
          </cell>
          <cell r="C408">
            <v>80547</v>
          </cell>
        </row>
        <row r="409">
          <cell r="A409">
            <v>407</v>
          </cell>
          <cell r="B409" t="str">
            <v>T2</v>
          </cell>
          <cell r="C409">
            <v>80547</v>
          </cell>
        </row>
        <row r="410">
          <cell r="A410">
            <v>408</v>
          </cell>
          <cell r="B410" t="str">
            <v>T2</v>
          </cell>
          <cell r="C410">
            <v>81073</v>
          </cell>
        </row>
        <row r="411">
          <cell r="A411">
            <v>409</v>
          </cell>
          <cell r="B411" t="str">
            <v>T2</v>
          </cell>
          <cell r="C411">
            <v>81112</v>
          </cell>
        </row>
        <row r="412">
          <cell r="A412">
            <v>410</v>
          </cell>
          <cell r="B412" t="str">
            <v>T2</v>
          </cell>
          <cell r="C412">
            <v>81286</v>
          </cell>
        </row>
        <row r="413">
          <cell r="A413">
            <v>411</v>
          </cell>
          <cell r="B413" t="str">
            <v>T2</v>
          </cell>
          <cell r="C413">
            <v>81317</v>
          </cell>
        </row>
        <row r="414">
          <cell r="A414">
            <v>412</v>
          </cell>
          <cell r="B414" t="str">
            <v>T2</v>
          </cell>
          <cell r="C414">
            <v>81704</v>
          </cell>
        </row>
        <row r="415">
          <cell r="A415">
            <v>413</v>
          </cell>
          <cell r="B415" t="str">
            <v>T2</v>
          </cell>
          <cell r="C415">
            <v>81836</v>
          </cell>
        </row>
        <row r="416">
          <cell r="A416">
            <v>414</v>
          </cell>
          <cell r="B416" t="str">
            <v>T2</v>
          </cell>
          <cell r="C416">
            <v>81996</v>
          </cell>
        </row>
        <row r="417">
          <cell r="A417">
            <v>415</v>
          </cell>
          <cell r="B417" t="str">
            <v>T2</v>
          </cell>
          <cell r="C417">
            <v>82351</v>
          </cell>
        </row>
        <row r="418">
          <cell r="A418">
            <v>416</v>
          </cell>
          <cell r="B418" t="str">
            <v>T2</v>
          </cell>
          <cell r="C418">
            <v>82575</v>
          </cell>
        </row>
        <row r="419">
          <cell r="A419">
            <v>417</v>
          </cell>
          <cell r="B419" t="str">
            <v>T2</v>
          </cell>
          <cell r="C419">
            <v>82575</v>
          </cell>
        </row>
        <row r="420">
          <cell r="A420">
            <v>418</v>
          </cell>
          <cell r="B420" t="str">
            <v>T2</v>
          </cell>
          <cell r="C420">
            <v>81044</v>
          </cell>
        </row>
        <row r="421">
          <cell r="A421">
            <v>419</v>
          </cell>
          <cell r="B421" t="str">
            <v>T2</v>
          </cell>
          <cell r="C421">
            <v>82894</v>
          </cell>
        </row>
        <row r="422">
          <cell r="A422">
            <v>420</v>
          </cell>
          <cell r="B422" t="str">
            <v>T2</v>
          </cell>
          <cell r="C422">
            <v>82894</v>
          </cell>
        </row>
        <row r="423">
          <cell r="A423">
            <v>421</v>
          </cell>
          <cell r="B423" t="str">
            <v>T2</v>
          </cell>
          <cell r="C423">
            <v>82890</v>
          </cell>
        </row>
        <row r="424">
          <cell r="A424">
            <v>422</v>
          </cell>
          <cell r="B424" t="str">
            <v>T2</v>
          </cell>
          <cell r="C424">
            <v>83005</v>
          </cell>
        </row>
        <row r="425">
          <cell r="A425">
            <v>423</v>
          </cell>
          <cell r="B425" t="str">
            <v>T2</v>
          </cell>
          <cell r="C425">
            <v>82872</v>
          </cell>
        </row>
        <row r="426">
          <cell r="A426">
            <v>424</v>
          </cell>
          <cell r="B426" t="str">
            <v>T2</v>
          </cell>
          <cell r="C426">
            <v>82999</v>
          </cell>
        </row>
        <row r="427">
          <cell r="A427">
            <v>425</v>
          </cell>
          <cell r="B427" t="str">
            <v>T2</v>
          </cell>
          <cell r="C427">
            <v>82082</v>
          </cell>
        </row>
        <row r="428">
          <cell r="A428">
            <v>426</v>
          </cell>
          <cell r="B428" t="str">
            <v>T2</v>
          </cell>
          <cell r="C428">
            <v>82153</v>
          </cell>
        </row>
        <row r="429">
          <cell r="A429">
            <v>427</v>
          </cell>
          <cell r="B429" t="str">
            <v>T2</v>
          </cell>
          <cell r="C429">
            <v>82153</v>
          </cell>
        </row>
        <row r="430">
          <cell r="A430">
            <v>428</v>
          </cell>
          <cell r="B430" t="str">
            <v>T20</v>
          </cell>
          <cell r="C430">
            <v>83054</v>
          </cell>
        </row>
        <row r="431">
          <cell r="A431">
            <v>429</v>
          </cell>
          <cell r="B431" t="str">
            <v>T20</v>
          </cell>
          <cell r="C431">
            <v>83057</v>
          </cell>
        </row>
        <row r="432">
          <cell r="A432">
            <v>430</v>
          </cell>
          <cell r="B432" t="str">
            <v>T20</v>
          </cell>
          <cell r="C432">
            <v>82932</v>
          </cell>
        </row>
        <row r="433">
          <cell r="A433">
            <v>431</v>
          </cell>
          <cell r="B433" t="str">
            <v>T20</v>
          </cell>
          <cell r="C433">
            <v>82965</v>
          </cell>
        </row>
        <row r="434">
          <cell r="A434">
            <v>432</v>
          </cell>
          <cell r="B434" t="str">
            <v>T20</v>
          </cell>
          <cell r="C434">
            <v>83052</v>
          </cell>
        </row>
        <row r="435">
          <cell r="A435">
            <v>433</v>
          </cell>
          <cell r="B435" t="str">
            <v>T20</v>
          </cell>
          <cell r="C435">
            <v>83052</v>
          </cell>
        </row>
        <row r="436">
          <cell r="A436">
            <v>434</v>
          </cell>
          <cell r="B436" t="str">
            <v>T20</v>
          </cell>
          <cell r="C436">
            <v>83062</v>
          </cell>
        </row>
        <row r="437">
          <cell r="A437">
            <v>435</v>
          </cell>
          <cell r="B437" t="str">
            <v>T20</v>
          </cell>
          <cell r="C437">
            <v>83057</v>
          </cell>
        </row>
        <row r="438">
          <cell r="A438">
            <v>436</v>
          </cell>
          <cell r="B438" t="str">
            <v>T20</v>
          </cell>
          <cell r="C438">
            <v>82996</v>
          </cell>
        </row>
        <row r="439">
          <cell r="A439">
            <v>437</v>
          </cell>
          <cell r="B439" t="str">
            <v>T20</v>
          </cell>
          <cell r="C439">
            <v>82979</v>
          </cell>
        </row>
        <row r="440">
          <cell r="A440">
            <v>438</v>
          </cell>
          <cell r="B440" t="str">
            <v>T20</v>
          </cell>
          <cell r="C440">
            <v>82950</v>
          </cell>
        </row>
        <row r="441">
          <cell r="A441">
            <v>439</v>
          </cell>
          <cell r="B441" t="str">
            <v>T20</v>
          </cell>
          <cell r="C441">
            <v>83329</v>
          </cell>
        </row>
        <row r="442">
          <cell r="A442">
            <v>440</v>
          </cell>
          <cell r="B442" t="str">
            <v>T20</v>
          </cell>
          <cell r="C442">
            <v>83331</v>
          </cell>
        </row>
        <row r="443">
          <cell r="A443">
            <v>441</v>
          </cell>
          <cell r="B443" t="str">
            <v>T21</v>
          </cell>
          <cell r="C443">
            <v>80008</v>
          </cell>
        </row>
        <row r="444">
          <cell r="A444">
            <v>442</v>
          </cell>
          <cell r="B444" t="str">
            <v>T21</v>
          </cell>
          <cell r="C444">
            <v>80008</v>
          </cell>
        </row>
        <row r="445">
          <cell r="A445">
            <v>443</v>
          </cell>
          <cell r="B445" t="str">
            <v>T21</v>
          </cell>
          <cell r="C445">
            <v>82533</v>
          </cell>
        </row>
        <row r="446">
          <cell r="A446">
            <v>444</v>
          </cell>
          <cell r="B446" t="str">
            <v>T21</v>
          </cell>
          <cell r="C446">
            <v>80493</v>
          </cell>
        </row>
        <row r="447">
          <cell r="A447">
            <v>445</v>
          </cell>
          <cell r="B447" t="str">
            <v>T21</v>
          </cell>
          <cell r="C447">
            <v>80493</v>
          </cell>
        </row>
        <row r="448">
          <cell r="A448">
            <v>446</v>
          </cell>
          <cell r="B448" t="str">
            <v>T21</v>
          </cell>
          <cell r="C448">
            <v>81577</v>
          </cell>
        </row>
        <row r="449">
          <cell r="A449">
            <v>447</v>
          </cell>
          <cell r="B449" t="str">
            <v>T21</v>
          </cell>
          <cell r="C449">
            <v>81577</v>
          </cell>
        </row>
        <row r="450">
          <cell r="A450">
            <v>448</v>
          </cell>
          <cell r="B450" t="str">
            <v>T21</v>
          </cell>
          <cell r="C450">
            <v>82741</v>
          </cell>
        </row>
        <row r="451">
          <cell r="A451">
            <v>449</v>
          </cell>
          <cell r="B451" t="str">
            <v>T21</v>
          </cell>
          <cell r="C451">
            <v>80951</v>
          </cell>
        </row>
        <row r="452">
          <cell r="A452">
            <v>450</v>
          </cell>
          <cell r="B452" t="str">
            <v>T21</v>
          </cell>
          <cell r="C452">
            <v>82447</v>
          </cell>
        </row>
        <row r="453">
          <cell r="A453">
            <v>451</v>
          </cell>
          <cell r="B453" t="str">
            <v>T21</v>
          </cell>
          <cell r="C453">
            <v>83078</v>
          </cell>
        </row>
        <row r="454">
          <cell r="A454">
            <v>452</v>
          </cell>
          <cell r="B454" t="str">
            <v>T21</v>
          </cell>
          <cell r="C454">
            <v>83078</v>
          </cell>
        </row>
        <row r="455">
          <cell r="A455">
            <v>453</v>
          </cell>
          <cell r="B455" t="str">
            <v>T21</v>
          </cell>
          <cell r="C455">
            <v>80969</v>
          </cell>
        </row>
        <row r="456">
          <cell r="A456">
            <v>454</v>
          </cell>
          <cell r="B456" t="str">
            <v>T21</v>
          </cell>
          <cell r="C456">
            <v>80969</v>
          </cell>
        </row>
        <row r="457">
          <cell r="A457">
            <v>455</v>
          </cell>
          <cell r="B457" t="str">
            <v>T21</v>
          </cell>
          <cell r="C457">
            <v>83203</v>
          </cell>
        </row>
        <row r="458">
          <cell r="A458">
            <v>456</v>
          </cell>
          <cell r="B458" t="str">
            <v>T21</v>
          </cell>
          <cell r="C458">
            <v>83261</v>
          </cell>
        </row>
        <row r="459">
          <cell r="A459">
            <v>457</v>
          </cell>
          <cell r="B459" t="str">
            <v>T21</v>
          </cell>
          <cell r="C459">
            <v>83261</v>
          </cell>
        </row>
        <row r="460">
          <cell r="A460">
            <v>458</v>
          </cell>
          <cell r="B460" t="str">
            <v>T21</v>
          </cell>
          <cell r="C460">
            <v>83262</v>
          </cell>
        </row>
        <row r="461">
          <cell r="A461">
            <v>459</v>
          </cell>
          <cell r="B461" t="str">
            <v>T21</v>
          </cell>
          <cell r="C461">
            <v>80776</v>
          </cell>
        </row>
        <row r="462">
          <cell r="A462">
            <v>460</v>
          </cell>
          <cell r="B462" t="str">
            <v>T21</v>
          </cell>
          <cell r="C462">
            <v>81178</v>
          </cell>
        </row>
        <row r="463">
          <cell r="A463">
            <v>461</v>
          </cell>
          <cell r="B463" t="str">
            <v>T21</v>
          </cell>
          <cell r="C463">
            <v>81178</v>
          </cell>
        </row>
        <row r="464">
          <cell r="A464">
            <v>462</v>
          </cell>
          <cell r="B464" t="str">
            <v>T21</v>
          </cell>
          <cell r="C464">
            <v>83410</v>
          </cell>
        </row>
        <row r="465">
          <cell r="A465">
            <v>463</v>
          </cell>
          <cell r="B465" t="str">
            <v>T21</v>
          </cell>
          <cell r="C465">
            <v>83300</v>
          </cell>
        </row>
        <row r="466">
          <cell r="A466">
            <v>464</v>
          </cell>
          <cell r="B466" t="str">
            <v>T21</v>
          </cell>
          <cell r="C466">
            <v>83419</v>
          </cell>
        </row>
        <row r="467">
          <cell r="A467">
            <v>465</v>
          </cell>
          <cell r="B467" t="str">
            <v>T3</v>
          </cell>
          <cell r="C467">
            <v>80106</v>
          </cell>
        </row>
        <row r="468">
          <cell r="A468">
            <v>466</v>
          </cell>
          <cell r="B468" t="str">
            <v>T3</v>
          </cell>
          <cell r="C468">
            <v>80106</v>
          </cell>
        </row>
        <row r="469">
          <cell r="A469">
            <v>467</v>
          </cell>
          <cell r="B469" t="str">
            <v>T3</v>
          </cell>
          <cell r="C469">
            <v>80111</v>
          </cell>
        </row>
        <row r="470">
          <cell r="A470">
            <v>468</v>
          </cell>
          <cell r="B470" t="str">
            <v>T3</v>
          </cell>
          <cell r="C470">
            <v>80111</v>
          </cell>
        </row>
        <row r="471">
          <cell r="A471">
            <v>469</v>
          </cell>
          <cell r="B471" t="str">
            <v>T3</v>
          </cell>
          <cell r="C471">
            <v>80227</v>
          </cell>
        </row>
        <row r="472">
          <cell r="A472">
            <v>470</v>
          </cell>
          <cell r="B472" t="str">
            <v>T3</v>
          </cell>
          <cell r="C472">
            <v>80227</v>
          </cell>
        </row>
        <row r="473">
          <cell r="A473">
            <v>471</v>
          </cell>
          <cell r="B473" t="str">
            <v>T3</v>
          </cell>
          <cell r="C473">
            <v>80354</v>
          </cell>
        </row>
        <row r="474">
          <cell r="A474">
            <v>472</v>
          </cell>
          <cell r="B474" t="str">
            <v>T3</v>
          </cell>
          <cell r="C474">
            <v>80526</v>
          </cell>
        </row>
        <row r="475">
          <cell r="A475">
            <v>473</v>
          </cell>
          <cell r="B475" t="str">
            <v>T3</v>
          </cell>
          <cell r="C475">
            <v>80576</v>
          </cell>
        </row>
        <row r="476">
          <cell r="A476">
            <v>474</v>
          </cell>
          <cell r="B476" t="str">
            <v>T3</v>
          </cell>
          <cell r="C476">
            <v>80576</v>
          </cell>
        </row>
        <row r="477">
          <cell r="A477">
            <v>475</v>
          </cell>
          <cell r="B477" t="str">
            <v>T3</v>
          </cell>
          <cell r="C477">
            <v>80697</v>
          </cell>
        </row>
        <row r="478">
          <cell r="A478">
            <v>476</v>
          </cell>
          <cell r="B478" t="str">
            <v>T3</v>
          </cell>
          <cell r="C478">
            <v>80805</v>
          </cell>
        </row>
        <row r="479">
          <cell r="A479">
            <v>477</v>
          </cell>
          <cell r="B479" t="str">
            <v>T3</v>
          </cell>
          <cell r="C479">
            <v>80978</v>
          </cell>
        </row>
        <row r="480">
          <cell r="A480">
            <v>478</v>
          </cell>
          <cell r="B480" t="str">
            <v>T3</v>
          </cell>
          <cell r="C480">
            <v>80979</v>
          </cell>
        </row>
        <row r="481">
          <cell r="A481">
            <v>479</v>
          </cell>
          <cell r="B481" t="str">
            <v>T3</v>
          </cell>
          <cell r="C481">
            <v>81059</v>
          </cell>
        </row>
        <row r="482">
          <cell r="A482">
            <v>480</v>
          </cell>
          <cell r="B482" t="str">
            <v>T3</v>
          </cell>
          <cell r="C482">
            <v>81110</v>
          </cell>
        </row>
        <row r="483">
          <cell r="A483">
            <v>481</v>
          </cell>
          <cell r="B483" t="str">
            <v>T3</v>
          </cell>
          <cell r="C483">
            <v>81252</v>
          </cell>
        </row>
        <row r="484">
          <cell r="A484">
            <v>482</v>
          </cell>
          <cell r="B484" t="str">
            <v>T3</v>
          </cell>
          <cell r="C484">
            <v>81404</v>
          </cell>
        </row>
        <row r="485">
          <cell r="A485">
            <v>483</v>
          </cell>
          <cell r="B485" t="str">
            <v>T3</v>
          </cell>
          <cell r="C485">
            <v>81560</v>
          </cell>
        </row>
        <row r="486">
          <cell r="A486">
            <v>484</v>
          </cell>
          <cell r="B486" t="str">
            <v>T3</v>
          </cell>
          <cell r="C486">
            <v>81691</v>
          </cell>
        </row>
        <row r="487">
          <cell r="A487">
            <v>485</v>
          </cell>
          <cell r="B487" t="str">
            <v>T3</v>
          </cell>
          <cell r="C487">
            <v>81737</v>
          </cell>
        </row>
        <row r="488">
          <cell r="A488">
            <v>486</v>
          </cell>
          <cell r="B488" t="str">
            <v>T3</v>
          </cell>
          <cell r="C488">
            <v>82184</v>
          </cell>
        </row>
        <row r="489">
          <cell r="A489">
            <v>487</v>
          </cell>
          <cell r="B489" t="str">
            <v>T3</v>
          </cell>
          <cell r="C489">
            <v>82205</v>
          </cell>
        </row>
        <row r="490">
          <cell r="A490">
            <v>488</v>
          </cell>
          <cell r="B490" t="str">
            <v>T3</v>
          </cell>
          <cell r="C490">
            <v>82218</v>
          </cell>
        </row>
        <row r="491">
          <cell r="A491">
            <v>489</v>
          </cell>
          <cell r="B491" t="str">
            <v>T3</v>
          </cell>
          <cell r="C491">
            <v>82475</v>
          </cell>
        </row>
        <row r="492">
          <cell r="A492">
            <v>490</v>
          </cell>
          <cell r="B492" t="str">
            <v>T3</v>
          </cell>
          <cell r="C492">
            <v>82480</v>
          </cell>
        </row>
        <row r="493">
          <cell r="A493">
            <v>491</v>
          </cell>
          <cell r="B493" t="str">
            <v>T3</v>
          </cell>
          <cell r="C493">
            <v>82581</v>
          </cell>
        </row>
        <row r="494">
          <cell r="A494">
            <v>492</v>
          </cell>
          <cell r="B494" t="str">
            <v>T3</v>
          </cell>
          <cell r="C494">
            <v>81352</v>
          </cell>
        </row>
        <row r="495">
          <cell r="A495">
            <v>493</v>
          </cell>
          <cell r="B495" t="str">
            <v>T3</v>
          </cell>
          <cell r="C495">
            <v>82163</v>
          </cell>
        </row>
        <row r="496">
          <cell r="A496">
            <v>494</v>
          </cell>
          <cell r="B496" t="str">
            <v>T3</v>
          </cell>
          <cell r="C496">
            <v>82163</v>
          </cell>
        </row>
        <row r="497">
          <cell r="A497">
            <v>495</v>
          </cell>
          <cell r="B497" t="str">
            <v>T3</v>
          </cell>
          <cell r="C497">
            <v>80641</v>
          </cell>
        </row>
        <row r="498">
          <cell r="A498">
            <v>496</v>
          </cell>
          <cell r="B498" t="str">
            <v>T3</v>
          </cell>
          <cell r="C498">
            <v>82370</v>
          </cell>
        </row>
        <row r="499">
          <cell r="A499">
            <v>497</v>
          </cell>
          <cell r="B499" t="str">
            <v>T3</v>
          </cell>
          <cell r="C499">
            <v>82634</v>
          </cell>
        </row>
        <row r="500">
          <cell r="A500">
            <v>498</v>
          </cell>
          <cell r="B500" t="str">
            <v>T4</v>
          </cell>
          <cell r="C500">
            <v>80076</v>
          </cell>
        </row>
        <row r="501">
          <cell r="A501">
            <v>499</v>
          </cell>
          <cell r="B501" t="str">
            <v>T4</v>
          </cell>
          <cell r="C501">
            <v>80076</v>
          </cell>
        </row>
        <row r="502">
          <cell r="A502">
            <v>500</v>
          </cell>
          <cell r="B502" t="str">
            <v>T4</v>
          </cell>
          <cell r="C502">
            <v>80213</v>
          </cell>
        </row>
        <row r="503">
          <cell r="A503">
            <v>501</v>
          </cell>
          <cell r="B503" t="str">
            <v>T4</v>
          </cell>
          <cell r="C503">
            <v>80223</v>
          </cell>
        </row>
        <row r="504">
          <cell r="A504">
            <v>502</v>
          </cell>
          <cell r="B504" t="str">
            <v>T4</v>
          </cell>
          <cell r="C504">
            <v>80247</v>
          </cell>
        </row>
        <row r="505">
          <cell r="A505">
            <v>503</v>
          </cell>
          <cell r="B505" t="str">
            <v>T4</v>
          </cell>
          <cell r="C505">
            <v>80328</v>
          </cell>
        </row>
        <row r="506">
          <cell r="A506">
            <v>504</v>
          </cell>
          <cell r="B506" t="str">
            <v>T4</v>
          </cell>
          <cell r="C506">
            <v>80328</v>
          </cell>
        </row>
        <row r="507">
          <cell r="A507">
            <v>501</v>
          </cell>
          <cell r="B507" t="str">
            <v>T4</v>
          </cell>
          <cell r="C507">
            <v>80519</v>
          </cell>
        </row>
        <row r="508">
          <cell r="A508">
            <v>502</v>
          </cell>
          <cell r="B508" t="str">
            <v>T4</v>
          </cell>
          <cell r="C508">
            <v>80519</v>
          </cell>
        </row>
        <row r="509">
          <cell r="A509">
            <v>503</v>
          </cell>
          <cell r="B509" t="str">
            <v>T4</v>
          </cell>
          <cell r="C509">
            <v>80949</v>
          </cell>
        </row>
        <row r="510">
          <cell r="A510">
            <v>504</v>
          </cell>
          <cell r="B510" t="str">
            <v>T4</v>
          </cell>
          <cell r="C510">
            <v>81060</v>
          </cell>
        </row>
        <row r="511">
          <cell r="A511">
            <v>505</v>
          </cell>
          <cell r="B511" t="str">
            <v>T4</v>
          </cell>
          <cell r="C511">
            <v>81106</v>
          </cell>
        </row>
        <row r="512">
          <cell r="A512">
            <v>506</v>
          </cell>
          <cell r="B512" t="str">
            <v>T4</v>
          </cell>
          <cell r="C512">
            <v>81106</v>
          </cell>
        </row>
        <row r="513">
          <cell r="A513">
            <v>507</v>
          </cell>
          <cell r="B513" t="str">
            <v>T4</v>
          </cell>
          <cell r="C513">
            <v>81181</v>
          </cell>
        </row>
        <row r="514">
          <cell r="A514">
            <v>508</v>
          </cell>
          <cell r="B514" t="str">
            <v>T4</v>
          </cell>
          <cell r="C514">
            <v>81181</v>
          </cell>
        </row>
        <row r="515">
          <cell r="A515">
            <v>509</v>
          </cell>
          <cell r="B515" t="str">
            <v>T4</v>
          </cell>
          <cell r="C515">
            <v>81302</v>
          </cell>
        </row>
        <row r="516">
          <cell r="A516">
            <v>510</v>
          </cell>
          <cell r="B516" t="str">
            <v>T4</v>
          </cell>
          <cell r="C516">
            <v>81302</v>
          </cell>
        </row>
        <row r="517">
          <cell r="A517">
            <v>511</v>
          </cell>
          <cell r="B517" t="str">
            <v>T4</v>
          </cell>
          <cell r="C517">
            <v>81667</v>
          </cell>
        </row>
        <row r="518">
          <cell r="A518">
            <v>512</v>
          </cell>
          <cell r="B518" t="str">
            <v>T4</v>
          </cell>
          <cell r="C518">
            <v>81667</v>
          </cell>
        </row>
        <row r="519">
          <cell r="A519">
            <v>513</v>
          </cell>
          <cell r="B519" t="str">
            <v>T4</v>
          </cell>
          <cell r="C519">
            <v>81678</v>
          </cell>
        </row>
        <row r="520">
          <cell r="A520">
            <v>514</v>
          </cell>
          <cell r="B520" t="str">
            <v>T4</v>
          </cell>
          <cell r="C520">
            <v>81761</v>
          </cell>
        </row>
        <row r="521">
          <cell r="A521">
            <v>515</v>
          </cell>
          <cell r="B521" t="str">
            <v>T4</v>
          </cell>
          <cell r="C521">
            <v>82053</v>
          </cell>
        </row>
        <row r="522">
          <cell r="A522">
            <v>516</v>
          </cell>
          <cell r="B522" t="str">
            <v>T4</v>
          </cell>
          <cell r="C522">
            <v>82273</v>
          </cell>
        </row>
        <row r="523">
          <cell r="A523">
            <v>517</v>
          </cell>
          <cell r="B523" t="str">
            <v>T4</v>
          </cell>
          <cell r="C523">
            <v>82474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ản gốc T03"/>
      <sheetName val="Sheet1"/>
      <sheetName val="VTB"/>
      <sheetName val="TM Tổng"/>
      <sheetName val="Sheet2"/>
    </sheetNames>
    <sheetDataSet>
      <sheetData sheetId="0">
        <row r="1">
          <cell r="C1" t="str">
            <v>MÃ SỐ</v>
          </cell>
          <cell r="D1" t="str">
            <v>BÙ LƯƠNG</v>
          </cell>
          <cell r="E1" t="str">
            <v>Trừ PLLĐ</v>
          </cell>
          <cell r="F1" t="str">
            <v>TỔNG LƯƠNG</v>
          </cell>
          <cell r="G1" t="str">
            <v>BHXH</v>
          </cell>
          <cell r="H1" t="str">
            <v>CĐ/Thuế TNCN</v>
          </cell>
          <cell r="I1" t="str">
            <v>THỰC LĨNH</v>
          </cell>
          <cell r="J1" t="str">
            <v>CÔNG</v>
          </cell>
        </row>
        <row r="2">
          <cell r="C2" t="str">
            <v>TVLA112</v>
          </cell>
          <cell r="E2">
            <v>0</v>
          </cell>
          <cell r="F2">
            <v>5091226.5758566577</v>
          </cell>
          <cell r="H2">
            <v>0</v>
          </cell>
          <cell r="I2">
            <v>5091200</v>
          </cell>
          <cell r="J2">
            <v>23</v>
          </cell>
        </row>
        <row r="3">
          <cell r="C3">
            <v>51730</v>
          </cell>
          <cell r="F3">
            <v>212630.12820512822</v>
          </cell>
          <cell r="G3">
            <v>0</v>
          </cell>
          <cell r="I3">
            <v>212600</v>
          </cell>
          <cell r="J3">
            <v>2</v>
          </cell>
        </row>
        <row r="4">
          <cell r="C4">
            <v>10374</v>
          </cell>
          <cell r="F4">
            <v>715089.97130769223</v>
          </cell>
          <cell r="H4">
            <v>0</v>
          </cell>
          <cell r="I4">
            <v>715100</v>
          </cell>
          <cell r="J4">
            <v>6</v>
          </cell>
        </row>
        <row r="5">
          <cell r="C5">
            <v>52262</v>
          </cell>
          <cell r="F5">
            <v>229224.27055702914</v>
          </cell>
          <cell r="H5">
            <v>0</v>
          </cell>
          <cell r="I5">
            <v>229200</v>
          </cell>
          <cell r="J5">
            <v>2</v>
          </cell>
        </row>
        <row r="6">
          <cell r="C6" t="str">
            <v>TVLA107</v>
          </cell>
          <cell r="F6">
            <v>983045.7658022691</v>
          </cell>
          <cell r="H6">
            <v>0</v>
          </cell>
          <cell r="I6">
            <v>983000</v>
          </cell>
          <cell r="J6">
            <v>6.5</v>
          </cell>
        </row>
        <row r="7">
          <cell r="C7">
            <v>10377</v>
          </cell>
          <cell r="F7">
            <v>741308.86023835314</v>
          </cell>
          <cell r="H7">
            <v>0</v>
          </cell>
          <cell r="I7">
            <v>741300</v>
          </cell>
          <cell r="J7">
            <v>6</v>
          </cell>
        </row>
        <row r="8">
          <cell r="C8" t="str">
            <v>TVLA115</v>
          </cell>
          <cell r="F8">
            <v>1045900.7570011945</v>
          </cell>
          <cell r="H8">
            <v>0</v>
          </cell>
          <cell r="I8">
            <v>1045900</v>
          </cell>
          <cell r="J8">
            <v>7</v>
          </cell>
        </row>
        <row r="9">
          <cell r="C9" t="str">
            <v>TVLA118</v>
          </cell>
          <cell r="F9">
            <v>454760.14967790828</v>
          </cell>
          <cell r="H9">
            <v>0</v>
          </cell>
          <cell r="I9">
            <v>454800</v>
          </cell>
          <cell r="J9">
            <v>3</v>
          </cell>
        </row>
        <row r="10">
          <cell r="C10" t="str">
            <v>TVLA114</v>
          </cell>
          <cell r="F10">
            <v>1760258.8620753179</v>
          </cell>
          <cell r="H10">
            <v>0</v>
          </cell>
          <cell r="I10">
            <v>1760300</v>
          </cell>
          <cell r="J10">
            <v>10</v>
          </cell>
        </row>
        <row r="11">
          <cell r="C11">
            <v>10376</v>
          </cell>
          <cell r="F11">
            <v>1541843.8460238355</v>
          </cell>
          <cell r="H11">
            <v>0</v>
          </cell>
          <cell r="I11">
            <v>1541800</v>
          </cell>
          <cell r="J11">
            <v>11</v>
          </cell>
        </row>
        <row r="12">
          <cell r="C12">
            <v>52264</v>
          </cell>
          <cell r="F12">
            <v>164792.66826923078</v>
          </cell>
          <cell r="H12">
            <v>0</v>
          </cell>
          <cell r="I12">
            <v>164800</v>
          </cell>
          <cell r="J12">
            <v>1.5625</v>
          </cell>
        </row>
        <row r="13">
          <cell r="C13" t="str">
            <v>TVLA117</v>
          </cell>
          <cell r="F13">
            <v>2364413.2531776698</v>
          </cell>
          <cell r="H13">
            <v>0</v>
          </cell>
          <cell r="I13">
            <v>2364400</v>
          </cell>
          <cell r="J13">
            <v>11</v>
          </cell>
        </row>
        <row r="14">
          <cell r="C14">
            <v>52252</v>
          </cell>
          <cell r="F14">
            <v>4931470.6379497023</v>
          </cell>
          <cell r="H14">
            <v>0</v>
          </cell>
          <cell r="I14">
            <v>4931500</v>
          </cell>
          <cell r="J14">
            <v>22.687000000000001</v>
          </cell>
        </row>
        <row r="15">
          <cell r="C15">
            <v>10383</v>
          </cell>
          <cell r="D15">
            <v>96616.521618999221</v>
          </cell>
          <cell r="E15">
            <v>0</v>
          </cell>
          <cell r="F15">
            <v>2681989.3774506948</v>
          </cell>
          <cell r="G15">
            <v>0</v>
          </cell>
          <cell r="H15">
            <v>0</v>
          </cell>
          <cell r="I15">
            <v>2682000</v>
          </cell>
          <cell r="J15">
            <v>10.84375</v>
          </cell>
        </row>
        <row r="16">
          <cell r="C16">
            <v>10385</v>
          </cell>
          <cell r="D16">
            <v>47300.626524071209</v>
          </cell>
          <cell r="E16">
            <v>0</v>
          </cell>
          <cell r="F16">
            <v>2138263.9858124019</v>
          </cell>
          <cell r="H16">
            <v>0</v>
          </cell>
          <cell r="I16">
            <v>2138300</v>
          </cell>
          <cell r="J16">
            <v>8</v>
          </cell>
        </row>
        <row r="17">
          <cell r="C17" t="str">
            <v>TVLA105</v>
          </cell>
          <cell r="E17">
            <v>0</v>
          </cell>
          <cell r="F17">
            <v>4852231.0211715633</v>
          </cell>
          <cell r="H17">
            <v>0</v>
          </cell>
          <cell r="I17">
            <v>4852200</v>
          </cell>
          <cell r="J17">
            <v>22.8125</v>
          </cell>
        </row>
        <row r="18">
          <cell r="C18" t="str">
            <v>Kế toán</v>
          </cell>
          <cell r="F18">
            <v>3000000</v>
          </cell>
          <cell r="I18">
            <v>3000000</v>
          </cell>
        </row>
        <row r="19">
          <cell r="C19" t="str">
            <v>Nhóm trưởng</v>
          </cell>
          <cell r="F19">
            <v>1000000</v>
          </cell>
          <cell r="I19">
            <v>1000000</v>
          </cell>
        </row>
        <row r="20">
          <cell r="C20" t="str">
            <v>IE</v>
          </cell>
          <cell r="F20">
            <v>1000000</v>
          </cell>
          <cell r="I20">
            <v>1000000</v>
          </cell>
        </row>
        <row r="21">
          <cell r="C21" t="str">
            <v>XNK1</v>
          </cell>
          <cell r="F21">
            <v>1000000</v>
          </cell>
          <cell r="I21">
            <v>1000000</v>
          </cell>
        </row>
        <row r="22">
          <cell r="C22" t="str">
            <v>TVLA116</v>
          </cell>
          <cell r="E22">
            <v>0</v>
          </cell>
          <cell r="F22">
            <v>3764948.3036223389</v>
          </cell>
          <cell r="H22">
            <v>0</v>
          </cell>
          <cell r="I22">
            <v>3764900</v>
          </cell>
          <cell r="J22">
            <v>17</v>
          </cell>
        </row>
        <row r="23">
          <cell r="C23">
            <v>52254</v>
          </cell>
          <cell r="D23"/>
          <cell r="E23"/>
          <cell r="F23">
            <v>15119682.69230769</v>
          </cell>
          <cell r="H23">
            <v>0</v>
          </cell>
          <cell r="I23">
            <v>15119700</v>
          </cell>
          <cell r="J23">
            <v>28</v>
          </cell>
        </row>
        <row r="24">
          <cell r="C24">
            <v>52272</v>
          </cell>
          <cell r="F24">
            <v>1633706.1542843371</v>
          </cell>
          <cell r="G24">
            <v>0</v>
          </cell>
          <cell r="H24">
            <v>0</v>
          </cell>
          <cell r="I24">
            <v>1633700</v>
          </cell>
          <cell r="J24">
            <v>6</v>
          </cell>
        </row>
        <row r="25">
          <cell r="C25">
            <v>52251</v>
          </cell>
          <cell r="F25">
            <v>7923399.28154351</v>
          </cell>
          <cell r="H25">
            <v>0</v>
          </cell>
          <cell r="I25">
            <v>7923400</v>
          </cell>
          <cell r="J25">
            <v>24</v>
          </cell>
        </row>
        <row r="26">
          <cell r="C26">
            <v>10144</v>
          </cell>
          <cell r="D26">
            <v>0</v>
          </cell>
          <cell r="E26">
            <v>0</v>
          </cell>
          <cell r="F26">
            <v>8259757.7059083339</v>
          </cell>
          <cell r="H26">
            <v>0</v>
          </cell>
          <cell r="I26">
            <v>8259800</v>
          </cell>
          <cell r="J26">
            <v>27</v>
          </cell>
        </row>
        <row r="27">
          <cell r="C27" t="str">
            <v>Q.trị 7</v>
          </cell>
          <cell r="F27">
            <v>16660000</v>
          </cell>
          <cell r="G27">
            <v>657510</v>
          </cell>
          <cell r="H27">
            <v>31300</v>
          </cell>
          <cell r="I27">
            <v>15971200</v>
          </cell>
          <cell r="J27">
            <v>26</v>
          </cell>
        </row>
        <row r="28">
          <cell r="C28">
            <v>52259</v>
          </cell>
          <cell r="D28">
            <v>0</v>
          </cell>
          <cell r="E28">
            <v>0</v>
          </cell>
          <cell r="F28">
            <v>5195174.0339290425</v>
          </cell>
          <cell r="H28">
            <v>0</v>
          </cell>
          <cell r="I28">
            <v>5195200</v>
          </cell>
          <cell r="J28">
            <v>20.5</v>
          </cell>
        </row>
        <row r="29">
          <cell r="C29">
            <v>52260</v>
          </cell>
          <cell r="D29">
            <v>462487.62900216272</v>
          </cell>
          <cell r="E29">
            <v>-183600</v>
          </cell>
          <cell r="F29">
            <v>2896409.4687627428</v>
          </cell>
          <cell r="H29">
            <v>0</v>
          </cell>
          <cell r="I29">
            <v>2896400</v>
          </cell>
          <cell r="J29">
            <v>18</v>
          </cell>
        </row>
        <row r="30">
          <cell r="C30">
            <v>52256</v>
          </cell>
          <cell r="F30">
            <v>4779253.605769231</v>
          </cell>
          <cell r="H30">
            <v>0</v>
          </cell>
          <cell r="I30">
            <v>4779300</v>
          </cell>
          <cell r="J30">
            <v>21.5</v>
          </cell>
        </row>
        <row r="31">
          <cell r="C31">
            <v>10381</v>
          </cell>
          <cell r="F31">
            <v>1337861.5695990953</v>
          </cell>
          <cell r="H31">
            <v>0</v>
          </cell>
          <cell r="I31">
            <v>1337900</v>
          </cell>
          <cell r="J31">
            <v>10.604166666666666</v>
          </cell>
        </row>
        <row r="32">
          <cell r="C32">
            <v>10384</v>
          </cell>
          <cell r="D32">
            <v>174940.04343931019</v>
          </cell>
          <cell r="E32">
            <v>0</v>
          </cell>
          <cell r="F32">
            <v>2481071.6966051464</v>
          </cell>
          <cell r="G32">
            <v>0</v>
          </cell>
          <cell r="H32">
            <v>0</v>
          </cell>
          <cell r="I32">
            <v>2481100</v>
          </cell>
          <cell r="J32">
            <v>11</v>
          </cell>
        </row>
        <row r="33">
          <cell r="C33" t="str">
            <v>TVLA89</v>
          </cell>
          <cell r="E33">
            <v>0</v>
          </cell>
          <cell r="F33">
            <v>7823772.0058553219</v>
          </cell>
          <cell r="H33">
            <v>0</v>
          </cell>
          <cell r="I33">
            <v>7823800</v>
          </cell>
          <cell r="J33">
            <v>27</v>
          </cell>
        </row>
        <row r="34">
          <cell r="C34">
            <v>52257</v>
          </cell>
          <cell r="D34">
            <v>426961.92772523791</v>
          </cell>
          <cell r="E34">
            <v>0</v>
          </cell>
          <cell r="F34">
            <v>4490126.2360550566</v>
          </cell>
          <cell r="H34">
            <v>0</v>
          </cell>
          <cell r="I34">
            <v>4490100</v>
          </cell>
          <cell r="J34">
            <v>21</v>
          </cell>
        </row>
        <row r="35">
          <cell r="C35">
            <v>52255</v>
          </cell>
          <cell r="F35">
            <v>2960358.1791802081</v>
          </cell>
          <cell r="H35">
            <v>0</v>
          </cell>
          <cell r="I35">
            <v>2960400</v>
          </cell>
          <cell r="J35">
            <v>10</v>
          </cell>
        </row>
        <row r="36">
          <cell r="C36">
            <v>52266</v>
          </cell>
          <cell r="D36">
            <v>58856.265835336497</v>
          </cell>
          <cell r="E36">
            <v>0</v>
          </cell>
          <cell r="F36">
            <v>3520518.9428786063</v>
          </cell>
          <cell r="H36">
            <v>0</v>
          </cell>
          <cell r="I36">
            <v>3520500</v>
          </cell>
          <cell r="J36">
            <v>13</v>
          </cell>
        </row>
        <row r="37">
          <cell r="C37">
            <v>52270</v>
          </cell>
          <cell r="D37">
            <v>143843.43182265694</v>
          </cell>
          <cell r="E37">
            <v>0</v>
          </cell>
          <cell r="F37">
            <v>1514049.0314551061</v>
          </cell>
          <cell r="H37">
            <v>0</v>
          </cell>
          <cell r="I37">
            <v>1514000</v>
          </cell>
          <cell r="J37">
            <v>7</v>
          </cell>
        </row>
        <row r="38">
          <cell r="C38">
            <v>52273</v>
          </cell>
          <cell r="D38">
            <v>4486.4978490118228</v>
          </cell>
          <cell r="E38">
            <v>0</v>
          </cell>
          <cell r="F38">
            <v>1309802.7660683494</v>
          </cell>
          <cell r="G38">
            <v>0</v>
          </cell>
          <cell r="H38">
            <v>0</v>
          </cell>
          <cell r="I38">
            <v>1309800</v>
          </cell>
          <cell r="J38">
            <v>5</v>
          </cell>
        </row>
        <row r="39">
          <cell r="C39">
            <v>84284</v>
          </cell>
          <cell r="F39">
            <v>22210000</v>
          </cell>
          <cell r="G39">
            <v>1013250</v>
          </cell>
          <cell r="H39">
            <v>1048300</v>
          </cell>
          <cell r="I39">
            <v>20148500</v>
          </cell>
          <cell r="J39">
            <v>27</v>
          </cell>
        </row>
        <row r="40">
          <cell r="C40">
            <v>10378</v>
          </cell>
          <cell r="D40">
            <v>312241.27050056256</v>
          </cell>
          <cell r="E40">
            <v>0</v>
          </cell>
          <cell r="F40">
            <v>5145289.4096521577</v>
          </cell>
          <cell r="H40">
            <v>0</v>
          </cell>
          <cell r="I40">
            <v>5145300</v>
          </cell>
          <cell r="J40">
            <v>22</v>
          </cell>
        </row>
        <row r="41">
          <cell r="C41">
            <v>52250</v>
          </cell>
          <cell r="F41">
            <v>8052104.8124809414</v>
          </cell>
          <cell r="H41">
            <v>0</v>
          </cell>
          <cell r="I41">
            <v>8052100</v>
          </cell>
          <cell r="J41">
            <v>24</v>
          </cell>
        </row>
        <row r="42">
          <cell r="C42">
            <v>52268</v>
          </cell>
          <cell r="D42">
            <v>0</v>
          </cell>
          <cell r="E42">
            <v>0</v>
          </cell>
          <cell r="F42">
            <v>4714540.5018974906</v>
          </cell>
          <cell r="H42">
            <v>0</v>
          </cell>
          <cell r="I42">
            <v>4714500</v>
          </cell>
          <cell r="J42">
            <v>16</v>
          </cell>
        </row>
        <row r="43">
          <cell r="C43">
            <v>81896</v>
          </cell>
          <cell r="F43">
            <v>15282923.076923076</v>
          </cell>
          <cell r="G43">
            <v>608580</v>
          </cell>
          <cell r="H43">
            <v>29000</v>
          </cell>
          <cell r="I43">
            <v>14645300</v>
          </cell>
          <cell r="J43">
            <v>26</v>
          </cell>
        </row>
        <row r="44">
          <cell r="C44">
            <v>80012</v>
          </cell>
          <cell r="F44">
            <v>38515384.615384623</v>
          </cell>
          <cell r="G44">
            <v>1304100</v>
          </cell>
          <cell r="H44">
            <v>62100</v>
          </cell>
          <cell r="I44">
            <v>37149200</v>
          </cell>
          <cell r="J44">
            <v>24</v>
          </cell>
        </row>
        <row r="45">
          <cell r="C45">
            <v>52102</v>
          </cell>
          <cell r="D45">
            <v>82879.526419830334</v>
          </cell>
          <cell r="E45">
            <v>0</v>
          </cell>
          <cell r="F45">
            <v>8415062.2524712794</v>
          </cell>
          <cell r="G45">
            <v>518595</v>
          </cell>
          <cell r="H45">
            <v>24700</v>
          </cell>
          <cell r="I45">
            <v>7871800</v>
          </cell>
          <cell r="J45">
            <v>26</v>
          </cell>
        </row>
        <row r="46">
          <cell r="C46">
            <v>84285</v>
          </cell>
          <cell r="F46">
            <v>16660000</v>
          </cell>
          <cell r="G46">
            <v>1086750</v>
          </cell>
          <cell r="H46">
            <v>51800</v>
          </cell>
          <cell r="I46">
            <v>15521500</v>
          </cell>
          <cell r="J46">
            <v>27</v>
          </cell>
        </row>
        <row r="47">
          <cell r="C47">
            <v>52267</v>
          </cell>
          <cell r="D47">
            <v>0</v>
          </cell>
          <cell r="E47">
            <v>0</v>
          </cell>
          <cell r="F47">
            <v>4068224.7406750442</v>
          </cell>
          <cell r="G47">
            <v>0</v>
          </cell>
          <cell r="H47">
            <v>0</v>
          </cell>
          <cell r="I47">
            <v>4068200</v>
          </cell>
          <cell r="J47">
            <v>14.5</v>
          </cell>
        </row>
        <row r="48">
          <cell r="C48">
            <v>52271</v>
          </cell>
          <cell r="D48">
            <v>0</v>
          </cell>
          <cell r="E48">
            <v>0</v>
          </cell>
          <cell r="F48">
            <v>2829244.822246809</v>
          </cell>
          <cell r="G48">
            <v>0</v>
          </cell>
          <cell r="H48">
            <v>0</v>
          </cell>
          <cell r="I48">
            <v>2829200</v>
          </cell>
          <cell r="J48">
            <v>6</v>
          </cell>
        </row>
        <row r="49">
          <cell r="C49">
            <v>10375</v>
          </cell>
          <cell r="D49">
            <v>200579.4477004935</v>
          </cell>
          <cell r="E49">
            <v>0</v>
          </cell>
          <cell r="F49">
            <v>5399953.9645908289</v>
          </cell>
          <cell r="H49">
            <v>0</v>
          </cell>
          <cell r="I49">
            <v>5400000</v>
          </cell>
          <cell r="J49">
            <v>24.5</v>
          </cell>
        </row>
        <row r="50">
          <cell r="C50" t="str">
            <v>TVLA106</v>
          </cell>
          <cell r="E50">
            <v>0</v>
          </cell>
          <cell r="F50">
            <v>5206958.2166629424</v>
          </cell>
          <cell r="H50">
            <v>0</v>
          </cell>
          <cell r="I50">
            <v>5207000</v>
          </cell>
          <cell r="J50">
            <v>23.5</v>
          </cell>
        </row>
        <row r="51">
          <cell r="C51" t="str">
            <v>TVLA108</v>
          </cell>
          <cell r="E51">
            <v>0</v>
          </cell>
          <cell r="F51">
            <v>5075963.0158765139</v>
          </cell>
          <cell r="H51">
            <v>0</v>
          </cell>
          <cell r="I51">
            <v>5076000</v>
          </cell>
          <cell r="J51">
            <v>23.5</v>
          </cell>
        </row>
        <row r="52">
          <cell r="C52" t="str">
            <v>TVLA109</v>
          </cell>
          <cell r="E52">
            <v>0</v>
          </cell>
          <cell r="F52">
            <v>5189042.5296382969</v>
          </cell>
          <cell r="H52">
            <v>0</v>
          </cell>
          <cell r="I52">
            <v>5189000</v>
          </cell>
          <cell r="J52">
            <v>24</v>
          </cell>
        </row>
        <row r="53">
          <cell r="C53" t="str">
            <v>TVLA110</v>
          </cell>
          <cell r="E53">
            <v>0</v>
          </cell>
          <cell r="F53">
            <v>5190178.5700397603</v>
          </cell>
          <cell r="H53">
            <v>0</v>
          </cell>
          <cell r="I53">
            <v>5190200</v>
          </cell>
          <cell r="J53">
            <v>24</v>
          </cell>
        </row>
        <row r="54">
          <cell r="C54" t="str">
            <v>TVLA113</v>
          </cell>
          <cell r="E54">
            <v>0</v>
          </cell>
          <cell r="F54">
            <v>4832883.3553228369</v>
          </cell>
          <cell r="H54">
            <v>0</v>
          </cell>
          <cell r="I54">
            <v>4832900</v>
          </cell>
          <cell r="J54">
            <v>22.5</v>
          </cell>
        </row>
        <row r="55">
          <cell r="C55">
            <v>10380</v>
          </cell>
          <cell r="D55">
            <v>320038.60938699392</v>
          </cell>
          <cell r="E55">
            <v>0</v>
          </cell>
          <cell r="F55">
            <v>4234344.5083774794</v>
          </cell>
          <cell r="H55">
            <v>0</v>
          </cell>
          <cell r="I55">
            <v>4234300</v>
          </cell>
          <cell r="J55">
            <v>20</v>
          </cell>
        </row>
        <row r="56">
          <cell r="C56">
            <v>52048</v>
          </cell>
          <cell r="F56">
            <v>6111480.168269231</v>
          </cell>
          <cell r="G56">
            <v>0</v>
          </cell>
          <cell r="H56">
            <v>24700</v>
          </cell>
          <cell r="I56">
            <v>6086800</v>
          </cell>
          <cell r="J56">
            <v>13</v>
          </cell>
        </row>
        <row r="57">
          <cell r="C57">
            <v>10382</v>
          </cell>
          <cell r="D57">
            <v>251264.13634479494</v>
          </cell>
          <cell r="E57">
            <v>0</v>
          </cell>
          <cell r="F57">
            <v>3829630.6678886926</v>
          </cell>
          <cell r="H57">
            <v>0</v>
          </cell>
          <cell r="I57">
            <v>3829600</v>
          </cell>
          <cell r="J57">
            <v>17</v>
          </cell>
        </row>
        <row r="58">
          <cell r="C58">
            <v>52253</v>
          </cell>
          <cell r="D58">
            <v>237603.97678256029</v>
          </cell>
          <cell r="E58">
            <v>-224400</v>
          </cell>
          <cell r="F58">
            <v>5264386.3869600119</v>
          </cell>
          <cell r="H58">
            <v>0</v>
          </cell>
          <cell r="I58">
            <v>5264400</v>
          </cell>
          <cell r="J58">
            <v>22</v>
          </cell>
        </row>
        <row r="59">
          <cell r="C59">
            <v>52265</v>
          </cell>
          <cell r="D59">
            <v>126709.03525612969</v>
          </cell>
          <cell r="E59">
            <v>0</v>
          </cell>
          <cell r="F59">
            <v>3673732.2692316109</v>
          </cell>
          <cell r="H59">
            <v>0</v>
          </cell>
          <cell r="I59">
            <v>3673700</v>
          </cell>
          <cell r="J59">
            <v>13.875</v>
          </cell>
        </row>
        <row r="60">
          <cell r="C60">
            <v>52261</v>
          </cell>
          <cell r="D60">
            <v>31379.188495279057</v>
          </cell>
          <cell r="E60">
            <v>0</v>
          </cell>
          <cell r="F60">
            <v>4787670.6075910861</v>
          </cell>
          <cell r="H60">
            <v>0</v>
          </cell>
          <cell r="I60">
            <v>4787700</v>
          </cell>
          <cell r="J60">
            <v>19</v>
          </cell>
        </row>
        <row r="61">
          <cell r="C61">
            <v>52274</v>
          </cell>
          <cell r="D61">
            <v>0</v>
          </cell>
          <cell r="E61">
            <v>0</v>
          </cell>
          <cell r="F61">
            <v>583616.89458689454</v>
          </cell>
          <cell r="G61">
            <v>0</v>
          </cell>
          <cell r="H61">
            <v>0</v>
          </cell>
          <cell r="I61">
            <v>583600</v>
          </cell>
          <cell r="J61">
            <v>2</v>
          </cell>
        </row>
        <row r="62">
          <cell r="C62">
            <v>52263</v>
          </cell>
          <cell r="D62">
            <v>267754.584662479</v>
          </cell>
          <cell r="E62">
            <v>0</v>
          </cell>
          <cell r="F62">
            <v>7770523.5056279479</v>
          </cell>
          <cell r="G62">
            <v>518595</v>
          </cell>
          <cell r="H62">
            <v>24700</v>
          </cell>
          <cell r="I62">
            <v>7227200</v>
          </cell>
          <cell r="J62">
            <v>27</v>
          </cell>
        </row>
        <row r="63">
          <cell r="C63">
            <v>10379</v>
          </cell>
          <cell r="D63">
            <v>135920.08661324793</v>
          </cell>
          <cell r="E63">
            <v>0</v>
          </cell>
          <cell r="F63">
            <v>4343749.3555448717</v>
          </cell>
          <cell r="H63">
            <v>0</v>
          </cell>
          <cell r="I63">
            <v>4343700</v>
          </cell>
          <cell r="J63">
            <v>19</v>
          </cell>
        </row>
        <row r="64">
          <cell r="C64">
            <v>52269</v>
          </cell>
          <cell r="D64">
            <v>112870.88985930415</v>
          </cell>
          <cell r="E64">
            <v>0</v>
          </cell>
          <cell r="F64">
            <v>1522398.6284990108</v>
          </cell>
          <cell r="H64">
            <v>0</v>
          </cell>
          <cell r="I64">
            <v>1522400</v>
          </cell>
          <cell r="J64">
            <v>6.5</v>
          </cell>
        </row>
        <row r="65">
          <cell r="C65" t="str">
            <v>TVLA111</v>
          </cell>
          <cell r="E65">
            <v>0</v>
          </cell>
          <cell r="F65">
            <v>7736075.5815789904</v>
          </cell>
          <cell r="H65">
            <v>0</v>
          </cell>
          <cell r="I65">
            <v>7736100</v>
          </cell>
          <cell r="J65">
            <v>22.8125</v>
          </cell>
        </row>
        <row r="66">
          <cell r="C66">
            <v>51820</v>
          </cell>
          <cell r="F66">
            <v>10682475.078884669</v>
          </cell>
          <cell r="G66">
            <v>518595</v>
          </cell>
          <cell r="H66">
            <v>24700</v>
          </cell>
          <cell r="I66">
            <v>10139200</v>
          </cell>
          <cell r="J66">
            <v>27</v>
          </cell>
        </row>
        <row r="67">
          <cell r="C67">
            <v>50203</v>
          </cell>
          <cell r="F67">
            <v>8392550</v>
          </cell>
          <cell r="H67">
            <v>24000</v>
          </cell>
          <cell r="I67">
            <v>8368600</v>
          </cell>
          <cell r="J67">
            <v>28</v>
          </cell>
        </row>
        <row r="68">
          <cell r="C68">
            <v>50205</v>
          </cell>
          <cell r="F68">
            <v>7616350</v>
          </cell>
          <cell r="H68">
            <v>24000</v>
          </cell>
          <cell r="I68">
            <v>7592400</v>
          </cell>
          <cell r="J68">
            <v>28</v>
          </cell>
        </row>
        <row r="69">
          <cell r="C69">
            <v>50309</v>
          </cell>
          <cell r="D69"/>
          <cell r="E69"/>
          <cell r="F69">
            <v>7450562.5</v>
          </cell>
          <cell r="G69">
            <v>495495</v>
          </cell>
          <cell r="H69">
            <v>24000</v>
          </cell>
          <cell r="I69">
            <v>6931100</v>
          </cell>
          <cell r="J69">
            <v>28</v>
          </cell>
        </row>
        <row r="70">
          <cell r="C70">
            <v>50375</v>
          </cell>
          <cell r="D70"/>
          <cell r="E70"/>
          <cell r="F70">
            <v>7586350</v>
          </cell>
          <cell r="G70">
            <v>495495</v>
          </cell>
          <cell r="H70">
            <v>24000</v>
          </cell>
          <cell r="I70">
            <v>7066900</v>
          </cell>
          <cell r="J70">
            <v>28</v>
          </cell>
        </row>
        <row r="71">
          <cell r="C71">
            <v>50468</v>
          </cell>
          <cell r="D71"/>
          <cell r="E71"/>
          <cell r="F71">
            <v>7616350</v>
          </cell>
          <cell r="G71">
            <v>495495</v>
          </cell>
          <cell r="H71">
            <v>24000</v>
          </cell>
          <cell r="I71">
            <v>7096900</v>
          </cell>
          <cell r="J71">
            <v>28</v>
          </cell>
        </row>
        <row r="72">
          <cell r="C72">
            <v>50736</v>
          </cell>
          <cell r="D72"/>
          <cell r="E72"/>
          <cell r="F72">
            <v>7917750</v>
          </cell>
          <cell r="G72">
            <v>495495</v>
          </cell>
          <cell r="H72">
            <v>24000</v>
          </cell>
          <cell r="I72">
            <v>7398300</v>
          </cell>
          <cell r="J72">
            <v>29</v>
          </cell>
        </row>
        <row r="73">
          <cell r="C73">
            <v>51641</v>
          </cell>
          <cell r="D73"/>
          <cell r="E73"/>
          <cell r="F73">
            <v>6881250</v>
          </cell>
          <cell r="G73">
            <v>495495</v>
          </cell>
          <cell r="H73">
            <v>24000</v>
          </cell>
          <cell r="I73">
            <v>6361800</v>
          </cell>
          <cell r="J73">
            <v>26</v>
          </cell>
        </row>
        <row r="74">
          <cell r="C74">
            <v>50417</v>
          </cell>
          <cell r="F74">
            <v>8245562.5</v>
          </cell>
          <cell r="G74">
            <v>495495</v>
          </cell>
          <cell r="H74">
            <v>24000</v>
          </cell>
          <cell r="I74">
            <v>7726100</v>
          </cell>
          <cell r="J74">
            <v>27</v>
          </cell>
        </row>
        <row r="75">
          <cell r="C75">
            <v>50659</v>
          </cell>
          <cell r="F75">
            <v>6539270.833333334</v>
          </cell>
          <cell r="G75">
            <v>495495</v>
          </cell>
          <cell r="H75">
            <v>24000</v>
          </cell>
          <cell r="I75">
            <v>6019800</v>
          </cell>
          <cell r="J75">
            <v>22</v>
          </cell>
        </row>
        <row r="76">
          <cell r="C76">
            <v>50902</v>
          </cell>
          <cell r="F76">
            <v>6928395.833333334</v>
          </cell>
          <cell r="G76">
            <v>495495</v>
          </cell>
          <cell r="H76">
            <v>24000</v>
          </cell>
          <cell r="I76">
            <v>6408900</v>
          </cell>
          <cell r="J76">
            <v>26</v>
          </cell>
        </row>
        <row r="77">
          <cell r="C77">
            <v>50903</v>
          </cell>
          <cell r="F77">
            <v>6928218.75</v>
          </cell>
          <cell r="G77">
            <v>495495</v>
          </cell>
          <cell r="H77">
            <v>24000</v>
          </cell>
          <cell r="I77">
            <v>6408700</v>
          </cell>
          <cell r="J77">
            <v>27</v>
          </cell>
        </row>
        <row r="78">
          <cell r="C78">
            <v>51896</v>
          </cell>
          <cell r="F78">
            <v>6692528.645833333</v>
          </cell>
          <cell r="G78">
            <v>495495</v>
          </cell>
          <cell r="H78">
            <v>24000</v>
          </cell>
          <cell r="I78">
            <v>6173000</v>
          </cell>
          <cell r="J78">
            <v>27</v>
          </cell>
        </row>
        <row r="79">
          <cell r="C79">
            <v>51644</v>
          </cell>
          <cell r="D79"/>
          <cell r="E79"/>
          <cell r="F79">
            <v>8601582.932692308</v>
          </cell>
          <cell r="G79">
            <v>518595</v>
          </cell>
          <cell r="H79">
            <v>24700</v>
          </cell>
          <cell r="I79">
            <v>8058300</v>
          </cell>
          <cell r="J79">
            <v>26.125</v>
          </cell>
        </row>
        <row r="80">
          <cell r="C80">
            <v>51702</v>
          </cell>
          <cell r="D80"/>
          <cell r="E80"/>
          <cell r="F80">
            <v>8238123.7980769239</v>
          </cell>
          <cell r="G80">
            <v>518595</v>
          </cell>
          <cell r="H80">
            <v>24700</v>
          </cell>
          <cell r="I80">
            <v>7694800</v>
          </cell>
          <cell r="J80">
            <v>27</v>
          </cell>
        </row>
        <row r="81">
          <cell r="C81">
            <v>52104</v>
          </cell>
          <cell r="F81">
            <v>8324692.307692307</v>
          </cell>
          <cell r="G81">
            <v>518595</v>
          </cell>
          <cell r="H81">
            <v>24700</v>
          </cell>
          <cell r="I81">
            <v>7781400</v>
          </cell>
          <cell r="J81">
            <v>27</v>
          </cell>
        </row>
        <row r="82">
          <cell r="C82">
            <v>52240</v>
          </cell>
          <cell r="D82"/>
          <cell r="E82"/>
          <cell r="F82">
            <v>7932600.961538461</v>
          </cell>
          <cell r="G82">
            <v>518595</v>
          </cell>
          <cell r="H82">
            <v>24700</v>
          </cell>
          <cell r="I82">
            <v>7389300</v>
          </cell>
          <cell r="J82">
            <v>27</v>
          </cell>
        </row>
        <row r="83">
          <cell r="C83">
            <v>50033</v>
          </cell>
          <cell r="D83">
            <v>0</v>
          </cell>
          <cell r="E83">
            <v>0</v>
          </cell>
          <cell r="F83">
            <v>9863280.2724336442</v>
          </cell>
          <cell r="G83">
            <v>518595</v>
          </cell>
          <cell r="H83">
            <v>24700</v>
          </cell>
          <cell r="I83">
            <v>9320000</v>
          </cell>
          <cell r="J83">
            <v>26.875</v>
          </cell>
        </row>
        <row r="84">
          <cell r="C84">
            <v>50039</v>
          </cell>
          <cell r="D84">
            <v>0</v>
          </cell>
          <cell r="E84">
            <v>0</v>
          </cell>
          <cell r="F84">
            <v>8504116.740412984</v>
          </cell>
          <cell r="G84">
            <v>518595</v>
          </cell>
          <cell r="H84">
            <v>24700</v>
          </cell>
          <cell r="I84">
            <v>7960800</v>
          </cell>
          <cell r="J84">
            <v>26.1979166666667</v>
          </cell>
        </row>
        <row r="85">
          <cell r="C85">
            <v>50130</v>
          </cell>
          <cell r="D85">
            <v>0</v>
          </cell>
          <cell r="E85">
            <v>0</v>
          </cell>
          <cell r="F85">
            <v>10004485.066731345</v>
          </cell>
          <cell r="G85">
            <v>518595</v>
          </cell>
          <cell r="H85">
            <v>24700</v>
          </cell>
          <cell r="I85">
            <v>9461200</v>
          </cell>
          <cell r="J85">
            <v>25.927</v>
          </cell>
        </row>
        <row r="86">
          <cell r="C86">
            <v>50185</v>
          </cell>
          <cell r="D86">
            <v>0</v>
          </cell>
          <cell r="E86">
            <v>0</v>
          </cell>
          <cell r="F86">
            <v>8558775.1015155707</v>
          </cell>
          <cell r="G86">
            <v>518595</v>
          </cell>
          <cell r="H86">
            <v>24700</v>
          </cell>
          <cell r="I86">
            <v>8015500</v>
          </cell>
          <cell r="J86">
            <v>27</v>
          </cell>
        </row>
        <row r="87">
          <cell r="C87">
            <v>50191</v>
          </cell>
          <cell r="D87">
            <v>0</v>
          </cell>
          <cell r="E87">
            <v>0</v>
          </cell>
          <cell r="F87">
            <v>5293392.0909235338</v>
          </cell>
          <cell r="G87">
            <v>518595</v>
          </cell>
          <cell r="H87">
            <v>24700</v>
          </cell>
          <cell r="I87">
            <v>4750100</v>
          </cell>
          <cell r="J87">
            <v>14</v>
          </cell>
        </row>
        <row r="88">
          <cell r="C88">
            <v>50319</v>
          </cell>
          <cell r="D88">
            <v>0</v>
          </cell>
          <cell r="E88">
            <v>0</v>
          </cell>
          <cell r="F88">
            <v>8633049.15662935</v>
          </cell>
          <cell r="G88">
            <v>518595</v>
          </cell>
          <cell r="H88">
            <v>24700</v>
          </cell>
          <cell r="I88">
            <v>8089800</v>
          </cell>
          <cell r="J88">
            <v>25.5</v>
          </cell>
        </row>
        <row r="89">
          <cell r="C89">
            <v>50338</v>
          </cell>
          <cell r="D89">
            <v>0</v>
          </cell>
          <cell r="E89">
            <v>0</v>
          </cell>
          <cell r="F89">
            <v>9033975.7111144662</v>
          </cell>
          <cell r="G89">
            <v>518595</v>
          </cell>
          <cell r="H89">
            <v>24700</v>
          </cell>
          <cell r="I89">
            <v>8490700</v>
          </cell>
          <cell r="J89">
            <v>27</v>
          </cell>
        </row>
        <row r="90">
          <cell r="C90">
            <v>50389</v>
          </cell>
          <cell r="D90">
            <v>0</v>
          </cell>
          <cell r="E90">
            <v>0</v>
          </cell>
          <cell r="F90">
            <v>10415547.949734457</v>
          </cell>
          <cell r="G90">
            <v>518595</v>
          </cell>
          <cell r="H90">
            <v>24700</v>
          </cell>
          <cell r="I90">
            <v>9872300</v>
          </cell>
          <cell r="J90">
            <v>25.4166666666667</v>
          </cell>
        </row>
        <row r="91">
          <cell r="C91">
            <v>50423</v>
          </cell>
          <cell r="D91">
            <v>0</v>
          </cell>
          <cell r="E91">
            <v>0</v>
          </cell>
          <cell r="F91">
            <v>7655621.9731305428</v>
          </cell>
          <cell r="G91">
            <v>518595</v>
          </cell>
          <cell r="H91">
            <v>24700</v>
          </cell>
          <cell r="I91">
            <v>7112300</v>
          </cell>
          <cell r="J91">
            <v>18</v>
          </cell>
        </row>
        <row r="92">
          <cell r="C92">
            <v>50793</v>
          </cell>
          <cell r="D92">
            <v>0</v>
          </cell>
          <cell r="E92">
            <v>0</v>
          </cell>
          <cell r="F92">
            <v>9970259.27797224</v>
          </cell>
          <cell r="G92">
            <v>518595</v>
          </cell>
          <cell r="H92">
            <v>24700</v>
          </cell>
          <cell r="I92">
            <v>9427000</v>
          </cell>
          <cell r="J92">
            <v>26</v>
          </cell>
        </row>
        <row r="93">
          <cell r="C93">
            <v>50840</v>
          </cell>
          <cell r="D93">
            <v>0</v>
          </cell>
          <cell r="E93">
            <v>0</v>
          </cell>
          <cell r="F93">
            <v>9695443.3790021092</v>
          </cell>
          <cell r="G93">
            <v>518595</v>
          </cell>
          <cell r="H93">
            <v>24700</v>
          </cell>
          <cell r="I93">
            <v>9152100</v>
          </cell>
          <cell r="J93">
            <v>27</v>
          </cell>
        </row>
        <row r="94">
          <cell r="C94">
            <v>50884</v>
          </cell>
          <cell r="D94">
            <v>0</v>
          </cell>
          <cell r="E94">
            <v>0</v>
          </cell>
          <cell r="F94">
            <v>6565421.573868026</v>
          </cell>
          <cell r="G94">
            <v>518595</v>
          </cell>
          <cell r="H94">
            <v>24700</v>
          </cell>
          <cell r="I94">
            <v>6022100</v>
          </cell>
          <cell r="J94">
            <v>22</v>
          </cell>
        </row>
        <row r="95">
          <cell r="C95">
            <v>51771</v>
          </cell>
          <cell r="D95">
            <v>0</v>
          </cell>
          <cell r="E95">
            <v>0</v>
          </cell>
          <cell r="F95">
            <v>11125655.872342851</v>
          </cell>
          <cell r="G95">
            <v>518595</v>
          </cell>
          <cell r="H95">
            <v>24700</v>
          </cell>
          <cell r="I95">
            <v>10582400</v>
          </cell>
          <cell r="J95">
            <v>26.7708333333333</v>
          </cell>
        </row>
        <row r="96">
          <cell r="C96">
            <v>51795</v>
          </cell>
          <cell r="D96">
            <v>0</v>
          </cell>
          <cell r="E96">
            <v>0</v>
          </cell>
          <cell r="F96">
            <v>7905066.2034902731</v>
          </cell>
          <cell r="G96">
            <v>518595</v>
          </cell>
          <cell r="H96">
            <v>24700</v>
          </cell>
          <cell r="I96">
            <v>7361800</v>
          </cell>
          <cell r="J96">
            <v>25</v>
          </cell>
        </row>
        <row r="97">
          <cell r="C97">
            <v>51847</v>
          </cell>
          <cell r="D97">
            <v>0</v>
          </cell>
          <cell r="E97">
            <v>0</v>
          </cell>
          <cell r="F97">
            <v>9321295.5200520419</v>
          </cell>
          <cell r="G97">
            <v>518595</v>
          </cell>
          <cell r="H97">
            <v>24700</v>
          </cell>
          <cell r="I97">
            <v>8778000</v>
          </cell>
          <cell r="J97">
            <v>26.4375</v>
          </cell>
        </row>
        <row r="98">
          <cell r="C98">
            <v>51995</v>
          </cell>
          <cell r="D98">
            <v>0</v>
          </cell>
          <cell r="E98">
            <v>0</v>
          </cell>
          <cell r="F98">
            <v>8121639.3986497549</v>
          </cell>
          <cell r="G98">
            <v>518595</v>
          </cell>
          <cell r="H98">
            <v>24700</v>
          </cell>
          <cell r="I98">
            <v>7578300</v>
          </cell>
          <cell r="J98">
            <v>22.75</v>
          </cell>
        </row>
        <row r="99">
          <cell r="C99">
            <v>52060</v>
          </cell>
          <cell r="D99">
            <v>127643.7668679487</v>
          </cell>
          <cell r="E99">
            <v>0</v>
          </cell>
          <cell r="F99">
            <v>1759030.2378576924</v>
          </cell>
          <cell r="G99">
            <v>0</v>
          </cell>
          <cell r="H99">
            <v>24700</v>
          </cell>
          <cell r="I99">
            <v>1734300</v>
          </cell>
          <cell r="J99">
            <v>8</v>
          </cell>
        </row>
        <row r="100">
          <cell r="C100">
            <v>52126</v>
          </cell>
          <cell r="D100">
            <v>0</v>
          </cell>
          <cell r="E100">
            <v>0</v>
          </cell>
          <cell r="F100">
            <v>10487860.360026626</v>
          </cell>
          <cell r="G100">
            <v>518595</v>
          </cell>
          <cell r="H100">
            <v>24700</v>
          </cell>
          <cell r="I100">
            <v>9944600</v>
          </cell>
          <cell r="J100">
            <v>20.25</v>
          </cell>
        </row>
        <row r="101">
          <cell r="C101">
            <v>52226</v>
          </cell>
          <cell r="D101">
            <v>0</v>
          </cell>
          <cell r="E101">
            <v>0</v>
          </cell>
          <cell r="F101">
            <v>8227028.0055945432</v>
          </cell>
          <cell r="H101">
            <v>0</v>
          </cell>
          <cell r="I101">
            <v>8227000</v>
          </cell>
          <cell r="J101">
            <v>26.5</v>
          </cell>
        </row>
        <row r="102">
          <cell r="C102">
            <v>52227</v>
          </cell>
          <cell r="D102">
            <v>0</v>
          </cell>
          <cell r="E102">
            <v>0</v>
          </cell>
          <cell r="F102">
            <v>8221962.8469656026</v>
          </cell>
          <cell r="G102">
            <v>518595</v>
          </cell>
          <cell r="H102">
            <v>24700</v>
          </cell>
          <cell r="I102">
            <v>7678700</v>
          </cell>
          <cell r="J102">
            <v>23.045833333333299</v>
          </cell>
        </row>
        <row r="103">
          <cell r="C103">
            <v>81120</v>
          </cell>
          <cell r="F103">
            <v>21858076.923076924</v>
          </cell>
          <cell r="G103">
            <v>1086750</v>
          </cell>
          <cell r="H103">
            <v>52000</v>
          </cell>
          <cell r="I103">
            <v>20719300</v>
          </cell>
          <cell r="J103">
            <v>25</v>
          </cell>
        </row>
        <row r="104">
          <cell r="C104">
            <v>50888</v>
          </cell>
          <cell r="F104">
            <v>18880000</v>
          </cell>
          <cell r="G104">
            <v>564900</v>
          </cell>
          <cell r="H104">
            <v>27000</v>
          </cell>
          <cell r="I104">
            <v>18288100</v>
          </cell>
          <cell r="J104">
            <v>27</v>
          </cell>
        </row>
        <row r="105">
          <cell r="C105">
            <v>50001</v>
          </cell>
          <cell r="F105">
            <v>15980846.153846154</v>
          </cell>
          <cell r="G105">
            <v>657510</v>
          </cell>
          <cell r="H105">
            <v>31000</v>
          </cell>
          <cell r="I105">
            <v>15292300</v>
          </cell>
          <cell r="J105">
            <v>26</v>
          </cell>
        </row>
        <row r="106">
          <cell r="C106">
            <v>80137</v>
          </cell>
          <cell r="D106"/>
          <cell r="E106"/>
          <cell r="F106">
            <v>15860000</v>
          </cell>
          <cell r="G106">
            <v>588105</v>
          </cell>
          <cell r="H106">
            <v>28000</v>
          </cell>
          <cell r="I106">
            <v>15243900</v>
          </cell>
          <cell r="J106">
            <v>27</v>
          </cell>
        </row>
        <row r="107">
          <cell r="C107">
            <v>50254</v>
          </cell>
          <cell r="D107"/>
          <cell r="E107"/>
          <cell r="F107">
            <v>14910000</v>
          </cell>
          <cell r="G107">
            <v>541800</v>
          </cell>
          <cell r="H107">
            <v>26000</v>
          </cell>
          <cell r="I107">
            <v>14342200</v>
          </cell>
          <cell r="J107">
            <v>26</v>
          </cell>
        </row>
        <row r="108">
          <cell r="C108">
            <v>50587</v>
          </cell>
          <cell r="F108">
            <v>14110000</v>
          </cell>
          <cell r="G108">
            <v>541800</v>
          </cell>
          <cell r="H108">
            <v>26000</v>
          </cell>
          <cell r="I108">
            <v>13542200</v>
          </cell>
          <cell r="J108">
            <v>27</v>
          </cell>
        </row>
        <row r="109">
          <cell r="C109">
            <v>82238</v>
          </cell>
          <cell r="D109"/>
          <cell r="E109"/>
          <cell r="F109">
            <v>15930000</v>
          </cell>
          <cell r="G109">
            <v>564900</v>
          </cell>
          <cell r="H109">
            <v>27000</v>
          </cell>
          <cell r="I109">
            <v>15338100</v>
          </cell>
          <cell r="J109">
            <v>28</v>
          </cell>
        </row>
        <row r="110">
          <cell r="C110">
            <v>80665</v>
          </cell>
          <cell r="D110"/>
          <cell r="E110"/>
          <cell r="F110">
            <v>14458461.538461538</v>
          </cell>
          <cell r="G110">
            <v>541800</v>
          </cell>
          <cell r="H110">
            <v>26000</v>
          </cell>
          <cell r="I110">
            <v>13890700</v>
          </cell>
          <cell r="J110">
            <v>26</v>
          </cell>
        </row>
        <row r="111">
          <cell r="C111">
            <v>82450</v>
          </cell>
          <cell r="F111">
            <v>13598461.538461538</v>
          </cell>
          <cell r="G111">
            <v>541800</v>
          </cell>
          <cell r="H111">
            <v>26000</v>
          </cell>
          <cell r="I111">
            <v>13030700</v>
          </cell>
          <cell r="J111">
            <v>26</v>
          </cell>
        </row>
        <row r="112">
          <cell r="C112">
            <v>80089</v>
          </cell>
          <cell r="F112">
            <v>14458461.538461538</v>
          </cell>
          <cell r="G112">
            <v>541800</v>
          </cell>
          <cell r="H112">
            <v>2856278</v>
          </cell>
          <cell r="I112">
            <v>11060400</v>
          </cell>
          <cell r="J112">
            <v>26</v>
          </cell>
        </row>
        <row r="113">
          <cell r="C113">
            <v>51868</v>
          </cell>
          <cell r="F113">
            <v>13600000</v>
          </cell>
          <cell r="G113">
            <v>541800</v>
          </cell>
          <cell r="H113">
            <v>26000</v>
          </cell>
          <cell r="I113">
            <v>13032200</v>
          </cell>
          <cell r="J113">
            <v>27</v>
          </cell>
        </row>
        <row r="114">
          <cell r="C114">
            <v>50524</v>
          </cell>
          <cell r="F114">
            <v>7503493.229166666</v>
          </cell>
          <cell r="G114">
            <v>495495</v>
          </cell>
          <cell r="H114">
            <v>24000</v>
          </cell>
          <cell r="I114">
            <v>6984000</v>
          </cell>
          <cell r="J114">
            <v>27</v>
          </cell>
        </row>
        <row r="115">
          <cell r="C115">
            <v>51479</v>
          </cell>
          <cell r="F115">
            <v>7028291.145833333</v>
          </cell>
          <cell r="G115">
            <v>495495</v>
          </cell>
          <cell r="H115">
            <v>24000</v>
          </cell>
          <cell r="I115">
            <v>6508800</v>
          </cell>
          <cell r="J115">
            <v>26</v>
          </cell>
        </row>
        <row r="116">
          <cell r="C116">
            <v>51495</v>
          </cell>
          <cell r="F116">
            <v>7121605.2083333321</v>
          </cell>
          <cell r="G116">
            <v>495495</v>
          </cell>
          <cell r="H116">
            <v>24000</v>
          </cell>
          <cell r="I116">
            <v>6602100</v>
          </cell>
          <cell r="J116">
            <v>27</v>
          </cell>
        </row>
        <row r="117">
          <cell r="C117">
            <v>50038</v>
          </cell>
          <cell r="F117">
            <v>10022411.974413395</v>
          </cell>
          <cell r="G117">
            <v>518595</v>
          </cell>
          <cell r="H117">
            <v>24700</v>
          </cell>
          <cell r="I117">
            <v>9479100</v>
          </cell>
          <cell r="J117">
            <v>25.5</v>
          </cell>
        </row>
        <row r="118">
          <cell r="C118">
            <v>50041</v>
          </cell>
          <cell r="F118">
            <v>7763932.0667294273</v>
          </cell>
          <cell r="G118">
            <v>518595</v>
          </cell>
          <cell r="H118">
            <v>24700</v>
          </cell>
          <cell r="I118">
            <v>7220600</v>
          </cell>
          <cell r="J118">
            <v>20.791666666666668</v>
          </cell>
        </row>
        <row r="119">
          <cell r="C119">
            <v>50842</v>
          </cell>
          <cell r="F119">
            <v>9239382.1718801875</v>
          </cell>
          <cell r="G119">
            <v>518595</v>
          </cell>
          <cell r="H119">
            <v>24700</v>
          </cell>
          <cell r="I119">
            <v>8696100</v>
          </cell>
          <cell r="J119">
            <v>23.979166666666668</v>
          </cell>
        </row>
        <row r="120">
          <cell r="C120">
            <v>50868</v>
          </cell>
          <cell r="F120">
            <v>9332865.9397163112</v>
          </cell>
          <cell r="G120">
            <v>518595</v>
          </cell>
          <cell r="H120">
            <v>24700</v>
          </cell>
          <cell r="I120">
            <v>8789600</v>
          </cell>
          <cell r="J120">
            <v>22.75</v>
          </cell>
        </row>
        <row r="121">
          <cell r="C121">
            <v>51274</v>
          </cell>
          <cell r="F121">
            <v>9838093.8997125532</v>
          </cell>
          <cell r="G121">
            <v>518595</v>
          </cell>
          <cell r="H121">
            <v>24700</v>
          </cell>
          <cell r="I121">
            <v>9294800</v>
          </cell>
          <cell r="J121">
            <v>27</v>
          </cell>
        </row>
        <row r="122">
          <cell r="C122">
            <v>51491</v>
          </cell>
          <cell r="F122">
            <v>10003223.027685083</v>
          </cell>
          <cell r="G122">
            <v>518595</v>
          </cell>
          <cell r="H122">
            <v>24700</v>
          </cell>
          <cell r="I122">
            <v>9459900</v>
          </cell>
          <cell r="J122">
            <v>26.395833333333332</v>
          </cell>
        </row>
        <row r="123">
          <cell r="C123">
            <v>51759</v>
          </cell>
          <cell r="D123"/>
          <cell r="E123"/>
          <cell r="F123">
            <v>11089661.147551425</v>
          </cell>
          <cell r="G123">
            <v>518595</v>
          </cell>
          <cell r="H123">
            <v>24700</v>
          </cell>
          <cell r="I123">
            <v>10546400</v>
          </cell>
          <cell r="J123">
            <v>27</v>
          </cell>
        </row>
        <row r="124">
          <cell r="C124">
            <v>51760</v>
          </cell>
          <cell r="F124">
            <v>10183172.016437821</v>
          </cell>
          <cell r="G124">
            <v>518595</v>
          </cell>
          <cell r="H124">
            <v>24700</v>
          </cell>
          <cell r="I124">
            <v>9639900</v>
          </cell>
          <cell r="J124">
            <v>26.875</v>
          </cell>
        </row>
        <row r="125">
          <cell r="C125">
            <v>50813</v>
          </cell>
          <cell r="F125">
            <v>7702177.243589744</v>
          </cell>
          <cell r="G125">
            <v>495495</v>
          </cell>
          <cell r="H125">
            <v>24000</v>
          </cell>
          <cell r="I125">
            <v>7182700</v>
          </cell>
          <cell r="J125">
            <v>23.397916666666667</v>
          </cell>
        </row>
        <row r="126">
          <cell r="C126">
            <v>50023</v>
          </cell>
          <cell r="D126">
            <v>0</v>
          </cell>
          <cell r="E126">
            <v>0</v>
          </cell>
          <cell r="F126">
            <v>11144487.16380321</v>
          </cell>
          <cell r="G126">
            <v>518595</v>
          </cell>
          <cell r="H126">
            <v>24700</v>
          </cell>
          <cell r="I126">
            <v>10601200</v>
          </cell>
          <cell r="J126">
            <v>26.9375</v>
          </cell>
        </row>
        <row r="127">
          <cell r="C127">
            <v>50268</v>
          </cell>
          <cell r="D127">
            <v>0</v>
          </cell>
          <cell r="E127">
            <v>0</v>
          </cell>
          <cell r="F127">
            <v>9465037.3214730453</v>
          </cell>
          <cell r="G127">
            <v>518595</v>
          </cell>
          <cell r="H127">
            <v>24700</v>
          </cell>
          <cell r="I127">
            <v>8921700</v>
          </cell>
          <cell r="J127">
            <v>25</v>
          </cell>
        </row>
        <row r="128">
          <cell r="C128">
            <v>50741</v>
          </cell>
          <cell r="D128">
            <v>0</v>
          </cell>
          <cell r="E128">
            <v>-646000</v>
          </cell>
          <cell r="F128">
            <v>5681444.0233812714</v>
          </cell>
          <cell r="G128">
            <v>518595</v>
          </cell>
          <cell r="H128">
            <v>24700</v>
          </cell>
          <cell r="I128">
            <v>5138100</v>
          </cell>
          <cell r="J128">
            <v>19</v>
          </cell>
        </row>
        <row r="129">
          <cell r="C129">
            <v>50757</v>
          </cell>
          <cell r="D129">
            <v>0</v>
          </cell>
          <cell r="E129">
            <v>0</v>
          </cell>
          <cell r="F129">
            <v>8755992.375642037</v>
          </cell>
          <cell r="G129">
            <v>518595</v>
          </cell>
          <cell r="H129">
            <v>24700</v>
          </cell>
          <cell r="I129">
            <v>8212700</v>
          </cell>
          <cell r="J129">
            <v>26</v>
          </cell>
        </row>
        <row r="130">
          <cell r="C130">
            <v>50760</v>
          </cell>
          <cell r="D130">
            <v>0</v>
          </cell>
          <cell r="E130">
            <v>0</v>
          </cell>
          <cell r="F130">
            <v>10395457.905841757</v>
          </cell>
          <cell r="G130">
            <v>518595</v>
          </cell>
          <cell r="H130">
            <v>24700</v>
          </cell>
          <cell r="I130">
            <v>9852200</v>
          </cell>
          <cell r="J130">
            <v>27</v>
          </cell>
        </row>
        <row r="131">
          <cell r="C131">
            <v>50808</v>
          </cell>
          <cell r="D131">
            <v>0</v>
          </cell>
          <cell r="E131">
            <v>0</v>
          </cell>
          <cell r="F131">
            <v>12188947.411386125</v>
          </cell>
          <cell r="G131">
            <v>518595</v>
          </cell>
          <cell r="H131">
            <v>24700</v>
          </cell>
          <cell r="I131">
            <v>11645700</v>
          </cell>
          <cell r="J131">
            <v>27</v>
          </cell>
        </row>
        <row r="132">
          <cell r="C132">
            <v>50866</v>
          </cell>
          <cell r="D132">
            <v>0</v>
          </cell>
          <cell r="E132">
            <v>0</v>
          </cell>
          <cell r="F132">
            <v>11920117.488179201</v>
          </cell>
          <cell r="G132">
            <v>541800</v>
          </cell>
          <cell r="H132">
            <v>24700</v>
          </cell>
          <cell r="I132">
            <v>11353600</v>
          </cell>
          <cell r="J132">
            <v>26.125</v>
          </cell>
        </row>
        <row r="133">
          <cell r="C133">
            <v>50894</v>
          </cell>
          <cell r="D133">
            <v>0</v>
          </cell>
          <cell r="E133">
            <v>0</v>
          </cell>
          <cell r="F133">
            <v>11419741.461128263</v>
          </cell>
          <cell r="G133">
            <v>518595</v>
          </cell>
          <cell r="H133">
            <v>24700</v>
          </cell>
          <cell r="I133">
            <v>10876400</v>
          </cell>
          <cell r="J133">
            <v>26</v>
          </cell>
        </row>
        <row r="134">
          <cell r="C134">
            <v>50921</v>
          </cell>
          <cell r="D134">
            <v>0</v>
          </cell>
          <cell r="E134">
            <v>0</v>
          </cell>
          <cell r="F134">
            <v>9382704.5884547103</v>
          </cell>
          <cell r="G134">
            <v>518595</v>
          </cell>
          <cell r="H134">
            <v>24700</v>
          </cell>
          <cell r="I134">
            <v>8839400</v>
          </cell>
          <cell r="J134">
            <v>25.895833333333332</v>
          </cell>
        </row>
        <row r="135">
          <cell r="C135">
            <v>51580</v>
          </cell>
          <cell r="D135">
            <v>0</v>
          </cell>
          <cell r="E135">
            <v>0</v>
          </cell>
          <cell r="F135">
            <v>12592705.250583833</v>
          </cell>
          <cell r="G135">
            <v>518595</v>
          </cell>
          <cell r="H135">
            <v>24700</v>
          </cell>
          <cell r="I135">
            <v>12049400</v>
          </cell>
          <cell r="J135">
            <v>26.954166666666666</v>
          </cell>
        </row>
        <row r="136">
          <cell r="C136">
            <v>51636</v>
          </cell>
          <cell r="D136">
            <v>0</v>
          </cell>
          <cell r="E136">
            <v>0</v>
          </cell>
          <cell r="F136">
            <v>10172412.574220138</v>
          </cell>
          <cell r="G136">
            <v>518595</v>
          </cell>
          <cell r="H136">
            <v>24700</v>
          </cell>
          <cell r="I136">
            <v>9629100</v>
          </cell>
          <cell r="J136">
            <v>25.895833333333332</v>
          </cell>
        </row>
        <row r="137">
          <cell r="C137">
            <v>51972</v>
          </cell>
          <cell r="D137">
            <v>0</v>
          </cell>
          <cell r="E137">
            <v>0</v>
          </cell>
          <cell r="F137">
            <v>10587501.951071838</v>
          </cell>
          <cell r="G137">
            <v>518595</v>
          </cell>
          <cell r="H137">
            <v>24700</v>
          </cell>
          <cell r="I137">
            <v>10044200</v>
          </cell>
          <cell r="J137">
            <v>26.860416666666666</v>
          </cell>
        </row>
        <row r="138">
          <cell r="C138">
            <v>52027</v>
          </cell>
          <cell r="D138">
            <v>0</v>
          </cell>
          <cell r="E138">
            <v>0</v>
          </cell>
          <cell r="F138">
            <v>9224603.0339615569</v>
          </cell>
          <cell r="G138">
            <v>518595</v>
          </cell>
          <cell r="H138">
            <v>24700</v>
          </cell>
          <cell r="I138">
            <v>8681300</v>
          </cell>
          <cell r="J138">
            <v>26.875</v>
          </cell>
        </row>
        <row r="139">
          <cell r="C139">
            <v>52115</v>
          </cell>
          <cell r="D139">
            <v>0</v>
          </cell>
          <cell r="E139">
            <v>-269875</v>
          </cell>
          <cell r="F139">
            <v>2927039.2308678394</v>
          </cell>
          <cell r="G139">
            <v>0</v>
          </cell>
          <cell r="H139">
            <v>24700</v>
          </cell>
          <cell r="I139">
            <v>2902300</v>
          </cell>
          <cell r="J139">
            <v>7.9375</v>
          </cell>
        </row>
        <row r="140">
          <cell r="C140">
            <v>51049</v>
          </cell>
          <cell r="D140">
            <v>0</v>
          </cell>
          <cell r="E140">
            <v>0</v>
          </cell>
          <cell r="F140">
            <v>9965272.4891257137</v>
          </cell>
          <cell r="G140">
            <v>518595</v>
          </cell>
          <cell r="H140">
            <v>24700</v>
          </cell>
          <cell r="I140">
            <v>9422000</v>
          </cell>
          <cell r="J140">
            <v>26</v>
          </cell>
        </row>
        <row r="141">
          <cell r="C141">
            <v>52199</v>
          </cell>
          <cell r="D141">
            <v>105853.75868454599</v>
          </cell>
          <cell r="E141">
            <v>0</v>
          </cell>
          <cell r="F141">
            <v>6433720.5655167783</v>
          </cell>
          <cell r="G141">
            <v>518595</v>
          </cell>
          <cell r="H141">
            <v>24700</v>
          </cell>
          <cell r="I141">
            <v>5890400</v>
          </cell>
          <cell r="J141">
            <v>26.864583333333332</v>
          </cell>
        </row>
        <row r="142">
          <cell r="C142">
            <v>10365</v>
          </cell>
          <cell r="D142">
            <v>25045.480549694912</v>
          </cell>
          <cell r="E142">
            <v>0</v>
          </cell>
          <cell r="F142">
            <v>7056952.500658608</v>
          </cell>
          <cell r="H142">
            <v>0</v>
          </cell>
          <cell r="I142">
            <v>7057000</v>
          </cell>
          <cell r="J142">
            <v>26.5</v>
          </cell>
        </row>
        <row r="143">
          <cell r="C143">
            <v>10359</v>
          </cell>
          <cell r="D143">
            <v>0</v>
          </cell>
          <cell r="E143">
            <v>0</v>
          </cell>
          <cell r="F143">
            <v>7201837.4408117253</v>
          </cell>
          <cell r="H143">
            <v>0</v>
          </cell>
          <cell r="I143">
            <v>7201800</v>
          </cell>
          <cell r="J143">
            <v>27</v>
          </cell>
        </row>
        <row r="144">
          <cell r="C144" t="str">
            <v>TVLA91</v>
          </cell>
          <cell r="E144">
            <v>0</v>
          </cell>
          <cell r="F144">
            <v>6162834.2291617449</v>
          </cell>
          <cell r="H144">
            <v>0</v>
          </cell>
          <cell r="I144">
            <v>6162800</v>
          </cell>
          <cell r="J144">
            <v>26.5</v>
          </cell>
        </row>
        <row r="145">
          <cell r="C145" t="str">
            <v>TVLA103</v>
          </cell>
          <cell r="E145">
            <v>0</v>
          </cell>
          <cell r="F145">
            <v>5603920.683995652</v>
          </cell>
          <cell r="H145">
            <v>0</v>
          </cell>
          <cell r="I145">
            <v>5603900</v>
          </cell>
          <cell r="J145">
            <v>25.3125</v>
          </cell>
        </row>
        <row r="146">
          <cell r="C146">
            <v>50071</v>
          </cell>
          <cell r="D146">
            <v>0</v>
          </cell>
          <cell r="E146">
            <v>0</v>
          </cell>
          <cell r="F146">
            <v>9393046.1563640069</v>
          </cell>
          <cell r="G146">
            <v>518595</v>
          </cell>
          <cell r="H146">
            <v>24700</v>
          </cell>
          <cell r="I146">
            <v>8849800</v>
          </cell>
          <cell r="J146">
            <v>26.457999999999998</v>
          </cell>
        </row>
        <row r="147">
          <cell r="C147">
            <v>50147</v>
          </cell>
          <cell r="D147">
            <v>59570.249659396941</v>
          </cell>
          <cell r="E147">
            <v>-234600</v>
          </cell>
          <cell r="F147">
            <v>6711219.7029448859</v>
          </cell>
          <cell r="G147">
            <v>518595</v>
          </cell>
          <cell r="H147">
            <v>24700</v>
          </cell>
          <cell r="I147">
            <v>6167900</v>
          </cell>
          <cell r="J147">
            <v>23</v>
          </cell>
        </row>
        <row r="148">
          <cell r="C148">
            <v>50366</v>
          </cell>
          <cell r="D148">
            <v>0</v>
          </cell>
          <cell r="E148">
            <v>0</v>
          </cell>
          <cell r="F148">
            <v>8715001.6310320999</v>
          </cell>
          <cell r="G148">
            <v>518595</v>
          </cell>
          <cell r="H148">
            <v>24700</v>
          </cell>
          <cell r="I148">
            <v>8171700</v>
          </cell>
          <cell r="J148">
            <v>24.1875</v>
          </cell>
        </row>
        <row r="149">
          <cell r="C149">
            <v>50380</v>
          </cell>
          <cell r="D149">
            <v>0</v>
          </cell>
          <cell r="E149">
            <v>0</v>
          </cell>
          <cell r="F149">
            <v>9231375.0568377916</v>
          </cell>
          <cell r="G149">
            <v>518595</v>
          </cell>
          <cell r="H149">
            <v>24700</v>
          </cell>
          <cell r="I149">
            <v>8688100</v>
          </cell>
          <cell r="J149">
            <v>24.029166666666665</v>
          </cell>
        </row>
        <row r="150">
          <cell r="C150">
            <v>50978</v>
          </cell>
          <cell r="D150">
            <v>0</v>
          </cell>
          <cell r="E150">
            <v>0</v>
          </cell>
          <cell r="F150">
            <v>8796582.0237728041</v>
          </cell>
          <cell r="G150">
            <v>518595</v>
          </cell>
          <cell r="H150">
            <v>24700</v>
          </cell>
          <cell r="I150">
            <v>8253300</v>
          </cell>
          <cell r="J150">
            <v>26.6875</v>
          </cell>
        </row>
        <row r="151">
          <cell r="C151">
            <v>51076</v>
          </cell>
          <cell r="D151">
            <v>0</v>
          </cell>
          <cell r="E151">
            <v>0</v>
          </cell>
          <cell r="F151">
            <v>7504808.1062517995</v>
          </cell>
          <cell r="G151">
            <v>518595</v>
          </cell>
          <cell r="H151">
            <v>24700</v>
          </cell>
          <cell r="I151">
            <v>6961500</v>
          </cell>
          <cell r="J151">
            <v>25.5</v>
          </cell>
        </row>
        <row r="152">
          <cell r="C152">
            <v>51085</v>
          </cell>
          <cell r="D152">
            <v>0</v>
          </cell>
          <cell r="E152">
            <v>0</v>
          </cell>
          <cell r="F152">
            <v>7793317.2200118257</v>
          </cell>
          <cell r="G152">
            <v>518595</v>
          </cell>
          <cell r="H152">
            <v>24700</v>
          </cell>
          <cell r="I152">
            <v>7250000</v>
          </cell>
          <cell r="J152">
            <v>25.875</v>
          </cell>
        </row>
        <row r="153">
          <cell r="C153">
            <v>51104</v>
          </cell>
          <cell r="D153">
            <v>0</v>
          </cell>
          <cell r="E153">
            <v>0</v>
          </cell>
          <cell r="F153">
            <v>9748543.6421333067</v>
          </cell>
          <cell r="G153">
            <v>518595</v>
          </cell>
          <cell r="H153">
            <v>24700</v>
          </cell>
          <cell r="I153">
            <v>9205200</v>
          </cell>
          <cell r="J153">
            <v>26</v>
          </cell>
        </row>
        <row r="154">
          <cell r="C154">
            <v>51569</v>
          </cell>
          <cell r="D154">
            <v>0</v>
          </cell>
          <cell r="E154">
            <v>-255000</v>
          </cell>
          <cell r="F154">
            <v>8719579.7394913007</v>
          </cell>
          <cell r="G154">
            <v>518595</v>
          </cell>
          <cell r="H154">
            <v>24700</v>
          </cell>
          <cell r="I154">
            <v>8176300</v>
          </cell>
          <cell r="J154">
            <v>26</v>
          </cell>
        </row>
        <row r="155">
          <cell r="C155">
            <v>51639</v>
          </cell>
          <cell r="D155">
            <v>72351.297766151605</v>
          </cell>
          <cell r="E155">
            <v>0</v>
          </cell>
          <cell r="F155">
            <v>7824254.5201630853</v>
          </cell>
          <cell r="G155">
            <v>518595</v>
          </cell>
          <cell r="H155">
            <v>24700</v>
          </cell>
          <cell r="I155">
            <v>7281000</v>
          </cell>
          <cell r="J155">
            <v>27</v>
          </cell>
        </row>
        <row r="156">
          <cell r="C156">
            <v>51709</v>
          </cell>
          <cell r="D156">
            <v>17909.302107718133</v>
          </cell>
          <cell r="E156">
            <v>0</v>
          </cell>
          <cell r="F156">
            <v>7557408.2523306906</v>
          </cell>
          <cell r="G156">
            <v>518595</v>
          </cell>
          <cell r="H156">
            <v>24700</v>
          </cell>
          <cell r="I156">
            <v>7014100</v>
          </cell>
          <cell r="J156">
            <v>26</v>
          </cell>
        </row>
        <row r="157">
          <cell r="C157">
            <v>51728</v>
          </cell>
          <cell r="D157">
            <v>110869.96593285713</v>
          </cell>
          <cell r="E157">
            <v>0</v>
          </cell>
          <cell r="F157">
            <v>7414571.8233552752</v>
          </cell>
          <cell r="G157">
            <v>518595</v>
          </cell>
          <cell r="H157">
            <v>24700</v>
          </cell>
          <cell r="I157">
            <v>6871300</v>
          </cell>
          <cell r="J157">
            <v>25.25</v>
          </cell>
        </row>
        <row r="158">
          <cell r="C158">
            <v>51979</v>
          </cell>
          <cell r="D158">
            <v>34505.928670751338</v>
          </cell>
          <cell r="E158">
            <v>0</v>
          </cell>
          <cell r="F158">
            <v>7897882.3341800533</v>
          </cell>
          <cell r="G158">
            <v>518595</v>
          </cell>
          <cell r="H158">
            <v>24700</v>
          </cell>
          <cell r="I158">
            <v>7354600</v>
          </cell>
          <cell r="J158">
            <v>27</v>
          </cell>
        </row>
        <row r="159">
          <cell r="C159">
            <v>50658</v>
          </cell>
          <cell r="F159">
            <v>12259275.793269232</v>
          </cell>
          <cell r="G159">
            <v>518595</v>
          </cell>
          <cell r="H159">
            <v>24700</v>
          </cell>
          <cell r="I159">
            <v>11716000</v>
          </cell>
          <cell r="J159">
            <v>30</v>
          </cell>
        </row>
        <row r="160">
          <cell r="C160">
            <v>50761</v>
          </cell>
          <cell r="F160">
            <v>15888696.09375</v>
          </cell>
          <cell r="G160">
            <v>518595</v>
          </cell>
          <cell r="H160">
            <v>24700</v>
          </cell>
          <cell r="I160">
            <v>15345400</v>
          </cell>
          <cell r="J160">
            <v>30</v>
          </cell>
        </row>
        <row r="161">
          <cell r="C161">
            <v>51342</v>
          </cell>
          <cell r="F161">
            <v>16542946.153846152</v>
          </cell>
          <cell r="G161">
            <v>518595</v>
          </cell>
          <cell r="H161">
            <v>24700</v>
          </cell>
          <cell r="I161">
            <v>15999700</v>
          </cell>
          <cell r="J161">
            <v>30</v>
          </cell>
        </row>
        <row r="162">
          <cell r="C162">
            <v>51421</v>
          </cell>
          <cell r="F162">
            <v>13861490.01923077</v>
          </cell>
          <cell r="G162">
            <v>518595</v>
          </cell>
          <cell r="H162">
            <v>24700</v>
          </cell>
          <cell r="I162">
            <v>13318200</v>
          </cell>
          <cell r="J162">
            <v>29</v>
          </cell>
        </row>
        <row r="163">
          <cell r="C163">
            <v>51698</v>
          </cell>
          <cell r="F163">
            <v>12553138.521634614</v>
          </cell>
          <cell r="G163">
            <v>518595</v>
          </cell>
          <cell r="H163">
            <v>24700</v>
          </cell>
          <cell r="I163">
            <v>12009800</v>
          </cell>
          <cell r="J163">
            <v>30</v>
          </cell>
        </row>
        <row r="164">
          <cell r="C164">
            <v>51763</v>
          </cell>
          <cell r="F164">
            <v>12104948.016826924</v>
          </cell>
          <cell r="G164">
            <v>518595</v>
          </cell>
          <cell r="H164">
            <v>24700</v>
          </cell>
          <cell r="I164">
            <v>11561700</v>
          </cell>
          <cell r="J164">
            <v>29</v>
          </cell>
        </row>
        <row r="165">
          <cell r="C165">
            <v>51764</v>
          </cell>
          <cell r="F165">
            <v>12012424.875000002</v>
          </cell>
          <cell r="G165">
            <v>518595</v>
          </cell>
          <cell r="H165">
            <v>24700</v>
          </cell>
          <cell r="I165">
            <v>11469100</v>
          </cell>
          <cell r="J165">
            <v>30</v>
          </cell>
        </row>
        <row r="166">
          <cell r="C166">
            <v>51798</v>
          </cell>
          <cell r="F166">
            <v>10339061.057692308</v>
          </cell>
          <cell r="G166">
            <v>518595</v>
          </cell>
          <cell r="H166">
            <v>24700</v>
          </cell>
          <cell r="I166">
            <v>9795800</v>
          </cell>
          <cell r="J166">
            <v>29</v>
          </cell>
        </row>
        <row r="167">
          <cell r="C167">
            <v>51846</v>
          </cell>
          <cell r="F167">
            <v>13355531.5625</v>
          </cell>
          <cell r="G167">
            <v>518595</v>
          </cell>
          <cell r="H167">
            <v>24700</v>
          </cell>
          <cell r="I167">
            <v>12812200</v>
          </cell>
          <cell r="J167">
            <v>28</v>
          </cell>
        </row>
        <row r="168">
          <cell r="C168">
            <v>51930</v>
          </cell>
          <cell r="F168">
            <v>13444065.512019234</v>
          </cell>
          <cell r="G168">
            <v>518595</v>
          </cell>
          <cell r="H168">
            <v>24700</v>
          </cell>
          <cell r="I168">
            <v>12900800</v>
          </cell>
          <cell r="J168">
            <v>29</v>
          </cell>
        </row>
        <row r="169">
          <cell r="C169">
            <v>51947</v>
          </cell>
          <cell r="F169">
            <v>15031483.605769232</v>
          </cell>
          <cell r="G169">
            <v>518595</v>
          </cell>
          <cell r="H169">
            <v>24700</v>
          </cell>
          <cell r="I169">
            <v>14488200</v>
          </cell>
          <cell r="J169">
            <v>29</v>
          </cell>
        </row>
        <row r="170">
          <cell r="C170">
            <v>52059</v>
          </cell>
          <cell r="F170">
            <v>13187736.161057692</v>
          </cell>
          <cell r="G170">
            <v>518595</v>
          </cell>
          <cell r="H170">
            <v>24700</v>
          </cell>
          <cell r="I170">
            <v>12644400</v>
          </cell>
          <cell r="J170">
            <v>28</v>
          </cell>
        </row>
        <row r="171">
          <cell r="C171">
            <v>52061</v>
          </cell>
          <cell r="D171"/>
          <cell r="E171"/>
          <cell r="F171">
            <v>9052021.634615384</v>
          </cell>
          <cell r="G171">
            <v>518595</v>
          </cell>
          <cell r="H171">
            <v>24700</v>
          </cell>
          <cell r="I171">
            <v>8508700</v>
          </cell>
          <cell r="J171">
            <v>24</v>
          </cell>
        </row>
        <row r="172">
          <cell r="C172">
            <v>52062</v>
          </cell>
          <cell r="D172"/>
          <cell r="E172"/>
          <cell r="F172">
            <v>11942007.283653848</v>
          </cell>
          <cell r="G172">
            <v>518595</v>
          </cell>
          <cell r="H172">
            <v>24700</v>
          </cell>
          <cell r="I172">
            <v>11398700</v>
          </cell>
          <cell r="J172">
            <v>30</v>
          </cell>
        </row>
        <row r="173">
          <cell r="C173">
            <v>50584</v>
          </cell>
          <cell r="F173">
            <v>9306956.7187960502</v>
          </cell>
          <cell r="G173">
            <v>518595</v>
          </cell>
          <cell r="H173">
            <v>24700</v>
          </cell>
          <cell r="I173">
            <v>8763700</v>
          </cell>
          <cell r="J173">
            <v>26.5</v>
          </cell>
        </row>
        <row r="174">
          <cell r="C174">
            <v>50689</v>
          </cell>
          <cell r="F174">
            <v>9966184.4677050821</v>
          </cell>
          <cell r="G174">
            <v>518595</v>
          </cell>
          <cell r="H174">
            <v>24700</v>
          </cell>
          <cell r="I174">
            <v>9422900</v>
          </cell>
          <cell r="J174">
            <v>26.864083333333333</v>
          </cell>
        </row>
        <row r="175">
          <cell r="C175">
            <v>51632</v>
          </cell>
          <cell r="F175">
            <v>9725293.9248393979</v>
          </cell>
          <cell r="G175">
            <v>518595</v>
          </cell>
          <cell r="H175">
            <v>24700</v>
          </cell>
          <cell r="I175">
            <v>9182000</v>
          </cell>
          <cell r="J175">
            <v>26.227083333333333</v>
          </cell>
        </row>
        <row r="176">
          <cell r="C176">
            <v>51696</v>
          </cell>
          <cell r="F176">
            <v>9863304.2082223799</v>
          </cell>
          <cell r="G176">
            <v>518595</v>
          </cell>
          <cell r="H176">
            <v>24700</v>
          </cell>
          <cell r="I176">
            <v>9320000</v>
          </cell>
          <cell r="J176">
            <v>26.625</v>
          </cell>
        </row>
        <row r="177">
          <cell r="C177">
            <v>52128</v>
          </cell>
          <cell r="F177">
            <v>8938961.3623826671</v>
          </cell>
          <cell r="G177">
            <v>518595</v>
          </cell>
          <cell r="H177">
            <v>24700</v>
          </cell>
          <cell r="I177">
            <v>8395700</v>
          </cell>
          <cell r="J177">
            <v>25.972999999999999</v>
          </cell>
        </row>
        <row r="178">
          <cell r="C178">
            <v>52210</v>
          </cell>
          <cell r="F178">
            <v>9162464.396860728</v>
          </cell>
          <cell r="G178">
            <v>518595</v>
          </cell>
          <cell r="H178">
            <v>24700</v>
          </cell>
          <cell r="I178">
            <v>8619200</v>
          </cell>
          <cell r="J178">
            <v>25.979166666666668</v>
          </cell>
        </row>
        <row r="179">
          <cell r="C179">
            <v>52248</v>
          </cell>
          <cell r="F179">
            <v>7613825.9448748864</v>
          </cell>
          <cell r="H179">
            <v>0</v>
          </cell>
          <cell r="I179">
            <v>7613800</v>
          </cell>
          <cell r="J179">
            <v>26.5625</v>
          </cell>
        </row>
        <row r="180">
          <cell r="C180">
            <v>50091</v>
          </cell>
          <cell r="F180">
            <v>10847152.173913045</v>
          </cell>
          <cell r="G180">
            <v>518595</v>
          </cell>
          <cell r="H180">
            <v>24700</v>
          </cell>
          <cell r="I180">
            <v>10303900</v>
          </cell>
          <cell r="J180">
            <v>27</v>
          </cell>
        </row>
        <row r="181">
          <cell r="C181">
            <v>51653</v>
          </cell>
          <cell r="F181">
            <v>10294699.853181938</v>
          </cell>
          <cell r="G181">
            <v>518595</v>
          </cell>
          <cell r="H181">
            <v>24700</v>
          </cell>
          <cell r="I181">
            <v>9751400</v>
          </cell>
          <cell r="J181">
            <v>26</v>
          </cell>
        </row>
        <row r="182">
          <cell r="C182">
            <v>51843</v>
          </cell>
          <cell r="F182">
            <v>10680619.751166407</v>
          </cell>
          <cell r="G182">
            <v>518595</v>
          </cell>
          <cell r="H182">
            <v>24700</v>
          </cell>
          <cell r="I182">
            <v>10137300</v>
          </cell>
          <cell r="J182">
            <v>27</v>
          </cell>
        </row>
        <row r="183">
          <cell r="C183">
            <v>50145</v>
          </cell>
          <cell r="F183">
            <v>11711333.889887566</v>
          </cell>
          <cell r="G183">
            <v>518595</v>
          </cell>
          <cell r="H183">
            <v>24700</v>
          </cell>
          <cell r="I183">
            <v>11168000</v>
          </cell>
          <cell r="J183">
            <v>26.885416666666668</v>
          </cell>
        </row>
        <row r="184">
          <cell r="C184">
            <v>50460</v>
          </cell>
          <cell r="F184">
            <v>10068886.929181702</v>
          </cell>
          <cell r="G184">
            <v>518595</v>
          </cell>
          <cell r="H184">
            <v>24700</v>
          </cell>
          <cell r="I184">
            <v>9525600</v>
          </cell>
          <cell r="J184">
            <v>26.583500000000001</v>
          </cell>
        </row>
        <row r="185">
          <cell r="C185">
            <v>50723</v>
          </cell>
          <cell r="D185"/>
          <cell r="E185"/>
          <cell r="F185">
            <v>6619350.7387393145</v>
          </cell>
          <cell r="G185">
            <v>518595</v>
          </cell>
          <cell r="H185">
            <v>24700</v>
          </cell>
          <cell r="I185">
            <v>6076100</v>
          </cell>
          <cell r="J185">
            <v>19.895833333333332</v>
          </cell>
        </row>
        <row r="186">
          <cell r="C186">
            <v>50834</v>
          </cell>
          <cell r="D186"/>
          <cell r="E186"/>
          <cell r="F186">
            <v>9494173.1001347974</v>
          </cell>
          <cell r="G186">
            <v>518595</v>
          </cell>
          <cell r="H186">
            <v>24700</v>
          </cell>
          <cell r="I186">
            <v>8950900</v>
          </cell>
          <cell r="J186">
            <v>26.885416666666668</v>
          </cell>
        </row>
        <row r="187">
          <cell r="C187">
            <v>50105</v>
          </cell>
          <cell r="F187">
            <v>11047065.534376016</v>
          </cell>
          <cell r="G187">
            <v>518595</v>
          </cell>
          <cell r="H187">
            <v>24700</v>
          </cell>
          <cell r="I187">
            <v>10503800</v>
          </cell>
          <cell r="J187">
            <v>26.739583333333332</v>
          </cell>
        </row>
        <row r="188">
          <cell r="C188">
            <v>50639</v>
          </cell>
          <cell r="F188">
            <v>10658750</v>
          </cell>
          <cell r="G188">
            <v>518595</v>
          </cell>
          <cell r="H188">
            <v>24700</v>
          </cell>
          <cell r="I188">
            <v>10115500</v>
          </cell>
          <cell r="J188">
            <v>27</v>
          </cell>
        </row>
        <row r="189">
          <cell r="C189">
            <v>50814</v>
          </cell>
          <cell r="F189">
            <v>6606328.3585907705</v>
          </cell>
          <cell r="G189">
            <v>518595</v>
          </cell>
          <cell r="H189">
            <v>24700</v>
          </cell>
          <cell r="I189">
            <v>6063000</v>
          </cell>
          <cell r="J189">
            <v>19.603999999999999</v>
          </cell>
        </row>
        <row r="190">
          <cell r="C190">
            <v>50854</v>
          </cell>
          <cell r="F190">
            <v>10079120.328102997</v>
          </cell>
          <cell r="G190">
            <v>518595</v>
          </cell>
          <cell r="H190">
            <v>24700</v>
          </cell>
          <cell r="I190">
            <v>9535800</v>
          </cell>
          <cell r="J190">
            <v>26.15</v>
          </cell>
        </row>
        <row r="191">
          <cell r="C191">
            <v>50858</v>
          </cell>
          <cell r="F191">
            <v>10362717.300579235</v>
          </cell>
          <cell r="G191">
            <v>518595</v>
          </cell>
          <cell r="H191">
            <v>24700</v>
          </cell>
          <cell r="I191">
            <v>9819400</v>
          </cell>
          <cell r="J191">
            <v>26.895833333333332</v>
          </cell>
        </row>
        <row r="192">
          <cell r="C192">
            <v>51463</v>
          </cell>
          <cell r="F192">
            <v>9722964.1624644604</v>
          </cell>
          <cell r="G192">
            <v>518595</v>
          </cell>
          <cell r="H192">
            <v>24700</v>
          </cell>
          <cell r="I192">
            <v>9179700</v>
          </cell>
          <cell r="J192">
            <v>25.691666666666666</v>
          </cell>
        </row>
        <row r="193">
          <cell r="C193">
            <v>51722</v>
          </cell>
          <cell r="F193">
            <v>9677017.0655409619</v>
          </cell>
          <cell r="G193">
            <v>518595</v>
          </cell>
          <cell r="H193">
            <v>24700</v>
          </cell>
          <cell r="I193">
            <v>9133700</v>
          </cell>
          <cell r="J193">
            <v>25.503999999999998</v>
          </cell>
        </row>
        <row r="194">
          <cell r="C194">
            <v>51775</v>
          </cell>
          <cell r="F194">
            <v>11295581.886682004</v>
          </cell>
          <cell r="G194">
            <v>518595</v>
          </cell>
          <cell r="H194">
            <v>24700</v>
          </cell>
          <cell r="I194">
            <v>10752300</v>
          </cell>
          <cell r="J194">
            <v>26.552083333333332</v>
          </cell>
        </row>
        <row r="195">
          <cell r="C195">
            <v>50168</v>
          </cell>
          <cell r="F195">
            <v>9930413.5789308958</v>
          </cell>
          <cell r="G195">
            <v>518595</v>
          </cell>
          <cell r="H195">
            <v>24700</v>
          </cell>
          <cell r="I195">
            <v>9387100</v>
          </cell>
          <cell r="J195">
            <v>27</v>
          </cell>
        </row>
        <row r="196">
          <cell r="C196">
            <v>50288</v>
          </cell>
          <cell r="F196">
            <v>13610485.345547432</v>
          </cell>
          <cell r="G196">
            <v>541800</v>
          </cell>
          <cell r="H196">
            <v>24700</v>
          </cell>
          <cell r="I196">
            <v>13044000</v>
          </cell>
          <cell r="J196">
            <v>26.854166666666668</v>
          </cell>
        </row>
        <row r="197">
          <cell r="C197">
            <v>50564</v>
          </cell>
          <cell r="F197">
            <v>10392075.200854123</v>
          </cell>
          <cell r="G197">
            <v>518595</v>
          </cell>
          <cell r="H197">
            <v>24700</v>
          </cell>
          <cell r="I197">
            <v>9848800</v>
          </cell>
          <cell r="J197">
            <v>25.125</v>
          </cell>
        </row>
        <row r="198">
          <cell r="C198">
            <v>51398</v>
          </cell>
          <cell r="F198">
            <v>9090395.1058122274</v>
          </cell>
          <cell r="G198">
            <v>518595</v>
          </cell>
          <cell r="H198">
            <v>24700</v>
          </cell>
          <cell r="I198">
            <v>8547100</v>
          </cell>
          <cell r="J198">
            <v>27</v>
          </cell>
        </row>
        <row r="199">
          <cell r="C199">
            <v>51629</v>
          </cell>
          <cell r="F199">
            <v>9901605.0633888189</v>
          </cell>
          <cell r="G199">
            <v>518595</v>
          </cell>
          <cell r="H199">
            <v>24700</v>
          </cell>
          <cell r="I199">
            <v>9358300</v>
          </cell>
          <cell r="J199">
            <v>27</v>
          </cell>
        </row>
        <row r="200">
          <cell r="C200">
            <v>52020</v>
          </cell>
          <cell r="F200">
            <v>7870328.9292785404</v>
          </cell>
          <cell r="G200">
            <v>518595</v>
          </cell>
          <cell r="H200">
            <v>24700</v>
          </cell>
          <cell r="I200">
            <v>7327000</v>
          </cell>
          <cell r="J200">
            <v>24.5</v>
          </cell>
        </row>
        <row r="201">
          <cell r="C201">
            <v>52039</v>
          </cell>
          <cell r="F201">
            <v>8071326.6394351851</v>
          </cell>
          <cell r="G201">
            <v>518595</v>
          </cell>
          <cell r="H201">
            <v>24700</v>
          </cell>
          <cell r="I201">
            <v>7528000</v>
          </cell>
          <cell r="J201">
            <v>26</v>
          </cell>
        </row>
        <row r="202">
          <cell r="C202">
            <v>52085</v>
          </cell>
          <cell r="F202">
            <v>9909852.6220986359</v>
          </cell>
          <cell r="G202">
            <v>518595</v>
          </cell>
          <cell r="H202">
            <v>24700</v>
          </cell>
          <cell r="I202">
            <v>9366600</v>
          </cell>
          <cell r="J202">
            <v>25.4375</v>
          </cell>
        </row>
        <row r="203">
          <cell r="C203">
            <v>52122</v>
          </cell>
          <cell r="F203">
            <v>8114737.3988373475</v>
          </cell>
          <cell r="G203">
            <v>518595</v>
          </cell>
          <cell r="H203">
            <v>24700</v>
          </cell>
          <cell r="I203">
            <v>7571400</v>
          </cell>
          <cell r="J203">
            <v>23.739583333333332</v>
          </cell>
        </row>
        <row r="204">
          <cell r="C204">
            <v>52137</v>
          </cell>
          <cell r="F204">
            <v>10957386.758037459</v>
          </cell>
          <cell r="G204">
            <v>518595</v>
          </cell>
          <cell r="H204">
            <v>24700</v>
          </cell>
          <cell r="I204">
            <v>10414100</v>
          </cell>
          <cell r="J204">
            <v>26.5</v>
          </cell>
        </row>
        <row r="205">
          <cell r="C205">
            <v>52146</v>
          </cell>
          <cell r="F205">
            <v>9073162.2817934528</v>
          </cell>
          <cell r="G205">
            <v>518595</v>
          </cell>
          <cell r="H205">
            <v>24700</v>
          </cell>
          <cell r="I205">
            <v>8529900</v>
          </cell>
          <cell r="J205">
            <v>27</v>
          </cell>
        </row>
        <row r="206">
          <cell r="C206">
            <v>52215</v>
          </cell>
          <cell r="F206">
            <v>10621301.222887207</v>
          </cell>
          <cell r="G206">
            <v>518595</v>
          </cell>
          <cell r="H206">
            <v>24700</v>
          </cell>
          <cell r="I206">
            <v>10078000</v>
          </cell>
          <cell r="J206">
            <v>25.854083333333332</v>
          </cell>
        </row>
        <row r="207">
          <cell r="C207">
            <v>52249</v>
          </cell>
          <cell r="F207">
            <v>5074919.9784731744</v>
          </cell>
          <cell r="H207">
            <v>0</v>
          </cell>
          <cell r="I207">
            <v>5074900</v>
          </cell>
          <cell r="J207">
            <v>17</v>
          </cell>
        </row>
        <row r="208">
          <cell r="C208">
            <v>10350</v>
          </cell>
          <cell r="F208">
            <v>8038032.5689411061</v>
          </cell>
          <cell r="H208">
            <v>0</v>
          </cell>
          <cell r="I208">
            <v>8038000</v>
          </cell>
          <cell r="J208">
            <v>26.312000000000001</v>
          </cell>
        </row>
        <row r="209">
          <cell r="C209">
            <v>50547</v>
          </cell>
          <cell r="D209"/>
          <cell r="E209"/>
          <cell r="F209">
            <v>10163701.658076135</v>
          </cell>
          <cell r="G209">
            <v>518595</v>
          </cell>
          <cell r="H209">
            <v>24700</v>
          </cell>
          <cell r="I209">
            <v>9620400</v>
          </cell>
          <cell r="J209">
            <v>26</v>
          </cell>
        </row>
        <row r="210">
          <cell r="C210" t="str">
            <v>TV</v>
          </cell>
          <cell r="F210">
            <v>10125000</v>
          </cell>
          <cell r="H210">
            <v>0</v>
          </cell>
          <cell r="I210">
            <v>10125000</v>
          </cell>
          <cell r="J210">
            <v>27</v>
          </cell>
        </row>
        <row r="211">
          <cell r="C211" t="str">
            <v>Q.trị 3</v>
          </cell>
          <cell r="D211"/>
          <cell r="E211"/>
          <cell r="F211">
            <v>32660000</v>
          </cell>
          <cell r="G211">
            <v>1624140</v>
          </cell>
          <cell r="H211">
            <v>2466793</v>
          </cell>
          <cell r="I211">
            <v>28569100</v>
          </cell>
          <cell r="J211">
            <v>27</v>
          </cell>
        </row>
        <row r="212">
          <cell r="C212">
            <v>51732</v>
          </cell>
          <cell r="F212">
            <v>106315.06410256411</v>
          </cell>
          <cell r="G212">
            <v>0</v>
          </cell>
          <cell r="I212">
            <v>106300</v>
          </cell>
          <cell r="J212">
            <v>1</v>
          </cell>
        </row>
        <row r="213">
          <cell r="C213">
            <v>52178</v>
          </cell>
          <cell r="F213">
            <v>115399.34734954165</v>
          </cell>
          <cell r="G213">
            <v>0</v>
          </cell>
          <cell r="I213">
            <v>115400</v>
          </cell>
          <cell r="J213">
            <v>1</v>
          </cell>
        </row>
        <row r="214">
          <cell r="C214">
            <v>51685</v>
          </cell>
          <cell r="F214">
            <v>106601.45719111704</v>
          </cell>
          <cell r="G214">
            <v>0</v>
          </cell>
          <cell r="I214">
            <v>106600</v>
          </cell>
          <cell r="J214">
            <v>1</v>
          </cell>
        </row>
        <row r="215">
          <cell r="C215">
            <v>51792</v>
          </cell>
          <cell r="F215">
            <v>462441.37229008478</v>
          </cell>
          <cell r="G215">
            <v>0</v>
          </cell>
          <cell r="I215">
            <v>462400</v>
          </cell>
          <cell r="J215">
            <v>4</v>
          </cell>
        </row>
        <row r="216">
          <cell r="C216">
            <v>51601</v>
          </cell>
          <cell r="F216">
            <v>709871.82153373712</v>
          </cell>
          <cell r="G216">
            <v>0</v>
          </cell>
          <cell r="I216">
            <v>709900</v>
          </cell>
          <cell r="J216">
            <v>3.25</v>
          </cell>
        </row>
        <row r="217">
          <cell r="C217">
            <v>50274</v>
          </cell>
          <cell r="F217">
            <v>1526434.9877482515</v>
          </cell>
          <cell r="G217">
            <v>0</v>
          </cell>
          <cell r="I217">
            <v>1526400</v>
          </cell>
          <cell r="J217">
            <v>8.9187499999999993</v>
          </cell>
        </row>
        <row r="218">
          <cell r="C218">
            <v>50518</v>
          </cell>
          <cell r="F218">
            <v>2251509.4890718842</v>
          </cell>
          <cell r="G218">
            <v>0</v>
          </cell>
          <cell r="I218">
            <v>2251500</v>
          </cell>
          <cell r="J218">
            <v>11</v>
          </cell>
        </row>
        <row r="219">
          <cell r="C219">
            <v>51377</v>
          </cell>
          <cell r="F219">
            <v>1707076.8479169202</v>
          </cell>
          <cell r="G219">
            <v>0</v>
          </cell>
          <cell r="I219">
            <v>1707100</v>
          </cell>
          <cell r="J219">
            <v>11.916666666666666</v>
          </cell>
        </row>
        <row r="220">
          <cell r="C220">
            <v>51288</v>
          </cell>
          <cell r="F220">
            <v>463553.66260211484</v>
          </cell>
          <cell r="G220">
            <v>0</v>
          </cell>
          <cell r="I220">
            <v>463600</v>
          </cell>
          <cell r="J220">
            <v>1.9645833333333333</v>
          </cell>
        </row>
        <row r="221">
          <cell r="C221">
            <v>51874</v>
          </cell>
          <cell r="F221">
            <v>1228162.9438049903</v>
          </cell>
          <cell r="G221">
            <v>0</v>
          </cell>
          <cell r="I221">
            <v>1228200</v>
          </cell>
          <cell r="J221">
            <v>4.583333333333333</v>
          </cell>
        </row>
        <row r="222">
          <cell r="C222">
            <v>51330</v>
          </cell>
          <cell r="F222">
            <v>2731501.2429033723</v>
          </cell>
          <cell r="G222">
            <v>0</v>
          </cell>
          <cell r="I222">
            <v>2731500</v>
          </cell>
          <cell r="J222">
            <v>12</v>
          </cell>
        </row>
        <row r="223">
          <cell r="C223">
            <v>52117</v>
          </cell>
          <cell r="F223">
            <v>489620.61347002123</v>
          </cell>
          <cell r="G223">
            <v>0</v>
          </cell>
          <cell r="I223">
            <v>489600</v>
          </cell>
          <cell r="J223">
            <v>2.8125</v>
          </cell>
        </row>
        <row r="224">
          <cell r="C224">
            <v>52120</v>
          </cell>
          <cell r="F224">
            <v>2223703.359094522</v>
          </cell>
          <cell r="G224">
            <v>0</v>
          </cell>
          <cell r="I224">
            <v>2223700</v>
          </cell>
          <cell r="J224">
            <v>9.9229166666666675</v>
          </cell>
        </row>
        <row r="225">
          <cell r="C225">
            <v>52116</v>
          </cell>
          <cell r="F225">
            <v>5351468.8836256433</v>
          </cell>
          <cell r="G225">
            <v>518595</v>
          </cell>
          <cell r="I225">
            <v>4832900</v>
          </cell>
          <cell r="J225">
            <v>22</v>
          </cell>
        </row>
        <row r="226">
          <cell r="C226" t="str">
            <v>TVLA65</v>
          </cell>
          <cell r="F226">
            <v>744289.68916031485</v>
          </cell>
          <cell r="H226">
            <v>0</v>
          </cell>
          <cell r="I226">
            <v>744300</v>
          </cell>
          <cell r="J226">
            <v>4</v>
          </cell>
        </row>
        <row r="227">
          <cell r="C227">
            <v>10258</v>
          </cell>
          <cell r="F227">
            <v>948714.15990158031</v>
          </cell>
          <cell r="H227">
            <v>0</v>
          </cell>
          <cell r="I227">
            <v>948700</v>
          </cell>
          <cell r="J227">
            <v>5</v>
          </cell>
        </row>
        <row r="228">
          <cell r="C228" t="str">
            <v>TVLA70</v>
          </cell>
          <cell r="F228">
            <v>616547.78196307947</v>
          </cell>
          <cell r="H228">
            <v>0</v>
          </cell>
          <cell r="I228">
            <v>616500</v>
          </cell>
          <cell r="J228">
            <v>4</v>
          </cell>
        </row>
        <row r="229">
          <cell r="C229" t="str">
            <v>TVLA101</v>
          </cell>
          <cell r="F229">
            <v>502288.12997347483</v>
          </cell>
          <cell r="H229">
            <v>0</v>
          </cell>
          <cell r="I229">
            <v>502300</v>
          </cell>
          <cell r="J229">
            <v>3</v>
          </cell>
        </row>
        <row r="230">
          <cell r="C230">
            <v>52219</v>
          </cell>
          <cell r="F230">
            <v>884730.96182728873</v>
          </cell>
          <cell r="H230">
            <v>0</v>
          </cell>
          <cell r="I230">
            <v>884700</v>
          </cell>
          <cell r="J230">
            <v>7.5</v>
          </cell>
        </row>
        <row r="231">
          <cell r="C231">
            <v>10344</v>
          </cell>
          <cell r="F231">
            <v>1414549.3650297069</v>
          </cell>
          <cell r="H231">
            <v>0</v>
          </cell>
          <cell r="I231">
            <v>1414500</v>
          </cell>
          <cell r="J231">
            <v>10</v>
          </cell>
        </row>
        <row r="232">
          <cell r="C232">
            <v>52217</v>
          </cell>
          <cell r="F232">
            <v>2015727.5121874716</v>
          </cell>
          <cell r="H232">
            <v>0</v>
          </cell>
          <cell r="I232">
            <v>2015700</v>
          </cell>
          <cell r="J232">
            <v>11.8125</v>
          </cell>
        </row>
        <row r="233">
          <cell r="C233">
            <v>52238</v>
          </cell>
          <cell r="F233">
            <v>3891187.8216123502</v>
          </cell>
          <cell r="H233">
            <v>0</v>
          </cell>
          <cell r="I233">
            <v>3891200</v>
          </cell>
          <cell r="J233">
            <v>12</v>
          </cell>
        </row>
        <row r="234">
          <cell r="C234">
            <v>50035</v>
          </cell>
          <cell r="D234">
            <v>238455.6590907342</v>
          </cell>
          <cell r="E234">
            <v>0</v>
          </cell>
          <cell r="F234">
            <v>7659758.8849072838</v>
          </cell>
          <cell r="G234">
            <v>518595</v>
          </cell>
          <cell r="H234">
            <v>24700</v>
          </cell>
          <cell r="I234">
            <v>7116500</v>
          </cell>
          <cell r="J234">
            <v>25.791666666666668</v>
          </cell>
        </row>
        <row r="235">
          <cell r="C235">
            <v>50247</v>
          </cell>
          <cell r="D235">
            <v>28935.182144681807</v>
          </cell>
          <cell r="E235">
            <v>0</v>
          </cell>
          <cell r="F235">
            <v>7933157.98815866</v>
          </cell>
          <cell r="G235">
            <v>518595</v>
          </cell>
          <cell r="H235">
            <v>24700</v>
          </cell>
          <cell r="I235">
            <v>7389900</v>
          </cell>
          <cell r="J235">
            <v>20</v>
          </cell>
        </row>
        <row r="236">
          <cell r="C236">
            <v>50329</v>
          </cell>
          <cell r="D236">
            <v>0</v>
          </cell>
          <cell r="E236">
            <v>0</v>
          </cell>
          <cell r="F236">
            <v>8629906.5608068556</v>
          </cell>
          <cell r="G236">
            <v>518595</v>
          </cell>
          <cell r="H236">
            <v>24700</v>
          </cell>
          <cell r="I236">
            <v>8086600</v>
          </cell>
          <cell r="J236">
            <v>26</v>
          </cell>
        </row>
        <row r="237">
          <cell r="C237">
            <v>50615</v>
          </cell>
          <cell r="D237">
            <v>66541.845329830248</v>
          </cell>
          <cell r="E237">
            <v>0</v>
          </cell>
          <cell r="F237">
            <v>8510443.3342028167</v>
          </cell>
          <cell r="G237">
            <v>518595</v>
          </cell>
          <cell r="H237">
            <v>24700</v>
          </cell>
          <cell r="I237">
            <v>7967100</v>
          </cell>
          <cell r="J237">
            <v>27</v>
          </cell>
        </row>
        <row r="238">
          <cell r="C238">
            <v>50878</v>
          </cell>
          <cell r="D238">
            <v>167702.54901353974</v>
          </cell>
          <cell r="E238">
            <v>0</v>
          </cell>
          <cell r="F238">
            <v>8193738.2664209204</v>
          </cell>
          <cell r="G238">
            <v>518595</v>
          </cell>
          <cell r="H238">
            <v>24700</v>
          </cell>
          <cell r="I238">
            <v>7650400</v>
          </cell>
          <cell r="J238">
            <v>27</v>
          </cell>
        </row>
        <row r="239">
          <cell r="C239">
            <v>50965</v>
          </cell>
          <cell r="D239">
            <v>166260.20434472017</v>
          </cell>
          <cell r="E239">
            <v>0</v>
          </cell>
          <cell r="F239">
            <v>7923928.3517094292</v>
          </cell>
          <cell r="G239">
            <v>518595</v>
          </cell>
          <cell r="H239">
            <v>24700</v>
          </cell>
          <cell r="I239">
            <v>7380600</v>
          </cell>
          <cell r="J239">
            <v>25.239583333333332</v>
          </cell>
        </row>
        <row r="240">
          <cell r="C240">
            <v>51118</v>
          </cell>
          <cell r="D240">
            <v>214811.99933542678</v>
          </cell>
          <cell r="E240">
            <v>0</v>
          </cell>
          <cell r="F240">
            <v>8154412.3193014115</v>
          </cell>
          <cell r="G240">
            <v>518595</v>
          </cell>
          <cell r="H240">
            <v>24700</v>
          </cell>
          <cell r="I240">
            <v>7611100</v>
          </cell>
          <cell r="J240">
            <v>27</v>
          </cell>
        </row>
        <row r="241">
          <cell r="C241">
            <v>51120</v>
          </cell>
          <cell r="D241">
            <v>79018.555560568639</v>
          </cell>
          <cell r="E241">
            <v>0</v>
          </cell>
          <cell r="F241">
            <v>8379817.0496644489</v>
          </cell>
          <cell r="G241">
            <v>518595</v>
          </cell>
          <cell r="H241">
            <v>24700</v>
          </cell>
          <cell r="I241">
            <v>7836500</v>
          </cell>
          <cell r="J241">
            <v>27</v>
          </cell>
        </row>
        <row r="242">
          <cell r="C242">
            <v>51456</v>
          </cell>
          <cell r="D242">
            <v>252400.75120812206</v>
          </cell>
          <cell r="E242">
            <v>0</v>
          </cell>
          <cell r="F242">
            <v>7909918.7800294794</v>
          </cell>
          <cell r="G242">
            <v>518595</v>
          </cell>
          <cell r="H242">
            <v>24700</v>
          </cell>
          <cell r="I242">
            <v>7366600</v>
          </cell>
          <cell r="J242">
            <v>27</v>
          </cell>
        </row>
        <row r="243">
          <cell r="C243">
            <v>52106</v>
          </cell>
          <cell r="D243">
            <v>68805.014833842404</v>
          </cell>
          <cell r="E243">
            <v>0</v>
          </cell>
          <cell r="F243">
            <v>7417138.9651138568</v>
          </cell>
          <cell r="G243">
            <v>518595</v>
          </cell>
          <cell r="H243">
            <v>24700</v>
          </cell>
          <cell r="I243">
            <v>6873800</v>
          </cell>
          <cell r="J243">
            <v>25</v>
          </cell>
        </row>
        <row r="244">
          <cell r="C244">
            <v>52161</v>
          </cell>
          <cell r="D244">
            <v>189455.11653960752</v>
          </cell>
          <cell r="E244">
            <v>0</v>
          </cell>
          <cell r="F244">
            <v>7368772.1311504086</v>
          </cell>
          <cell r="G244">
            <v>518595</v>
          </cell>
          <cell r="H244">
            <v>24700</v>
          </cell>
          <cell r="I244">
            <v>6825500</v>
          </cell>
          <cell r="J244">
            <v>26</v>
          </cell>
        </row>
        <row r="245">
          <cell r="C245">
            <v>52205</v>
          </cell>
          <cell r="D245">
            <v>0</v>
          </cell>
          <cell r="E245">
            <v>0</v>
          </cell>
          <cell r="F245">
            <v>8269201.3480935413</v>
          </cell>
          <cell r="G245">
            <v>518595</v>
          </cell>
          <cell r="H245">
            <v>24700</v>
          </cell>
          <cell r="I245">
            <v>7725900</v>
          </cell>
          <cell r="J245">
            <v>22.885416666666668</v>
          </cell>
        </row>
        <row r="246">
          <cell r="C246">
            <v>52234</v>
          </cell>
          <cell r="D246">
            <v>166633.43608111667</v>
          </cell>
          <cell r="E246">
            <v>0</v>
          </cell>
          <cell r="F246">
            <v>8039078.0571412677</v>
          </cell>
          <cell r="G246">
            <v>518595</v>
          </cell>
          <cell r="H246">
            <v>24700</v>
          </cell>
          <cell r="I246">
            <v>7495800</v>
          </cell>
          <cell r="J246">
            <v>27</v>
          </cell>
        </row>
        <row r="247">
          <cell r="C247">
            <v>10368</v>
          </cell>
          <cell r="D247">
            <v>246236.96109686937</v>
          </cell>
          <cell r="E247">
            <v>-244800</v>
          </cell>
          <cell r="F247">
            <v>5526204.7417093925</v>
          </cell>
          <cell r="H247">
            <v>0</v>
          </cell>
          <cell r="I247">
            <v>5526200</v>
          </cell>
          <cell r="J247">
            <v>25</v>
          </cell>
        </row>
        <row r="248">
          <cell r="C248">
            <v>10267</v>
          </cell>
          <cell r="D248">
            <v>103847.85803836479</v>
          </cell>
          <cell r="E248">
            <v>-612000</v>
          </cell>
          <cell r="F248">
            <v>4452945.3681925973</v>
          </cell>
          <cell r="H248">
            <v>0</v>
          </cell>
          <cell r="I248">
            <v>4452900</v>
          </cell>
          <cell r="J248">
            <v>18</v>
          </cell>
        </row>
        <row r="249">
          <cell r="C249">
            <v>10237</v>
          </cell>
          <cell r="D249">
            <v>30724.665915368707</v>
          </cell>
          <cell r="E249">
            <v>0</v>
          </cell>
          <cell r="F249">
            <v>7687623.1176385107</v>
          </cell>
          <cell r="H249">
            <v>0</v>
          </cell>
          <cell r="I249">
            <v>7687600</v>
          </cell>
          <cell r="J249">
            <v>27</v>
          </cell>
        </row>
        <row r="250">
          <cell r="C250">
            <v>50014</v>
          </cell>
          <cell r="D250">
            <v>0</v>
          </cell>
          <cell r="E250">
            <v>0</v>
          </cell>
          <cell r="F250">
            <v>9757225.9418856651</v>
          </cell>
          <cell r="G250">
            <v>518595</v>
          </cell>
          <cell r="H250">
            <v>24700</v>
          </cell>
          <cell r="I250">
            <v>9213900</v>
          </cell>
          <cell r="J250">
            <v>26.927083333333332</v>
          </cell>
        </row>
        <row r="251">
          <cell r="C251">
            <v>50139</v>
          </cell>
          <cell r="D251">
            <v>0</v>
          </cell>
          <cell r="E251">
            <v>0</v>
          </cell>
          <cell r="F251">
            <v>9338646.1488553956</v>
          </cell>
          <cell r="G251">
            <v>518595</v>
          </cell>
          <cell r="H251">
            <v>24700</v>
          </cell>
          <cell r="I251">
            <v>8795400</v>
          </cell>
          <cell r="J251">
            <v>27</v>
          </cell>
        </row>
        <row r="252">
          <cell r="C252">
            <v>50148</v>
          </cell>
          <cell r="D252">
            <v>0</v>
          </cell>
          <cell r="E252">
            <v>0</v>
          </cell>
          <cell r="F252">
            <v>9626125.3805572055</v>
          </cell>
          <cell r="G252">
            <v>518595</v>
          </cell>
          <cell r="H252">
            <v>24700</v>
          </cell>
          <cell r="I252">
            <v>9082800</v>
          </cell>
          <cell r="J252">
            <v>27</v>
          </cell>
        </row>
        <row r="253">
          <cell r="C253">
            <v>50787</v>
          </cell>
          <cell r="D253">
            <v>0</v>
          </cell>
          <cell r="E253">
            <v>0</v>
          </cell>
          <cell r="F253">
            <v>10240027.599458631</v>
          </cell>
          <cell r="G253">
            <v>518595</v>
          </cell>
          <cell r="H253">
            <v>24700</v>
          </cell>
          <cell r="I253">
            <v>9696700</v>
          </cell>
          <cell r="J253">
            <v>26.875</v>
          </cell>
        </row>
        <row r="254">
          <cell r="C254">
            <v>50883</v>
          </cell>
          <cell r="D254">
            <v>0</v>
          </cell>
          <cell r="E254">
            <v>0</v>
          </cell>
          <cell r="F254">
            <v>9654856.64725703</v>
          </cell>
          <cell r="G254">
            <v>518595</v>
          </cell>
          <cell r="H254">
            <v>24700</v>
          </cell>
          <cell r="I254">
            <v>9111600</v>
          </cell>
          <cell r="J254">
            <v>27</v>
          </cell>
        </row>
        <row r="255">
          <cell r="C255">
            <v>50892</v>
          </cell>
          <cell r="D255">
            <v>0</v>
          </cell>
          <cell r="E255">
            <v>-255000</v>
          </cell>
          <cell r="F255">
            <v>9241860.2018820141</v>
          </cell>
          <cell r="G255">
            <v>518595</v>
          </cell>
          <cell r="H255">
            <v>24700</v>
          </cell>
          <cell r="I255">
            <v>8698600</v>
          </cell>
          <cell r="J255">
            <v>26</v>
          </cell>
        </row>
        <row r="256">
          <cell r="C256">
            <v>51152</v>
          </cell>
          <cell r="D256">
            <v>291261.6057221886</v>
          </cell>
          <cell r="E256">
            <v>0</v>
          </cell>
          <cell r="F256">
            <v>7873275.158794974</v>
          </cell>
          <cell r="G256">
            <v>518595</v>
          </cell>
          <cell r="H256">
            <v>24700</v>
          </cell>
          <cell r="I256">
            <v>7330000</v>
          </cell>
          <cell r="J256">
            <v>27</v>
          </cell>
        </row>
        <row r="257">
          <cell r="C257">
            <v>51223</v>
          </cell>
          <cell r="D257">
            <v>131573.69295063842</v>
          </cell>
          <cell r="E257">
            <v>-265200</v>
          </cell>
          <cell r="F257">
            <v>8239701.7576865461</v>
          </cell>
          <cell r="G257">
            <v>518595</v>
          </cell>
          <cell r="H257">
            <v>24700</v>
          </cell>
          <cell r="I257">
            <v>7696400</v>
          </cell>
          <cell r="J257">
            <v>27</v>
          </cell>
        </row>
        <row r="258">
          <cell r="C258">
            <v>51334</v>
          </cell>
          <cell r="D258">
            <v>4535.3728547783103</v>
          </cell>
          <cell r="E258">
            <v>-265200</v>
          </cell>
          <cell r="F258">
            <v>8479737.8718202803</v>
          </cell>
          <cell r="G258">
            <v>518595</v>
          </cell>
          <cell r="H258">
            <v>24700</v>
          </cell>
          <cell r="I258">
            <v>7936400</v>
          </cell>
          <cell r="J258">
            <v>27</v>
          </cell>
        </row>
        <row r="259">
          <cell r="C259">
            <v>51668</v>
          </cell>
          <cell r="D259">
            <v>0</v>
          </cell>
          <cell r="E259">
            <v>0</v>
          </cell>
          <cell r="F259">
            <v>11234422.418180527</v>
          </cell>
          <cell r="G259">
            <v>518595</v>
          </cell>
          <cell r="H259">
            <v>24700</v>
          </cell>
          <cell r="I259">
            <v>10691100</v>
          </cell>
          <cell r="J259">
            <v>26</v>
          </cell>
        </row>
        <row r="260">
          <cell r="C260">
            <v>51828</v>
          </cell>
          <cell r="D260">
            <v>0</v>
          </cell>
          <cell r="E260">
            <v>-255000</v>
          </cell>
          <cell r="F260">
            <v>8361171.558267558</v>
          </cell>
          <cell r="G260">
            <v>518595</v>
          </cell>
          <cell r="H260">
            <v>24700</v>
          </cell>
          <cell r="I260">
            <v>7817900</v>
          </cell>
          <cell r="J260">
            <v>26</v>
          </cell>
        </row>
        <row r="261">
          <cell r="C261">
            <v>51920</v>
          </cell>
          <cell r="D261">
            <v>0</v>
          </cell>
          <cell r="E261">
            <v>0</v>
          </cell>
          <cell r="F261">
            <v>9976332.053054044</v>
          </cell>
          <cell r="G261">
            <v>518595</v>
          </cell>
          <cell r="H261">
            <v>24700</v>
          </cell>
          <cell r="I261">
            <v>9433000</v>
          </cell>
          <cell r="J261">
            <v>26.9375</v>
          </cell>
        </row>
        <row r="262">
          <cell r="C262">
            <v>51941</v>
          </cell>
          <cell r="D262">
            <v>2162.6665871398291</v>
          </cell>
          <cell r="E262">
            <v>0</v>
          </cell>
          <cell r="F262">
            <v>8521646.0146616586</v>
          </cell>
          <cell r="G262">
            <v>518595</v>
          </cell>
          <cell r="H262">
            <v>24700</v>
          </cell>
          <cell r="I262">
            <v>7978400</v>
          </cell>
          <cell r="J262">
            <v>27</v>
          </cell>
        </row>
        <row r="263">
          <cell r="C263">
            <v>52189</v>
          </cell>
          <cell r="D263">
            <v>0</v>
          </cell>
          <cell r="E263">
            <v>0</v>
          </cell>
          <cell r="F263">
            <v>8806462.7578616161</v>
          </cell>
          <cell r="G263">
            <v>518595</v>
          </cell>
          <cell r="H263">
            <v>24700</v>
          </cell>
          <cell r="I263">
            <v>8263200</v>
          </cell>
          <cell r="J263">
            <v>26.672916666666666</v>
          </cell>
        </row>
        <row r="264">
          <cell r="C264">
            <v>10367</v>
          </cell>
          <cell r="D264">
            <v>15043.035738121253</v>
          </cell>
          <cell r="E264">
            <v>-244800</v>
          </cell>
          <cell r="F264">
            <v>6363943.2485548668</v>
          </cell>
          <cell r="H264">
            <v>0</v>
          </cell>
          <cell r="I264">
            <v>6363900</v>
          </cell>
          <cell r="J264">
            <v>25</v>
          </cell>
        </row>
        <row r="265">
          <cell r="C265">
            <v>10351</v>
          </cell>
          <cell r="D265">
            <v>244909.05413639633</v>
          </cell>
          <cell r="E265">
            <v>-244800</v>
          </cell>
          <cell r="F265">
            <v>5727698.7991292719</v>
          </cell>
          <cell r="H265">
            <v>0</v>
          </cell>
          <cell r="I265">
            <v>5727700</v>
          </cell>
          <cell r="J265">
            <v>25</v>
          </cell>
        </row>
        <row r="266">
          <cell r="C266">
            <v>50063</v>
          </cell>
          <cell r="D266">
            <v>0</v>
          </cell>
          <cell r="E266">
            <v>0</v>
          </cell>
          <cell r="F266">
            <v>9773396.8628187254</v>
          </cell>
          <cell r="G266">
            <v>518595</v>
          </cell>
          <cell r="H266">
            <v>24700</v>
          </cell>
          <cell r="I266">
            <v>9230100</v>
          </cell>
          <cell r="J266">
            <v>27</v>
          </cell>
        </row>
        <row r="267">
          <cell r="C267">
            <v>50137</v>
          </cell>
          <cell r="D267">
            <v>278114.53232086002</v>
          </cell>
          <cell r="E267">
            <v>0</v>
          </cell>
          <cell r="F267">
            <v>7130843.3886143425</v>
          </cell>
          <cell r="G267">
            <v>518595</v>
          </cell>
          <cell r="H267">
            <v>24700</v>
          </cell>
          <cell r="I267">
            <v>6587500</v>
          </cell>
          <cell r="J267">
            <v>21.9375</v>
          </cell>
        </row>
        <row r="268">
          <cell r="C268">
            <v>50863</v>
          </cell>
          <cell r="D268">
            <v>0</v>
          </cell>
          <cell r="E268">
            <v>0</v>
          </cell>
          <cell r="F268">
            <v>9339484.7391187362</v>
          </cell>
          <cell r="G268">
            <v>518595</v>
          </cell>
          <cell r="H268">
            <v>24700</v>
          </cell>
          <cell r="I268">
            <v>8796200</v>
          </cell>
          <cell r="J268">
            <v>26.854166666666668</v>
          </cell>
        </row>
        <row r="269">
          <cell r="C269">
            <v>51062</v>
          </cell>
          <cell r="D269">
            <v>269524.83665062522</v>
          </cell>
          <cell r="E269">
            <v>0</v>
          </cell>
          <cell r="F269">
            <v>8025628.1342788935</v>
          </cell>
          <cell r="G269">
            <v>518595</v>
          </cell>
          <cell r="H269">
            <v>24700</v>
          </cell>
          <cell r="I269">
            <v>7482300</v>
          </cell>
          <cell r="J269">
            <v>26</v>
          </cell>
        </row>
        <row r="270">
          <cell r="C270">
            <v>51694</v>
          </cell>
          <cell r="D270">
            <v>193809.38975415769</v>
          </cell>
          <cell r="E270">
            <v>0</v>
          </cell>
          <cell r="F270">
            <v>7890752.2297759876</v>
          </cell>
          <cell r="G270">
            <v>518595</v>
          </cell>
          <cell r="H270">
            <v>24700</v>
          </cell>
          <cell r="I270">
            <v>7347500</v>
          </cell>
          <cell r="J270">
            <v>26.3125</v>
          </cell>
        </row>
        <row r="271">
          <cell r="C271">
            <v>51823</v>
          </cell>
          <cell r="D271">
            <v>188186.46788782917</v>
          </cell>
          <cell r="E271">
            <v>-255000</v>
          </cell>
          <cell r="F271">
            <v>7212563.7934518969</v>
          </cell>
          <cell r="G271">
            <v>518595</v>
          </cell>
          <cell r="H271">
            <v>24700</v>
          </cell>
          <cell r="I271">
            <v>6669300</v>
          </cell>
          <cell r="J271">
            <v>26</v>
          </cell>
        </row>
        <row r="272">
          <cell r="C272">
            <v>51962</v>
          </cell>
          <cell r="D272">
            <v>329685.68118886155</v>
          </cell>
          <cell r="E272">
            <v>-255000</v>
          </cell>
          <cell r="F272">
            <v>6286431.7785488022</v>
          </cell>
          <cell r="G272">
            <v>518595</v>
          </cell>
          <cell r="H272">
            <v>24700</v>
          </cell>
          <cell r="I272">
            <v>5743100</v>
          </cell>
          <cell r="J272">
            <v>26</v>
          </cell>
        </row>
        <row r="273">
          <cell r="C273">
            <v>51974</v>
          </cell>
          <cell r="D273">
            <v>0</v>
          </cell>
          <cell r="E273">
            <v>0</v>
          </cell>
          <cell r="F273">
            <v>8788760.8145496454</v>
          </cell>
          <cell r="G273">
            <v>518595</v>
          </cell>
          <cell r="H273">
            <v>24700</v>
          </cell>
          <cell r="I273">
            <v>8245500</v>
          </cell>
          <cell r="J273">
            <v>26.405999999999999</v>
          </cell>
        </row>
        <row r="274">
          <cell r="C274">
            <v>51978</v>
          </cell>
          <cell r="D274">
            <v>0</v>
          </cell>
          <cell r="E274">
            <v>-244800</v>
          </cell>
          <cell r="F274">
            <v>7997088.3019283824</v>
          </cell>
          <cell r="G274">
            <v>518595</v>
          </cell>
          <cell r="H274">
            <v>24700</v>
          </cell>
          <cell r="I274">
            <v>7453800</v>
          </cell>
          <cell r="J274">
            <v>25</v>
          </cell>
        </row>
        <row r="275">
          <cell r="C275">
            <v>52000</v>
          </cell>
          <cell r="D275">
            <v>198794.6189431058</v>
          </cell>
          <cell r="E275">
            <v>-241931.25</v>
          </cell>
          <cell r="F275">
            <v>6779076.2200937606</v>
          </cell>
          <cell r="G275">
            <v>518595</v>
          </cell>
          <cell r="H275">
            <v>24700</v>
          </cell>
          <cell r="I275">
            <v>6235800</v>
          </cell>
          <cell r="J275">
            <v>23.71875</v>
          </cell>
        </row>
        <row r="276">
          <cell r="C276">
            <v>52009</v>
          </cell>
          <cell r="D276">
            <v>119906.26977885602</v>
          </cell>
          <cell r="E276">
            <v>-680000</v>
          </cell>
          <cell r="F276">
            <v>5304005.5897018947</v>
          </cell>
          <cell r="G276">
            <v>518595</v>
          </cell>
          <cell r="H276">
            <v>24700</v>
          </cell>
          <cell r="I276">
            <v>4760700</v>
          </cell>
          <cell r="J276">
            <v>20</v>
          </cell>
        </row>
        <row r="277">
          <cell r="C277">
            <v>52043</v>
          </cell>
          <cell r="D277">
            <v>40517.270211425319</v>
          </cell>
          <cell r="E277">
            <v>0</v>
          </cell>
          <cell r="F277">
            <v>7521779.0547503401</v>
          </cell>
          <cell r="G277">
            <v>518595</v>
          </cell>
          <cell r="H277">
            <v>24700</v>
          </cell>
          <cell r="I277">
            <v>6978500</v>
          </cell>
          <cell r="J277">
            <v>23.375</v>
          </cell>
        </row>
        <row r="278">
          <cell r="C278">
            <v>52112</v>
          </cell>
          <cell r="D278">
            <v>187108.27056419029</v>
          </cell>
          <cell r="E278">
            <v>0</v>
          </cell>
          <cell r="F278">
            <v>8322624.4671535827</v>
          </cell>
          <cell r="G278">
            <v>518595</v>
          </cell>
          <cell r="H278">
            <v>24700</v>
          </cell>
          <cell r="I278">
            <v>7779300</v>
          </cell>
          <cell r="J278">
            <v>27</v>
          </cell>
        </row>
        <row r="279">
          <cell r="C279">
            <v>52139</v>
          </cell>
          <cell r="D279">
            <v>0</v>
          </cell>
          <cell r="E279">
            <v>0</v>
          </cell>
          <cell r="F279">
            <v>9447562.0361893419</v>
          </cell>
          <cell r="G279">
            <v>518595</v>
          </cell>
          <cell r="H279">
            <v>24700</v>
          </cell>
          <cell r="I279">
            <v>8904300</v>
          </cell>
          <cell r="J279">
            <v>26</v>
          </cell>
        </row>
        <row r="280">
          <cell r="C280">
            <v>52147</v>
          </cell>
          <cell r="D280">
            <v>0</v>
          </cell>
          <cell r="E280">
            <v>0</v>
          </cell>
          <cell r="F280">
            <v>8460615.8337671198</v>
          </cell>
          <cell r="G280">
            <v>518595</v>
          </cell>
          <cell r="H280">
            <v>24700</v>
          </cell>
          <cell r="I280">
            <v>7917300</v>
          </cell>
          <cell r="J280">
            <v>24.577083333333334</v>
          </cell>
        </row>
        <row r="281">
          <cell r="C281">
            <v>52177</v>
          </cell>
          <cell r="D281">
            <v>0</v>
          </cell>
          <cell r="E281">
            <v>0</v>
          </cell>
          <cell r="F281">
            <v>8270766.7566117812</v>
          </cell>
          <cell r="G281">
            <v>518595</v>
          </cell>
          <cell r="H281">
            <v>24700</v>
          </cell>
          <cell r="I281">
            <v>7727500</v>
          </cell>
          <cell r="J281">
            <v>24.3245</v>
          </cell>
        </row>
        <row r="282">
          <cell r="C282">
            <v>10213</v>
          </cell>
          <cell r="D282">
            <v>0</v>
          </cell>
          <cell r="E282">
            <v>0</v>
          </cell>
          <cell r="F282">
            <v>8086905.7306395415</v>
          </cell>
          <cell r="H282">
            <v>0</v>
          </cell>
          <cell r="I282">
            <v>8086900</v>
          </cell>
          <cell r="J282">
            <v>27</v>
          </cell>
        </row>
        <row r="283">
          <cell r="C283">
            <v>50034</v>
          </cell>
          <cell r="D283">
            <v>0</v>
          </cell>
          <cell r="E283">
            <v>0</v>
          </cell>
          <cell r="F283">
            <v>9733149.1014176905</v>
          </cell>
          <cell r="G283">
            <v>518595</v>
          </cell>
          <cell r="H283">
            <v>24700</v>
          </cell>
          <cell r="I283">
            <v>9189900</v>
          </cell>
          <cell r="J283">
            <v>27</v>
          </cell>
        </row>
        <row r="284">
          <cell r="C284">
            <v>50265</v>
          </cell>
          <cell r="D284">
            <v>0</v>
          </cell>
          <cell r="E284">
            <v>0</v>
          </cell>
          <cell r="F284">
            <v>9281379.9411961343</v>
          </cell>
          <cell r="G284">
            <v>518595</v>
          </cell>
          <cell r="H284">
            <v>24700</v>
          </cell>
          <cell r="I284">
            <v>8738100</v>
          </cell>
          <cell r="J284">
            <v>26.364583333333332</v>
          </cell>
        </row>
        <row r="285">
          <cell r="C285">
            <v>50292</v>
          </cell>
          <cell r="D285">
            <v>0</v>
          </cell>
          <cell r="E285">
            <v>-680000</v>
          </cell>
          <cell r="F285">
            <v>6896549.0174066629</v>
          </cell>
          <cell r="G285">
            <v>518595</v>
          </cell>
          <cell r="H285">
            <v>24700</v>
          </cell>
          <cell r="I285">
            <v>6353300</v>
          </cell>
          <cell r="J285">
            <v>21</v>
          </cell>
        </row>
        <row r="286">
          <cell r="C286">
            <v>51923</v>
          </cell>
          <cell r="D286">
            <v>2426.2028064540937</v>
          </cell>
          <cell r="E286">
            <v>0</v>
          </cell>
          <cell r="F286">
            <v>8376566.9348498695</v>
          </cell>
          <cell r="G286">
            <v>518595</v>
          </cell>
          <cell r="H286">
            <v>24700</v>
          </cell>
          <cell r="I286">
            <v>7833300</v>
          </cell>
          <cell r="J286">
            <v>25.975000000000001</v>
          </cell>
        </row>
        <row r="287">
          <cell r="C287">
            <v>51981</v>
          </cell>
          <cell r="D287">
            <v>283922.81857776706</v>
          </cell>
          <cell r="E287">
            <v>0</v>
          </cell>
          <cell r="F287">
            <v>7571723.2718308028</v>
          </cell>
          <cell r="G287">
            <v>518595</v>
          </cell>
          <cell r="H287">
            <v>24700</v>
          </cell>
          <cell r="I287">
            <v>7028400</v>
          </cell>
          <cell r="J287">
            <v>24.885416666666668</v>
          </cell>
        </row>
        <row r="288">
          <cell r="C288">
            <v>52054</v>
          </cell>
          <cell r="D288">
            <v>90190.630174872262</v>
          </cell>
          <cell r="E288">
            <v>-340000</v>
          </cell>
          <cell r="F288">
            <v>2600602.989283076</v>
          </cell>
          <cell r="G288">
            <v>0</v>
          </cell>
          <cell r="H288">
            <v>24700</v>
          </cell>
          <cell r="I288">
            <v>2575900</v>
          </cell>
          <cell r="J288">
            <v>10</v>
          </cell>
        </row>
        <row r="289">
          <cell r="C289">
            <v>52072</v>
          </cell>
          <cell r="D289">
            <v>0</v>
          </cell>
          <cell r="E289">
            <v>0</v>
          </cell>
          <cell r="F289">
            <v>8709930.1430937666</v>
          </cell>
          <cell r="G289">
            <v>518595</v>
          </cell>
          <cell r="H289">
            <v>24700</v>
          </cell>
          <cell r="I289">
            <v>8166600</v>
          </cell>
          <cell r="J289">
            <v>25.8125</v>
          </cell>
        </row>
        <row r="290">
          <cell r="C290">
            <v>52211</v>
          </cell>
          <cell r="D290">
            <v>20267.816731235827</v>
          </cell>
          <cell r="E290">
            <v>0</v>
          </cell>
          <cell r="F290">
            <v>8053184.1203191131</v>
          </cell>
          <cell r="G290">
            <v>518595</v>
          </cell>
          <cell r="H290">
            <v>24700</v>
          </cell>
          <cell r="I290">
            <v>7509900</v>
          </cell>
          <cell r="J290">
            <v>25.583333333333332</v>
          </cell>
        </row>
        <row r="291">
          <cell r="C291">
            <v>10349</v>
          </cell>
          <cell r="D291">
            <v>175256.88439012383</v>
          </cell>
          <cell r="E291">
            <v>0</v>
          </cell>
          <cell r="F291">
            <v>7579402.1833680896</v>
          </cell>
          <cell r="H291">
            <v>0</v>
          </cell>
          <cell r="I291">
            <v>7579400</v>
          </cell>
          <cell r="J291">
            <v>27</v>
          </cell>
        </row>
        <row r="292">
          <cell r="C292">
            <v>50046</v>
          </cell>
          <cell r="D292">
            <v>0</v>
          </cell>
          <cell r="E292">
            <v>-244800</v>
          </cell>
          <cell r="F292">
            <v>7499635.9799277782</v>
          </cell>
          <cell r="G292">
            <v>518595</v>
          </cell>
          <cell r="H292">
            <v>24700</v>
          </cell>
          <cell r="I292">
            <v>6956300</v>
          </cell>
          <cell r="J292">
            <v>24</v>
          </cell>
        </row>
        <row r="293">
          <cell r="C293">
            <v>50138</v>
          </cell>
          <cell r="D293">
            <v>0</v>
          </cell>
          <cell r="E293">
            <v>0</v>
          </cell>
          <cell r="F293">
            <v>8816205.1368907727</v>
          </cell>
          <cell r="G293">
            <v>518595</v>
          </cell>
          <cell r="H293">
            <v>24700</v>
          </cell>
          <cell r="I293">
            <v>8272900</v>
          </cell>
          <cell r="J293">
            <v>26.979166666666668</v>
          </cell>
        </row>
        <row r="294">
          <cell r="C294">
            <v>50394</v>
          </cell>
          <cell r="D294">
            <v>0</v>
          </cell>
          <cell r="E294">
            <v>0</v>
          </cell>
          <cell r="F294">
            <v>8731598.185791282</v>
          </cell>
          <cell r="G294">
            <v>518595</v>
          </cell>
          <cell r="H294">
            <v>24700</v>
          </cell>
          <cell r="I294">
            <v>8188300</v>
          </cell>
          <cell r="J294">
            <v>26.8125</v>
          </cell>
        </row>
        <row r="295">
          <cell r="C295">
            <v>50628</v>
          </cell>
          <cell r="D295">
            <v>0</v>
          </cell>
          <cell r="E295">
            <v>-578000</v>
          </cell>
          <cell r="F295">
            <v>4895828.7807957791</v>
          </cell>
          <cell r="G295">
            <v>518595</v>
          </cell>
          <cell r="H295">
            <v>24700</v>
          </cell>
          <cell r="I295">
            <v>4352500</v>
          </cell>
          <cell r="J295">
            <v>17</v>
          </cell>
        </row>
        <row r="296">
          <cell r="C296">
            <v>50788</v>
          </cell>
          <cell r="D296">
            <v>0</v>
          </cell>
          <cell r="E296">
            <v>0</v>
          </cell>
          <cell r="F296">
            <v>9001869.7952226475</v>
          </cell>
          <cell r="G296">
            <v>518595</v>
          </cell>
          <cell r="H296">
            <v>24700</v>
          </cell>
          <cell r="I296">
            <v>8458600</v>
          </cell>
          <cell r="J296">
            <v>27</v>
          </cell>
        </row>
        <row r="297">
          <cell r="C297">
            <v>50998</v>
          </cell>
          <cell r="D297">
            <v>0</v>
          </cell>
          <cell r="E297">
            <v>0</v>
          </cell>
          <cell r="F297">
            <v>8682320.9233931229</v>
          </cell>
          <cell r="G297">
            <v>518595</v>
          </cell>
          <cell r="H297">
            <v>24700</v>
          </cell>
          <cell r="I297">
            <v>8139000</v>
          </cell>
          <cell r="J297">
            <v>27</v>
          </cell>
        </row>
        <row r="298">
          <cell r="C298">
            <v>51264</v>
          </cell>
          <cell r="D298">
            <v>8611.5146794872126</v>
          </cell>
          <cell r="E298">
            <v>-680000</v>
          </cell>
          <cell r="F298">
            <v>5364373.1482692314</v>
          </cell>
          <cell r="G298">
            <v>518595</v>
          </cell>
          <cell r="H298">
            <v>24700</v>
          </cell>
          <cell r="I298">
            <v>4821100</v>
          </cell>
          <cell r="J298">
            <v>21</v>
          </cell>
        </row>
        <row r="299">
          <cell r="C299">
            <v>51440</v>
          </cell>
          <cell r="D299">
            <v>0</v>
          </cell>
          <cell r="E299">
            <v>0</v>
          </cell>
          <cell r="F299">
            <v>9621169.4081728309</v>
          </cell>
          <cell r="G299">
            <v>518595</v>
          </cell>
          <cell r="H299">
            <v>24700</v>
          </cell>
          <cell r="I299">
            <v>9077900</v>
          </cell>
          <cell r="J299">
            <v>25.854166666666668</v>
          </cell>
        </row>
        <row r="300">
          <cell r="C300">
            <v>51548</v>
          </cell>
          <cell r="D300">
            <v>239569.78839643061</v>
          </cell>
          <cell r="E300">
            <v>0</v>
          </cell>
          <cell r="F300">
            <v>7080303.0675030174</v>
          </cell>
          <cell r="G300">
            <v>518595</v>
          </cell>
          <cell r="H300">
            <v>24700</v>
          </cell>
          <cell r="I300">
            <v>6537000</v>
          </cell>
          <cell r="J300">
            <v>25.1875</v>
          </cell>
        </row>
        <row r="301">
          <cell r="C301">
            <v>51586</v>
          </cell>
          <cell r="D301">
            <v>73431.697935941687</v>
          </cell>
          <cell r="E301">
            <v>0</v>
          </cell>
          <cell r="F301">
            <v>7978945.0408075592</v>
          </cell>
          <cell r="G301">
            <v>518595</v>
          </cell>
          <cell r="H301">
            <v>24700</v>
          </cell>
          <cell r="I301">
            <v>7435700</v>
          </cell>
          <cell r="J301">
            <v>26.5</v>
          </cell>
        </row>
        <row r="302">
          <cell r="C302">
            <v>51707</v>
          </cell>
          <cell r="D302">
            <v>0</v>
          </cell>
          <cell r="E302">
            <v>0</v>
          </cell>
          <cell r="F302">
            <v>9604772.1528394409</v>
          </cell>
          <cell r="G302">
            <v>518595</v>
          </cell>
          <cell r="H302">
            <v>24700</v>
          </cell>
          <cell r="I302">
            <v>9061500</v>
          </cell>
          <cell r="J302">
            <v>26.739583333333332</v>
          </cell>
        </row>
        <row r="303">
          <cell r="C303">
            <v>51742</v>
          </cell>
          <cell r="D303">
            <v>0</v>
          </cell>
          <cell r="E303">
            <v>0</v>
          </cell>
          <cell r="F303">
            <v>8693239.1651190314</v>
          </cell>
          <cell r="G303">
            <v>518595</v>
          </cell>
          <cell r="H303">
            <v>24700</v>
          </cell>
          <cell r="I303">
            <v>8149900</v>
          </cell>
          <cell r="J303">
            <v>26.8125</v>
          </cell>
        </row>
        <row r="304">
          <cell r="C304">
            <v>52041</v>
          </cell>
          <cell r="D304">
            <v>66960.767232369864</v>
          </cell>
          <cell r="E304">
            <v>-255000</v>
          </cell>
          <cell r="F304">
            <v>7982491.1796647217</v>
          </cell>
          <cell r="G304">
            <v>518595</v>
          </cell>
          <cell r="H304">
            <v>24700</v>
          </cell>
          <cell r="I304">
            <v>7439200</v>
          </cell>
          <cell r="J304">
            <v>26</v>
          </cell>
        </row>
        <row r="305">
          <cell r="C305">
            <v>10369</v>
          </cell>
          <cell r="D305">
            <v>0</v>
          </cell>
          <cell r="E305">
            <v>-255000</v>
          </cell>
          <cell r="F305">
            <v>6879843.3144856188</v>
          </cell>
          <cell r="H305">
            <v>0</v>
          </cell>
          <cell r="I305">
            <v>6879800</v>
          </cell>
          <cell r="J305">
            <v>25.984999999999999</v>
          </cell>
        </row>
        <row r="306">
          <cell r="C306">
            <v>10308</v>
          </cell>
          <cell r="D306">
            <v>116507.85200472345</v>
          </cell>
          <cell r="E306">
            <v>0</v>
          </cell>
          <cell r="F306">
            <v>7127412.742062754</v>
          </cell>
          <cell r="H306">
            <v>0</v>
          </cell>
          <cell r="I306">
            <v>7127400</v>
          </cell>
          <cell r="J306">
            <v>27</v>
          </cell>
        </row>
        <row r="307">
          <cell r="C307">
            <v>10217</v>
          </cell>
          <cell r="D307">
            <v>0</v>
          </cell>
          <cell r="E307">
            <v>0</v>
          </cell>
          <cell r="F307">
            <v>8257812.0974800671</v>
          </cell>
          <cell r="H307">
            <v>0</v>
          </cell>
          <cell r="I307">
            <v>8257800</v>
          </cell>
          <cell r="J307">
            <v>27</v>
          </cell>
        </row>
        <row r="308">
          <cell r="C308">
            <v>10198</v>
          </cell>
          <cell r="D308">
            <v>233782.28303726966</v>
          </cell>
          <cell r="E308">
            <v>0</v>
          </cell>
          <cell r="F308">
            <v>5750310.6028112685</v>
          </cell>
          <cell r="H308">
            <v>0</v>
          </cell>
          <cell r="I308">
            <v>5750300</v>
          </cell>
          <cell r="J308">
            <v>25</v>
          </cell>
        </row>
        <row r="309">
          <cell r="C309">
            <v>50258</v>
          </cell>
          <cell r="D309">
            <v>5752.8432109768037</v>
          </cell>
          <cell r="E309">
            <v>0</v>
          </cell>
          <cell r="F309">
            <v>10071744.549454357</v>
          </cell>
          <cell r="G309">
            <v>518595</v>
          </cell>
          <cell r="H309">
            <v>24700</v>
          </cell>
          <cell r="I309">
            <v>9528400</v>
          </cell>
          <cell r="J309">
            <v>27</v>
          </cell>
        </row>
        <row r="310">
          <cell r="C310">
            <v>50343</v>
          </cell>
          <cell r="D310">
            <v>112425.80829113856</v>
          </cell>
          <cell r="E310">
            <v>-244800</v>
          </cell>
          <cell r="F310">
            <v>7550032.1905111987</v>
          </cell>
          <cell r="G310">
            <v>518595</v>
          </cell>
          <cell r="H310">
            <v>24700</v>
          </cell>
          <cell r="I310">
            <v>7006700</v>
          </cell>
          <cell r="J310">
            <v>25</v>
          </cell>
        </row>
        <row r="311">
          <cell r="C311">
            <v>50427</v>
          </cell>
          <cell r="D311">
            <v>237753.38026737917</v>
          </cell>
          <cell r="E311">
            <v>0</v>
          </cell>
          <cell r="F311">
            <v>8453480.0034286324</v>
          </cell>
          <cell r="G311">
            <v>518595</v>
          </cell>
          <cell r="H311">
            <v>24700</v>
          </cell>
          <cell r="I311">
            <v>7910200</v>
          </cell>
          <cell r="J311">
            <v>26.9375</v>
          </cell>
        </row>
        <row r="312">
          <cell r="C312">
            <v>50697</v>
          </cell>
          <cell r="D312">
            <v>0</v>
          </cell>
          <cell r="E312">
            <v>0</v>
          </cell>
          <cell r="F312">
            <v>9608733.9011946358</v>
          </cell>
          <cell r="G312">
            <v>518595</v>
          </cell>
          <cell r="H312">
            <v>24700</v>
          </cell>
          <cell r="I312">
            <v>9065400</v>
          </cell>
          <cell r="J312">
            <v>26</v>
          </cell>
        </row>
        <row r="313">
          <cell r="C313">
            <v>50783</v>
          </cell>
          <cell r="D313">
            <v>95820.103661285015</v>
          </cell>
          <cell r="E313">
            <v>0</v>
          </cell>
          <cell r="F313">
            <v>8798174.1842084546</v>
          </cell>
          <cell r="G313">
            <v>518595</v>
          </cell>
          <cell r="H313">
            <v>24700</v>
          </cell>
          <cell r="I313">
            <v>8254900</v>
          </cell>
          <cell r="J313">
            <v>27</v>
          </cell>
        </row>
        <row r="314">
          <cell r="C314">
            <v>51343</v>
          </cell>
          <cell r="D314">
            <v>0</v>
          </cell>
          <cell r="E314">
            <v>0</v>
          </cell>
          <cell r="F314">
            <v>9806268.3162527233</v>
          </cell>
          <cell r="G314">
            <v>518595</v>
          </cell>
          <cell r="H314">
            <v>24700</v>
          </cell>
          <cell r="I314">
            <v>9263000</v>
          </cell>
          <cell r="J314">
            <v>26.905999999999999</v>
          </cell>
        </row>
        <row r="315">
          <cell r="C315">
            <v>51474</v>
          </cell>
          <cell r="D315">
            <v>151896.65131660312</v>
          </cell>
          <cell r="E315">
            <v>0</v>
          </cell>
          <cell r="F315">
            <v>8824611.728742497</v>
          </cell>
          <cell r="G315">
            <v>518595</v>
          </cell>
          <cell r="H315">
            <v>24700</v>
          </cell>
          <cell r="I315">
            <v>8281300</v>
          </cell>
          <cell r="J315">
            <v>27</v>
          </cell>
        </row>
        <row r="316">
          <cell r="C316">
            <v>51860</v>
          </cell>
          <cell r="D316">
            <v>15967.290234048191</v>
          </cell>
          <cell r="E316">
            <v>0</v>
          </cell>
          <cell r="F316">
            <v>389172.52833631705</v>
          </cell>
          <cell r="G316">
            <v>0</v>
          </cell>
          <cell r="H316">
            <v>24700</v>
          </cell>
          <cell r="I316">
            <v>364500</v>
          </cell>
          <cell r="J316">
            <v>1</v>
          </cell>
        </row>
        <row r="317">
          <cell r="C317">
            <v>52018</v>
          </cell>
          <cell r="D317">
            <v>0</v>
          </cell>
          <cell r="E317">
            <v>0</v>
          </cell>
          <cell r="F317">
            <v>9667400.4695593342</v>
          </cell>
          <cell r="G317">
            <v>518595</v>
          </cell>
          <cell r="H317">
            <v>24700</v>
          </cell>
          <cell r="I317">
            <v>9124100</v>
          </cell>
          <cell r="J317">
            <v>26.5</v>
          </cell>
        </row>
        <row r="318">
          <cell r="C318">
            <v>52036</v>
          </cell>
          <cell r="D318">
            <v>75402.092554928153</v>
          </cell>
          <cell r="E318">
            <v>0</v>
          </cell>
          <cell r="F318">
            <v>8663406.7031044457</v>
          </cell>
          <cell r="G318">
            <v>518595</v>
          </cell>
          <cell r="H318">
            <v>24700</v>
          </cell>
          <cell r="I318">
            <v>8120100</v>
          </cell>
          <cell r="J318">
            <v>27</v>
          </cell>
        </row>
        <row r="319">
          <cell r="C319">
            <v>52057</v>
          </cell>
          <cell r="D319">
            <v>0</v>
          </cell>
          <cell r="E319">
            <v>0</v>
          </cell>
          <cell r="F319">
            <v>9497495.9492268451</v>
          </cell>
          <cell r="G319">
            <v>518595</v>
          </cell>
          <cell r="H319">
            <v>24700</v>
          </cell>
          <cell r="I319">
            <v>8954200</v>
          </cell>
          <cell r="J319">
            <v>27</v>
          </cell>
        </row>
        <row r="320">
          <cell r="C320">
            <v>52168</v>
          </cell>
          <cell r="D320">
            <v>0</v>
          </cell>
          <cell r="E320">
            <v>0</v>
          </cell>
          <cell r="F320">
            <v>9296473.0360660814</v>
          </cell>
          <cell r="G320">
            <v>518595</v>
          </cell>
          <cell r="H320">
            <v>24700</v>
          </cell>
          <cell r="I320">
            <v>8753200</v>
          </cell>
          <cell r="J320">
            <v>27</v>
          </cell>
        </row>
        <row r="321">
          <cell r="C321">
            <v>52243</v>
          </cell>
          <cell r="D321">
            <v>92162.184438643046</v>
          </cell>
          <cell r="E321">
            <v>-714000</v>
          </cell>
          <cell r="F321">
            <v>5069624.5043763788</v>
          </cell>
          <cell r="H321">
            <v>0</v>
          </cell>
          <cell r="I321">
            <v>5069600</v>
          </cell>
          <cell r="J321">
            <v>21</v>
          </cell>
        </row>
        <row r="322">
          <cell r="C322">
            <v>50011</v>
          </cell>
          <cell r="D322">
            <v>0</v>
          </cell>
          <cell r="E322">
            <v>0</v>
          </cell>
          <cell r="F322">
            <v>10008155.047266494</v>
          </cell>
          <cell r="G322">
            <v>518595</v>
          </cell>
          <cell r="H322">
            <v>24700</v>
          </cell>
          <cell r="I322">
            <v>9464900</v>
          </cell>
          <cell r="J322">
            <v>25.9375</v>
          </cell>
        </row>
        <row r="323">
          <cell r="C323">
            <v>50089</v>
          </cell>
          <cell r="D323">
            <v>192205.39237499848</v>
          </cell>
          <cell r="E323">
            <v>0</v>
          </cell>
          <cell r="F323">
            <v>7974070.5119775701</v>
          </cell>
          <cell r="G323">
            <v>518595</v>
          </cell>
          <cell r="H323">
            <v>24700</v>
          </cell>
          <cell r="I323">
            <v>7430800</v>
          </cell>
          <cell r="J323">
            <v>26.241666666666667</v>
          </cell>
        </row>
        <row r="324">
          <cell r="C324">
            <v>50198</v>
          </cell>
          <cell r="D324">
            <v>0</v>
          </cell>
          <cell r="E324">
            <v>0</v>
          </cell>
          <cell r="F324">
            <v>8902942.2111018822</v>
          </cell>
          <cell r="G324">
            <v>518595</v>
          </cell>
          <cell r="H324">
            <v>24700</v>
          </cell>
          <cell r="I324">
            <v>8359600</v>
          </cell>
          <cell r="J324">
            <v>26.4375</v>
          </cell>
        </row>
        <row r="325">
          <cell r="C325">
            <v>50616</v>
          </cell>
          <cell r="D325">
            <v>245451.57443993568</v>
          </cell>
          <cell r="E325">
            <v>0</v>
          </cell>
          <cell r="F325">
            <v>7871555.0122571168</v>
          </cell>
          <cell r="G325">
            <v>518595</v>
          </cell>
          <cell r="H325">
            <v>24700</v>
          </cell>
          <cell r="I325">
            <v>7328300</v>
          </cell>
          <cell r="J325">
            <v>27</v>
          </cell>
        </row>
        <row r="326">
          <cell r="C326">
            <v>50871</v>
          </cell>
          <cell r="D326">
            <v>140994.17503131129</v>
          </cell>
          <cell r="E326">
            <v>0</v>
          </cell>
          <cell r="F326">
            <v>8167907.8995855534</v>
          </cell>
          <cell r="G326">
            <v>518595</v>
          </cell>
          <cell r="H326">
            <v>24700</v>
          </cell>
          <cell r="I326">
            <v>7624600</v>
          </cell>
          <cell r="J326">
            <v>26.922916666666666</v>
          </cell>
        </row>
        <row r="327">
          <cell r="C327">
            <v>50946</v>
          </cell>
          <cell r="D327">
            <v>0</v>
          </cell>
          <cell r="E327">
            <v>-238000</v>
          </cell>
          <cell r="F327">
            <v>2111211.8131785169</v>
          </cell>
          <cell r="G327">
            <v>0</v>
          </cell>
          <cell r="H327">
            <v>24700</v>
          </cell>
          <cell r="I327">
            <v>2086500</v>
          </cell>
          <cell r="J327">
            <v>7</v>
          </cell>
        </row>
        <row r="328">
          <cell r="C328">
            <v>50952</v>
          </cell>
          <cell r="D328">
            <v>205211.88436502428</v>
          </cell>
          <cell r="E328">
            <v>0</v>
          </cell>
          <cell r="F328">
            <v>8156876.3661356959</v>
          </cell>
          <cell r="G328">
            <v>518595</v>
          </cell>
          <cell r="H328">
            <v>24700</v>
          </cell>
          <cell r="I328">
            <v>7613600</v>
          </cell>
          <cell r="J328">
            <v>27</v>
          </cell>
        </row>
        <row r="329">
          <cell r="C329">
            <v>51031</v>
          </cell>
          <cell r="D329">
            <v>43113.423870990344</v>
          </cell>
          <cell r="E329">
            <v>0</v>
          </cell>
          <cell r="F329">
            <v>8497694.2235793378</v>
          </cell>
          <cell r="G329">
            <v>518595</v>
          </cell>
          <cell r="H329">
            <v>24700</v>
          </cell>
          <cell r="I329">
            <v>7954400</v>
          </cell>
          <cell r="J329">
            <v>27</v>
          </cell>
        </row>
        <row r="330">
          <cell r="C330">
            <v>51140</v>
          </cell>
          <cell r="D330">
            <v>0</v>
          </cell>
          <cell r="E330">
            <v>0</v>
          </cell>
          <cell r="F330">
            <v>9427815.775815431</v>
          </cell>
          <cell r="G330">
            <v>518595</v>
          </cell>
          <cell r="H330">
            <v>24700</v>
          </cell>
          <cell r="I330">
            <v>8884500</v>
          </cell>
          <cell r="J330">
            <v>27</v>
          </cell>
        </row>
        <row r="331">
          <cell r="C331">
            <v>51230</v>
          </cell>
          <cell r="D331">
            <v>0</v>
          </cell>
          <cell r="E331">
            <v>0</v>
          </cell>
          <cell r="F331">
            <v>10075646.772895448</v>
          </cell>
          <cell r="G331">
            <v>518595</v>
          </cell>
          <cell r="H331">
            <v>24700</v>
          </cell>
          <cell r="I331">
            <v>9532400</v>
          </cell>
          <cell r="J331">
            <v>27</v>
          </cell>
        </row>
        <row r="332">
          <cell r="C332">
            <v>51324</v>
          </cell>
          <cell r="D332">
            <v>53494.672461119655</v>
          </cell>
          <cell r="E332">
            <v>0</v>
          </cell>
          <cell r="F332">
            <v>8364041.3031294616</v>
          </cell>
          <cell r="G332">
            <v>518595</v>
          </cell>
          <cell r="H332">
            <v>24700</v>
          </cell>
          <cell r="I332">
            <v>7820700</v>
          </cell>
          <cell r="J332">
            <v>26.983333333333334</v>
          </cell>
        </row>
        <row r="333">
          <cell r="C333">
            <v>51441</v>
          </cell>
          <cell r="D333">
            <v>205325.11924053408</v>
          </cell>
          <cell r="E333">
            <v>0</v>
          </cell>
          <cell r="F333">
            <v>7887399.4018937834</v>
          </cell>
          <cell r="G333">
            <v>518595</v>
          </cell>
          <cell r="H333">
            <v>24700</v>
          </cell>
          <cell r="I333">
            <v>7344100</v>
          </cell>
          <cell r="J333">
            <v>26.844000000000001</v>
          </cell>
        </row>
        <row r="334">
          <cell r="C334">
            <v>51613</v>
          </cell>
          <cell r="D334">
            <v>0</v>
          </cell>
          <cell r="E334">
            <v>0</v>
          </cell>
          <cell r="F334">
            <v>10285838.240576129</v>
          </cell>
          <cell r="G334">
            <v>518595</v>
          </cell>
          <cell r="H334">
            <v>24700</v>
          </cell>
          <cell r="I334">
            <v>9742500</v>
          </cell>
          <cell r="J334">
            <v>26.854166666666668</v>
          </cell>
        </row>
        <row r="335">
          <cell r="C335">
            <v>51753</v>
          </cell>
          <cell r="D335">
            <v>0</v>
          </cell>
          <cell r="E335">
            <v>0</v>
          </cell>
          <cell r="F335">
            <v>9992454.6713519935</v>
          </cell>
          <cell r="G335">
            <v>518595</v>
          </cell>
          <cell r="H335">
            <v>24700</v>
          </cell>
          <cell r="I335">
            <v>9449200</v>
          </cell>
          <cell r="J335">
            <v>26.5</v>
          </cell>
        </row>
        <row r="336">
          <cell r="C336">
            <v>52105</v>
          </cell>
          <cell r="D336">
            <v>274284.88286828646</v>
          </cell>
          <cell r="E336">
            <v>0</v>
          </cell>
          <cell r="F336">
            <v>6413973.8369720625</v>
          </cell>
          <cell r="G336">
            <v>518595</v>
          </cell>
          <cell r="H336">
            <v>24700</v>
          </cell>
          <cell r="I336">
            <v>5870700</v>
          </cell>
          <cell r="J336">
            <v>25</v>
          </cell>
        </row>
        <row r="337">
          <cell r="C337">
            <v>50101</v>
          </cell>
          <cell r="D337">
            <v>115305.27052183583</v>
          </cell>
          <cell r="E337">
            <v>0</v>
          </cell>
          <cell r="F337">
            <v>8566403.0185626987</v>
          </cell>
          <cell r="G337">
            <v>518595</v>
          </cell>
          <cell r="H337">
            <v>24700</v>
          </cell>
          <cell r="I337">
            <v>8023100</v>
          </cell>
          <cell r="J337">
            <v>26.583333333333332</v>
          </cell>
        </row>
        <row r="338">
          <cell r="C338">
            <v>50289</v>
          </cell>
          <cell r="D338">
            <v>0</v>
          </cell>
          <cell r="E338">
            <v>0</v>
          </cell>
          <cell r="F338">
            <v>9448392.7693554703</v>
          </cell>
          <cell r="G338">
            <v>518595</v>
          </cell>
          <cell r="H338">
            <v>24700</v>
          </cell>
          <cell r="I338">
            <v>8905100</v>
          </cell>
          <cell r="J338">
            <v>26.8125</v>
          </cell>
        </row>
        <row r="339">
          <cell r="C339">
            <v>50404</v>
          </cell>
          <cell r="D339">
            <v>409607.80806420202</v>
          </cell>
          <cell r="E339">
            <v>0</v>
          </cell>
          <cell r="F339">
            <v>7421623.7713202145</v>
          </cell>
          <cell r="G339">
            <v>518595</v>
          </cell>
          <cell r="H339">
            <v>24700</v>
          </cell>
          <cell r="I339">
            <v>6878300</v>
          </cell>
          <cell r="J339">
            <v>26.958333333333332</v>
          </cell>
        </row>
        <row r="340">
          <cell r="C340">
            <v>50528</v>
          </cell>
          <cell r="D340">
            <v>0</v>
          </cell>
          <cell r="E340">
            <v>0</v>
          </cell>
          <cell r="F340">
            <v>8973606.4117935561</v>
          </cell>
          <cell r="G340">
            <v>518595</v>
          </cell>
          <cell r="H340">
            <v>24700</v>
          </cell>
          <cell r="I340">
            <v>8430300</v>
          </cell>
          <cell r="J340">
            <v>26</v>
          </cell>
        </row>
        <row r="341">
          <cell r="C341">
            <v>50872</v>
          </cell>
          <cell r="D341">
            <v>0</v>
          </cell>
          <cell r="E341">
            <v>0</v>
          </cell>
          <cell r="F341">
            <v>9315958.4635127932</v>
          </cell>
          <cell r="G341">
            <v>518595</v>
          </cell>
          <cell r="H341">
            <v>24700</v>
          </cell>
          <cell r="I341">
            <v>8772700</v>
          </cell>
          <cell r="J341">
            <v>27</v>
          </cell>
        </row>
        <row r="342">
          <cell r="C342">
            <v>50879</v>
          </cell>
          <cell r="D342">
            <v>7176.9067922063405</v>
          </cell>
          <cell r="E342">
            <v>0</v>
          </cell>
          <cell r="F342">
            <v>9008475.6498156879</v>
          </cell>
          <cell r="G342">
            <v>518595</v>
          </cell>
          <cell r="H342">
            <v>24700</v>
          </cell>
          <cell r="I342">
            <v>8465200</v>
          </cell>
          <cell r="J342">
            <v>27</v>
          </cell>
        </row>
        <row r="343">
          <cell r="C343">
            <v>50882</v>
          </cell>
          <cell r="D343">
            <v>0</v>
          </cell>
          <cell r="E343">
            <v>0</v>
          </cell>
          <cell r="F343">
            <v>9192110.9040150363</v>
          </cell>
          <cell r="G343">
            <v>518595</v>
          </cell>
          <cell r="H343">
            <v>24700</v>
          </cell>
          <cell r="I343">
            <v>8648800</v>
          </cell>
          <cell r="J343">
            <v>26.78125</v>
          </cell>
        </row>
        <row r="344">
          <cell r="C344">
            <v>51141</v>
          </cell>
          <cell r="D344">
            <v>0</v>
          </cell>
          <cell r="E344">
            <v>0</v>
          </cell>
          <cell r="F344">
            <v>9170768.8798042368</v>
          </cell>
          <cell r="G344">
            <v>518595</v>
          </cell>
          <cell r="H344">
            <v>24700</v>
          </cell>
          <cell r="I344">
            <v>8627500</v>
          </cell>
          <cell r="J344">
            <v>26</v>
          </cell>
        </row>
        <row r="345">
          <cell r="C345">
            <v>51239</v>
          </cell>
          <cell r="D345">
            <v>129780.15121919039</v>
          </cell>
          <cell r="E345">
            <v>0</v>
          </cell>
          <cell r="F345">
            <v>8273305.4598039668</v>
          </cell>
          <cell r="G345">
            <v>518595</v>
          </cell>
          <cell r="H345">
            <v>24700</v>
          </cell>
          <cell r="I345">
            <v>7730000</v>
          </cell>
          <cell r="J345">
            <v>26</v>
          </cell>
        </row>
        <row r="346">
          <cell r="C346">
            <v>51280</v>
          </cell>
          <cell r="D346">
            <v>16808.576842649607</v>
          </cell>
          <cell r="E346">
            <v>0</v>
          </cell>
          <cell r="F346">
            <v>9375164.1561433319</v>
          </cell>
          <cell r="G346">
            <v>518595</v>
          </cell>
          <cell r="H346">
            <v>24700</v>
          </cell>
          <cell r="I346">
            <v>8831900</v>
          </cell>
          <cell r="J346">
            <v>27</v>
          </cell>
        </row>
        <row r="347">
          <cell r="C347">
            <v>51292</v>
          </cell>
          <cell r="D347">
            <v>370900.48190561379</v>
          </cell>
          <cell r="E347">
            <v>0</v>
          </cell>
          <cell r="F347">
            <v>7606563.5783216208</v>
          </cell>
          <cell r="G347">
            <v>518595</v>
          </cell>
          <cell r="H347">
            <v>24700</v>
          </cell>
          <cell r="I347">
            <v>7063300</v>
          </cell>
          <cell r="J347">
            <v>27</v>
          </cell>
        </row>
        <row r="348">
          <cell r="C348">
            <v>51302</v>
          </cell>
          <cell r="D348">
            <v>321862.18410400581</v>
          </cell>
          <cell r="E348">
            <v>-247350</v>
          </cell>
          <cell r="F348">
            <v>6377833.1496110596</v>
          </cell>
          <cell r="G348">
            <v>518595</v>
          </cell>
          <cell r="H348">
            <v>24700</v>
          </cell>
          <cell r="I348">
            <v>5834500</v>
          </cell>
          <cell r="J348">
            <v>24.25</v>
          </cell>
        </row>
        <row r="349">
          <cell r="C349">
            <v>51317</v>
          </cell>
          <cell r="D349">
            <v>0</v>
          </cell>
          <cell r="E349">
            <v>0</v>
          </cell>
          <cell r="F349">
            <v>9115838.431402687</v>
          </cell>
          <cell r="G349">
            <v>518595</v>
          </cell>
          <cell r="H349">
            <v>24700</v>
          </cell>
          <cell r="I349">
            <v>8572500</v>
          </cell>
          <cell r="J349">
            <v>25.8125</v>
          </cell>
        </row>
        <row r="350">
          <cell r="C350">
            <v>51336</v>
          </cell>
          <cell r="D350">
            <v>140303.94706862955</v>
          </cell>
          <cell r="E350">
            <v>0</v>
          </cell>
          <cell r="F350">
            <v>7881839.2837941125</v>
          </cell>
          <cell r="G350">
            <v>518595</v>
          </cell>
          <cell r="H350">
            <v>24700</v>
          </cell>
          <cell r="I350">
            <v>7338500</v>
          </cell>
          <cell r="J350">
            <v>24.885000000000002</v>
          </cell>
        </row>
        <row r="351">
          <cell r="C351">
            <v>51521</v>
          </cell>
          <cell r="D351">
            <v>0</v>
          </cell>
          <cell r="E351">
            <v>0</v>
          </cell>
          <cell r="F351">
            <v>9833362.2583285719</v>
          </cell>
          <cell r="G351">
            <v>518595</v>
          </cell>
          <cell r="H351">
            <v>24700</v>
          </cell>
          <cell r="I351">
            <v>9290100</v>
          </cell>
          <cell r="J351">
            <v>27</v>
          </cell>
        </row>
        <row r="352">
          <cell r="C352">
            <v>51589</v>
          </cell>
          <cell r="D352">
            <v>99515.143446848379</v>
          </cell>
          <cell r="E352">
            <v>0</v>
          </cell>
          <cell r="F352">
            <v>7188458.3356850967</v>
          </cell>
          <cell r="G352">
            <v>518595</v>
          </cell>
          <cell r="H352">
            <v>24700</v>
          </cell>
          <cell r="I352">
            <v>6645200</v>
          </cell>
          <cell r="J352">
            <v>24.885416666666668</v>
          </cell>
        </row>
        <row r="353">
          <cell r="C353">
            <v>51624</v>
          </cell>
          <cell r="D353">
            <v>4611.9989454834722</v>
          </cell>
          <cell r="E353">
            <v>0</v>
          </cell>
          <cell r="F353">
            <v>8636739.1137404721</v>
          </cell>
          <cell r="G353">
            <v>518595</v>
          </cell>
          <cell r="H353">
            <v>24700</v>
          </cell>
          <cell r="I353">
            <v>8093400</v>
          </cell>
          <cell r="J353">
            <v>26.5</v>
          </cell>
        </row>
        <row r="354">
          <cell r="C354">
            <v>51655</v>
          </cell>
          <cell r="D354">
            <v>87803.313839928713</v>
          </cell>
          <cell r="E354">
            <v>0</v>
          </cell>
          <cell r="F354">
            <v>8005116.9815571383</v>
          </cell>
          <cell r="G354">
            <v>518595</v>
          </cell>
          <cell r="H354">
            <v>24700</v>
          </cell>
          <cell r="I354">
            <v>7461800</v>
          </cell>
          <cell r="J354">
            <v>26</v>
          </cell>
        </row>
        <row r="355">
          <cell r="C355">
            <v>51704</v>
          </cell>
          <cell r="D355">
            <v>0</v>
          </cell>
          <cell r="E355">
            <v>-255000</v>
          </cell>
          <cell r="F355">
            <v>9620778.0483056922</v>
          </cell>
          <cell r="G355">
            <v>518595</v>
          </cell>
          <cell r="H355">
            <v>24700</v>
          </cell>
          <cell r="I355">
            <v>9077500</v>
          </cell>
          <cell r="J355">
            <v>26</v>
          </cell>
        </row>
        <row r="356">
          <cell r="C356">
            <v>51845</v>
          </cell>
          <cell r="D356">
            <v>197562.77178968926</v>
          </cell>
          <cell r="E356">
            <v>0</v>
          </cell>
          <cell r="F356">
            <v>7927403.0115540093</v>
          </cell>
          <cell r="G356">
            <v>518595</v>
          </cell>
          <cell r="H356">
            <v>24700</v>
          </cell>
          <cell r="I356">
            <v>7384100</v>
          </cell>
          <cell r="J356">
            <v>26</v>
          </cell>
        </row>
        <row r="357">
          <cell r="C357">
            <v>51897</v>
          </cell>
          <cell r="D357">
            <v>332681.1964285404</v>
          </cell>
          <cell r="E357">
            <v>0</v>
          </cell>
          <cell r="F357">
            <v>7414813.9828297645</v>
          </cell>
          <cell r="G357">
            <v>518595</v>
          </cell>
          <cell r="H357">
            <v>24700</v>
          </cell>
          <cell r="I357">
            <v>6871500</v>
          </cell>
          <cell r="J357">
            <v>26</v>
          </cell>
        </row>
        <row r="358">
          <cell r="C358">
            <v>51907</v>
          </cell>
          <cell r="D358">
            <v>114133.74698917865</v>
          </cell>
          <cell r="E358">
            <v>0</v>
          </cell>
          <cell r="F358">
            <v>8299388.7830709266</v>
          </cell>
          <cell r="G358">
            <v>518595</v>
          </cell>
          <cell r="H358">
            <v>24700</v>
          </cell>
          <cell r="I358">
            <v>7756100</v>
          </cell>
          <cell r="J358">
            <v>27</v>
          </cell>
        </row>
        <row r="359">
          <cell r="C359">
            <v>51911</v>
          </cell>
          <cell r="D359">
            <v>0</v>
          </cell>
          <cell r="E359">
            <v>0</v>
          </cell>
          <cell r="F359">
            <v>9291624.8781340104</v>
          </cell>
          <cell r="G359">
            <v>518595</v>
          </cell>
          <cell r="H359">
            <v>24700</v>
          </cell>
          <cell r="I359">
            <v>8748300</v>
          </cell>
          <cell r="J359">
            <v>27</v>
          </cell>
        </row>
        <row r="360">
          <cell r="C360">
            <v>51953</v>
          </cell>
          <cell r="D360">
            <v>257262.86487327504</v>
          </cell>
          <cell r="E360">
            <v>-234600</v>
          </cell>
          <cell r="F360">
            <v>6266379.6553801736</v>
          </cell>
          <cell r="G360">
            <v>518595</v>
          </cell>
          <cell r="H360">
            <v>24700</v>
          </cell>
          <cell r="I360">
            <v>5723100</v>
          </cell>
          <cell r="J360">
            <v>24</v>
          </cell>
        </row>
        <row r="361">
          <cell r="C361">
            <v>51961</v>
          </cell>
          <cell r="D361">
            <v>300761.0185474357</v>
          </cell>
          <cell r="E361">
            <v>0</v>
          </cell>
          <cell r="F361">
            <v>8272867.1847423073</v>
          </cell>
          <cell r="G361">
            <v>518595</v>
          </cell>
          <cell r="H361">
            <v>24700</v>
          </cell>
          <cell r="I361">
            <v>7729600</v>
          </cell>
          <cell r="J361">
            <v>26</v>
          </cell>
        </row>
        <row r="362">
          <cell r="C362">
            <v>51968</v>
          </cell>
          <cell r="D362">
            <v>29659.907782385824</v>
          </cell>
          <cell r="E362">
            <v>-399500</v>
          </cell>
          <cell r="F362">
            <v>3666526.2752383938</v>
          </cell>
          <cell r="G362">
            <v>0</v>
          </cell>
          <cell r="H362">
            <v>24700</v>
          </cell>
          <cell r="I362">
            <v>3641800</v>
          </cell>
          <cell r="J362">
            <v>11.75</v>
          </cell>
        </row>
        <row r="363">
          <cell r="C363">
            <v>51982</v>
          </cell>
          <cell r="D363">
            <v>0</v>
          </cell>
          <cell r="E363">
            <v>-224400</v>
          </cell>
          <cell r="F363">
            <v>7490927.8803123096</v>
          </cell>
          <cell r="G363">
            <v>518595</v>
          </cell>
          <cell r="H363">
            <v>24700</v>
          </cell>
          <cell r="I363">
            <v>6947600</v>
          </cell>
          <cell r="J363">
            <v>23</v>
          </cell>
        </row>
        <row r="364">
          <cell r="C364">
            <v>52005</v>
          </cell>
          <cell r="D364">
            <v>245794.50308773242</v>
          </cell>
          <cell r="E364">
            <v>0</v>
          </cell>
          <cell r="F364">
            <v>7519092.9138137251</v>
          </cell>
          <cell r="G364">
            <v>518595</v>
          </cell>
          <cell r="H364">
            <v>24700</v>
          </cell>
          <cell r="I364">
            <v>6975800</v>
          </cell>
          <cell r="J364">
            <v>25.875</v>
          </cell>
        </row>
        <row r="365">
          <cell r="C365">
            <v>52082</v>
          </cell>
          <cell r="D365">
            <v>0</v>
          </cell>
          <cell r="E365">
            <v>0</v>
          </cell>
          <cell r="F365">
            <v>9513562.0185481105</v>
          </cell>
          <cell r="G365">
            <v>518595</v>
          </cell>
          <cell r="H365">
            <v>24700</v>
          </cell>
          <cell r="I365">
            <v>8970300</v>
          </cell>
          <cell r="J365">
            <v>27</v>
          </cell>
        </row>
        <row r="366">
          <cell r="C366">
            <v>52087</v>
          </cell>
          <cell r="D366">
            <v>158765.68883313873</v>
          </cell>
          <cell r="E366">
            <v>0</v>
          </cell>
          <cell r="F366">
            <v>7824038.2700390462</v>
          </cell>
          <cell r="G366">
            <v>518595</v>
          </cell>
          <cell r="H366">
            <v>24700</v>
          </cell>
          <cell r="I366">
            <v>7280700</v>
          </cell>
          <cell r="J366">
            <v>27</v>
          </cell>
        </row>
        <row r="367">
          <cell r="C367">
            <v>52241</v>
          </cell>
          <cell r="D367">
            <v>0</v>
          </cell>
          <cell r="E367">
            <v>-255000</v>
          </cell>
          <cell r="F367">
            <v>8710692.3483048324</v>
          </cell>
          <cell r="G367">
            <v>518595</v>
          </cell>
          <cell r="H367">
            <v>24700</v>
          </cell>
          <cell r="I367">
            <v>8167400</v>
          </cell>
          <cell r="J367">
            <v>26</v>
          </cell>
        </row>
        <row r="368">
          <cell r="C368">
            <v>10313</v>
          </cell>
          <cell r="D368">
            <v>295347.83533884818</v>
          </cell>
          <cell r="E368">
            <v>-244800</v>
          </cell>
          <cell r="F368">
            <v>5627978.3689834569</v>
          </cell>
          <cell r="H368">
            <v>0</v>
          </cell>
          <cell r="I368">
            <v>5628000</v>
          </cell>
          <cell r="J368">
            <v>25</v>
          </cell>
        </row>
        <row r="369">
          <cell r="C369">
            <v>10233</v>
          </cell>
          <cell r="D369">
            <v>93201.397376566136</v>
          </cell>
          <cell r="E369">
            <v>0</v>
          </cell>
          <cell r="F369">
            <v>7794559.2694087634</v>
          </cell>
          <cell r="H369">
            <v>0</v>
          </cell>
          <cell r="I369">
            <v>7794600</v>
          </cell>
          <cell r="J369">
            <v>27</v>
          </cell>
        </row>
        <row r="370">
          <cell r="C370">
            <v>10226</v>
          </cell>
          <cell r="D370">
            <v>101414.30737489829</v>
          </cell>
          <cell r="E370">
            <v>0</v>
          </cell>
          <cell r="F370">
            <v>6757114.049029151</v>
          </cell>
          <cell r="H370">
            <v>0</v>
          </cell>
          <cell r="I370">
            <v>6757100</v>
          </cell>
          <cell r="J370">
            <v>26</v>
          </cell>
        </row>
        <row r="371">
          <cell r="C371">
            <v>50364</v>
          </cell>
          <cell r="D371">
            <v>54280.554398998502</v>
          </cell>
          <cell r="E371">
            <v>-255000</v>
          </cell>
          <cell r="F371">
            <v>7613607.61564916</v>
          </cell>
          <cell r="G371">
            <v>518595</v>
          </cell>
          <cell r="H371">
            <v>24700</v>
          </cell>
          <cell r="I371">
            <v>7070300</v>
          </cell>
          <cell r="J371">
            <v>25</v>
          </cell>
        </row>
        <row r="372">
          <cell r="C372">
            <v>50786</v>
          </cell>
          <cell r="D372">
            <v>0</v>
          </cell>
          <cell r="E372">
            <v>0</v>
          </cell>
          <cell r="F372">
            <v>9117909.3629005216</v>
          </cell>
          <cell r="G372">
            <v>518595</v>
          </cell>
          <cell r="H372">
            <v>24700</v>
          </cell>
          <cell r="I372">
            <v>8574600</v>
          </cell>
          <cell r="J372">
            <v>27</v>
          </cell>
        </row>
        <row r="373">
          <cell r="C373">
            <v>51340</v>
          </cell>
          <cell r="D373">
            <v>0</v>
          </cell>
          <cell r="E373">
            <v>0</v>
          </cell>
          <cell r="F373">
            <v>8638181.7457805723</v>
          </cell>
          <cell r="G373">
            <v>518595</v>
          </cell>
          <cell r="H373">
            <v>24700</v>
          </cell>
          <cell r="I373">
            <v>8094900</v>
          </cell>
          <cell r="J373">
            <v>26.5</v>
          </cell>
        </row>
        <row r="374">
          <cell r="C374">
            <v>51373</v>
          </cell>
          <cell r="D374">
            <v>0</v>
          </cell>
          <cell r="E374">
            <v>0</v>
          </cell>
          <cell r="F374">
            <v>9105872.2561270259</v>
          </cell>
          <cell r="G374">
            <v>518595</v>
          </cell>
          <cell r="H374">
            <v>24700</v>
          </cell>
          <cell r="I374">
            <v>8562600</v>
          </cell>
          <cell r="J374">
            <v>27</v>
          </cell>
        </row>
        <row r="375">
          <cell r="C375">
            <v>51374</v>
          </cell>
          <cell r="D375">
            <v>0</v>
          </cell>
          <cell r="E375">
            <v>0</v>
          </cell>
          <cell r="F375">
            <v>8665609.253859153</v>
          </cell>
          <cell r="G375">
            <v>518595</v>
          </cell>
          <cell r="H375">
            <v>24700</v>
          </cell>
          <cell r="I375">
            <v>8122300</v>
          </cell>
          <cell r="J375">
            <v>27</v>
          </cell>
        </row>
        <row r="376">
          <cell r="C376">
            <v>51426</v>
          </cell>
          <cell r="D376">
            <v>0</v>
          </cell>
          <cell r="E376">
            <v>0</v>
          </cell>
          <cell r="F376">
            <v>9200795.8599828333</v>
          </cell>
          <cell r="G376">
            <v>518595</v>
          </cell>
          <cell r="H376">
            <v>24700</v>
          </cell>
          <cell r="I376">
            <v>8657500</v>
          </cell>
          <cell r="J376">
            <v>26.870833333333334</v>
          </cell>
        </row>
        <row r="377">
          <cell r="C377">
            <v>51493</v>
          </cell>
          <cell r="D377">
            <v>0</v>
          </cell>
          <cell r="E377">
            <v>0</v>
          </cell>
          <cell r="F377">
            <v>9557121.3793766331</v>
          </cell>
          <cell r="G377">
            <v>518595</v>
          </cell>
          <cell r="H377">
            <v>24700</v>
          </cell>
          <cell r="I377">
            <v>9013800</v>
          </cell>
          <cell r="J377">
            <v>26.916666666666668</v>
          </cell>
        </row>
        <row r="378">
          <cell r="C378">
            <v>51526</v>
          </cell>
          <cell r="D378">
            <v>204460.8749312702</v>
          </cell>
          <cell r="E378">
            <v>0</v>
          </cell>
          <cell r="F378">
            <v>8018337.2069369582</v>
          </cell>
          <cell r="G378">
            <v>518595</v>
          </cell>
          <cell r="H378">
            <v>24700</v>
          </cell>
          <cell r="I378">
            <v>7475000</v>
          </cell>
          <cell r="J378">
            <v>26.5</v>
          </cell>
        </row>
        <row r="379">
          <cell r="C379">
            <v>51715</v>
          </cell>
          <cell r="D379">
            <v>27862.092204955406</v>
          </cell>
          <cell r="E379">
            <v>0</v>
          </cell>
          <cell r="F379">
            <v>8440955.3099235967</v>
          </cell>
          <cell r="G379">
            <v>518595</v>
          </cell>
          <cell r="H379">
            <v>24700</v>
          </cell>
          <cell r="I379">
            <v>7897700</v>
          </cell>
          <cell r="J379">
            <v>26</v>
          </cell>
        </row>
        <row r="380">
          <cell r="C380">
            <v>51808</v>
          </cell>
          <cell r="D380">
            <v>0</v>
          </cell>
          <cell r="E380">
            <v>0</v>
          </cell>
          <cell r="F380">
            <v>9999528.0226497799</v>
          </cell>
          <cell r="G380">
            <v>518595</v>
          </cell>
          <cell r="H380">
            <v>24700</v>
          </cell>
          <cell r="I380">
            <v>9456200</v>
          </cell>
          <cell r="J380">
            <v>27</v>
          </cell>
        </row>
        <row r="381">
          <cell r="C381">
            <v>50062</v>
          </cell>
          <cell r="D381">
            <v>140534.16764446691</v>
          </cell>
          <cell r="E381">
            <v>0</v>
          </cell>
          <cell r="F381">
            <v>8572279.1076435223</v>
          </cell>
          <cell r="G381">
            <v>518595</v>
          </cell>
          <cell r="H381">
            <v>24700</v>
          </cell>
          <cell r="I381">
            <v>8029000</v>
          </cell>
          <cell r="J381">
            <v>27</v>
          </cell>
        </row>
        <row r="382">
          <cell r="C382">
            <v>50136</v>
          </cell>
          <cell r="D382">
            <v>0</v>
          </cell>
          <cell r="E382">
            <v>0</v>
          </cell>
          <cell r="F382">
            <v>9251298.6220484897</v>
          </cell>
          <cell r="G382">
            <v>518595</v>
          </cell>
          <cell r="H382">
            <v>24700</v>
          </cell>
          <cell r="I382">
            <v>8708000</v>
          </cell>
          <cell r="J382">
            <v>27</v>
          </cell>
        </row>
        <row r="383">
          <cell r="C383">
            <v>50252</v>
          </cell>
          <cell r="D383">
            <v>0</v>
          </cell>
          <cell r="E383">
            <v>0</v>
          </cell>
          <cell r="F383">
            <v>9834425.6404843647</v>
          </cell>
          <cell r="G383">
            <v>518595</v>
          </cell>
          <cell r="H383">
            <v>24700</v>
          </cell>
          <cell r="I383">
            <v>9291100</v>
          </cell>
          <cell r="J383">
            <v>25.898083333333332</v>
          </cell>
        </row>
        <row r="384">
          <cell r="C384">
            <v>50263</v>
          </cell>
          <cell r="D384">
            <v>0</v>
          </cell>
          <cell r="E384">
            <v>0</v>
          </cell>
          <cell r="F384">
            <v>9773992.0392966215</v>
          </cell>
          <cell r="G384">
            <v>518595</v>
          </cell>
          <cell r="H384">
            <v>24700</v>
          </cell>
          <cell r="I384">
            <v>9230700</v>
          </cell>
          <cell r="J384">
            <v>27</v>
          </cell>
        </row>
        <row r="385">
          <cell r="C385">
            <v>50313</v>
          </cell>
          <cell r="D385">
            <v>16277.530522948247</v>
          </cell>
          <cell r="E385">
            <v>0</v>
          </cell>
          <cell r="F385">
            <v>8458506.2513798736</v>
          </cell>
          <cell r="G385">
            <v>518595</v>
          </cell>
          <cell r="H385">
            <v>24700</v>
          </cell>
          <cell r="I385">
            <v>7915200</v>
          </cell>
          <cell r="J385">
            <v>25.572916666666668</v>
          </cell>
        </row>
        <row r="386">
          <cell r="C386">
            <v>50773</v>
          </cell>
          <cell r="D386">
            <v>0</v>
          </cell>
          <cell r="E386">
            <v>0</v>
          </cell>
          <cell r="F386">
            <v>9803899.1449509524</v>
          </cell>
          <cell r="G386">
            <v>518595</v>
          </cell>
          <cell r="H386">
            <v>24700</v>
          </cell>
          <cell r="I386">
            <v>9260600</v>
          </cell>
          <cell r="J386">
            <v>27</v>
          </cell>
        </row>
        <row r="387">
          <cell r="C387">
            <v>50948</v>
          </cell>
          <cell r="D387">
            <v>0</v>
          </cell>
          <cell r="E387">
            <v>0</v>
          </cell>
          <cell r="F387">
            <v>9195713.6367318593</v>
          </cell>
          <cell r="G387">
            <v>518595</v>
          </cell>
          <cell r="H387">
            <v>24700</v>
          </cell>
          <cell r="I387">
            <v>8652400</v>
          </cell>
          <cell r="J387">
            <v>25.5</v>
          </cell>
        </row>
        <row r="388">
          <cell r="C388">
            <v>50954</v>
          </cell>
          <cell r="D388">
            <v>105401.95769936661</v>
          </cell>
          <cell r="E388">
            <v>0</v>
          </cell>
          <cell r="F388">
            <v>7398689.3095942093</v>
          </cell>
          <cell r="G388">
            <v>518595</v>
          </cell>
          <cell r="H388">
            <v>24700</v>
          </cell>
          <cell r="I388">
            <v>6855400</v>
          </cell>
          <cell r="J388">
            <v>18.947916666666668</v>
          </cell>
        </row>
        <row r="389">
          <cell r="C389">
            <v>51040</v>
          </cell>
          <cell r="D389">
            <v>0</v>
          </cell>
          <cell r="E389">
            <v>0</v>
          </cell>
          <cell r="F389">
            <v>9580684.9114079103</v>
          </cell>
          <cell r="G389">
            <v>518595</v>
          </cell>
          <cell r="H389">
            <v>24700</v>
          </cell>
          <cell r="I389">
            <v>9037400</v>
          </cell>
          <cell r="J389">
            <v>27</v>
          </cell>
        </row>
        <row r="390">
          <cell r="C390">
            <v>51237</v>
          </cell>
          <cell r="D390">
            <v>137196.2640107004</v>
          </cell>
          <cell r="E390">
            <v>0</v>
          </cell>
          <cell r="F390">
            <v>9237761.4323683865</v>
          </cell>
          <cell r="G390">
            <v>518595</v>
          </cell>
          <cell r="H390">
            <v>24700</v>
          </cell>
          <cell r="I390">
            <v>8694500</v>
          </cell>
          <cell r="J390">
            <v>27</v>
          </cell>
        </row>
        <row r="391">
          <cell r="C391">
            <v>51364</v>
          </cell>
          <cell r="D391">
            <v>0</v>
          </cell>
          <cell r="E391">
            <v>0</v>
          </cell>
          <cell r="F391">
            <v>8752713.2014581654</v>
          </cell>
          <cell r="G391">
            <v>518595</v>
          </cell>
          <cell r="H391">
            <v>24700</v>
          </cell>
          <cell r="I391">
            <v>8209400</v>
          </cell>
          <cell r="J391">
            <v>26</v>
          </cell>
        </row>
        <row r="392">
          <cell r="C392">
            <v>51547</v>
          </cell>
          <cell r="D392">
            <v>0</v>
          </cell>
          <cell r="E392">
            <v>0</v>
          </cell>
          <cell r="F392">
            <v>8607899.0004551206</v>
          </cell>
          <cell r="G392">
            <v>518595</v>
          </cell>
          <cell r="H392">
            <v>24700</v>
          </cell>
          <cell r="I392">
            <v>8064600</v>
          </cell>
          <cell r="J392">
            <v>26</v>
          </cell>
        </row>
        <row r="393">
          <cell r="C393">
            <v>51603</v>
          </cell>
          <cell r="D393">
            <v>0</v>
          </cell>
          <cell r="E393">
            <v>0</v>
          </cell>
          <cell r="F393">
            <v>8802710.0321869627</v>
          </cell>
          <cell r="G393">
            <v>518595</v>
          </cell>
          <cell r="H393">
            <v>24700</v>
          </cell>
          <cell r="I393">
            <v>8259400</v>
          </cell>
          <cell r="J393">
            <v>26.5</v>
          </cell>
        </row>
        <row r="394">
          <cell r="C394">
            <v>10361</v>
          </cell>
          <cell r="D394">
            <v>0</v>
          </cell>
          <cell r="E394">
            <v>0</v>
          </cell>
          <cell r="F394">
            <v>7982032.4396158261</v>
          </cell>
          <cell r="H394">
            <v>0</v>
          </cell>
          <cell r="I394">
            <v>7982000</v>
          </cell>
          <cell r="J394">
            <v>26.333333333333332</v>
          </cell>
        </row>
        <row r="395">
          <cell r="C395">
            <v>10127</v>
          </cell>
          <cell r="D395">
            <v>80314.372803857725</v>
          </cell>
          <cell r="E395">
            <v>0</v>
          </cell>
          <cell r="F395">
            <v>7875131.8815884264</v>
          </cell>
          <cell r="H395">
            <v>0</v>
          </cell>
          <cell r="I395">
            <v>7875100</v>
          </cell>
          <cell r="J395">
            <v>26.9</v>
          </cell>
        </row>
        <row r="396">
          <cell r="C396">
            <v>51125</v>
          </cell>
          <cell r="D396">
            <v>23743.914762201952</v>
          </cell>
          <cell r="E396">
            <v>-574812.5</v>
          </cell>
          <cell r="F396">
            <v>4897822.2220595479</v>
          </cell>
          <cell r="G396">
            <v>518595</v>
          </cell>
          <cell r="H396">
            <v>24700</v>
          </cell>
          <cell r="I396">
            <v>4354500</v>
          </cell>
          <cell r="J396">
            <v>16.90625</v>
          </cell>
        </row>
        <row r="397">
          <cell r="C397">
            <v>51523</v>
          </cell>
          <cell r="D397">
            <v>0</v>
          </cell>
          <cell r="E397">
            <v>0</v>
          </cell>
          <cell r="F397">
            <v>9253524.2867941447</v>
          </cell>
          <cell r="G397">
            <v>518595</v>
          </cell>
          <cell r="H397">
            <v>24700</v>
          </cell>
          <cell r="I397">
            <v>8710200</v>
          </cell>
          <cell r="J397">
            <v>26.945833333333333</v>
          </cell>
        </row>
        <row r="398">
          <cell r="C398">
            <v>51680</v>
          </cell>
          <cell r="D398">
            <v>382417.65095197712</v>
          </cell>
          <cell r="E398">
            <v>-731000</v>
          </cell>
          <cell r="F398">
            <v>5126567.1096440684</v>
          </cell>
          <cell r="G398">
            <v>518595</v>
          </cell>
          <cell r="H398">
            <v>24700</v>
          </cell>
          <cell r="I398">
            <v>4583300</v>
          </cell>
          <cell r="J398">
            <v>21.5</v>
          </cell>
        </row>
        <row r="399">
          <cell r="C399">
            <v>51780</v>
          </cell>
          <cell r="D399">
            <v>35209.117302543484</v>
          </cell>
          <cell r="E399">
            <v>0</v>
          </cell>
          <cell r="F399">
            <v>9336084.393678464</v>
          </cell>
          <cell r="G399">
            <v>518595</v>
          </cell>
          <cell r="H399">
            <v>24700</v>
          </cell>
          <cell r="I399">
            <v>8792800</v>
          </cell>
          <cell r="J399">
            <v>26.864583333333332</v>
          </cell>
        </row>
        <row r="400">
          <cell r="C400">
            <v>51938</v>
          </cell>
          <cell r="D400">
            <v>44362.202540249622</v>
          </cell>
          <cell r="E400">
            <v>0</v>
          </cell>
          <cell r="F400">
            <v>8266280.9308407893</v>
          </cell>
          <cell r="G400">
            <v>518595</v>
          </cell>
          <cell r="H400">
            <v>24700</v>
          </cell>
          <cell r="I400">
            <v>7723000</v>
          </cell>
          <cell r="J400">
            <v>26.5</v>
          </cell>
        </row>
        <row r="401">
          <cell r="C401">
            <v>52064</v>
          </cell>
          <cell r="D401">
            <v>77022.561582933879</v>
          </cell>
          <cell r="E401">
            <v>0</v>
          </cell>
          <cell r="F401">
            <v>8435564.4065973517</v>
          </cell>
          <cell r="G401">
            <v>518595</v>
          </cell>
          <cell r="H401">
            <v>24700</v>
          </cell>
          <cell r="I401">
            <v>7892300</v>
          </cell>
          <cell r="J401">
            <v>27</v>
          </cell>
        </row>
        <row r="402">
          <cell r="C402">
            <v>52065</v>
          </cell>
          <cell r="D402">
            <v>0</v>
          </cell>
          <cell r="E402">
            <v>-646000</v>
          </cell>
          <cell r="F402">
            <v>5723185.5855715442</v>
          </cell>
          <cell r="G402">
            <v>518595</v>
          </cell>
          <cell r="H402">
            <v>24700</v>
          </cell>
          <cell r="I402">
            <v>5179900</v>
          </cell>
          <cell r="J402">
            <v>20</v>
          </cell>
        </row>
        <row r="403">
          <cell r="C403">
            <v>52074</v>
          </cell>
          <cell r="D403">
            <v>0</v>
          </cell>
          <cell r="E403">
            <v>0</v>
          </cell>
          <cell r="F403">
            <v>8444510.848211851</v>
          </cell>
          <cell r="G403">
            <v>518595</v>
          </cell>
          <cell r="H403">
            <v>24700</v>
          </cell>
          <cell r="I403">
            <v>7901200</v>
          </cell>
          <cell r="J403">
            <v>24.5</v>
          </cell>
        </row>
        <row r="404">
          <cell r="C404">
            <v>52092</v>
          </cell>
          <cell r="D404">
            <v>0</v>
          </cell>
          <cell r="E404">
            <v>0</v>
          </cell>
          <cell r="F404">
            <v>8576375.4370703381</v>
          </cell>
          <cell r="G404">
            <v>518595</v>
          </cell>
          <cell r="H404">
            <v>24700</v>
          </cell>
          <cell r="I404">
            <v>8033100</v>
          </cell>
          <cell r="J404">
            <v>26</v>
          </cell>
        </row>
        <row r="405">
          <cell r="C405">
            <v>52159</v>
          </cell>
          <cell r="D405">
            <v>0</v>
          </cell>
          <cell r="E405">
            <v>0</v>
          </cell>
          <cell r="F405">
            <v>9888413.4593622554</v>
          </cell>
          <cell r="G405">
            <v>518595</v>
          </cell>
          <cell r="H405">
            <v>24700</v>
          </cell>
          <cell r="I405">
            <v>9345100</v>
          </cell>
          <cell r="J405">
            <v>27</v>
          </cell>
        </row>
        <row r="406">
          <cell r="C406">
            <v>52191</v>
          </cell>
          <cell r="D406">
            <v>169266.67771631049</v>
          </cell>
          <cell r="E406">
            <v>0</v>
          </cell>
          <cell r="F406">
            <v>7770301.5101202978</v>
          </cell>
          <cell r="G406">
            <v>518595</v>
          </cell>
          <cell r="H406">
            <v>24700</v>
          </cell>
          <cell r="I406">
            <v>7227000</v>
          </cell>
          <cell r="J406">
            <v>26</v>
          </cell>
        </row>
        <row r="407">
          <cell r="C407">
            <v>10370</v>
          </cell>
          <cell r="D407">
            <v>415142.57737998199</v>
          </cell>
          <cell r="E407">
            <v>-816000</v>
          </cell>
          <cell r="F407">
            <v>4946225.873629285</v>
          </cell>
          <cell r="H407">
            <v>0</v>
          </cell>
          <cell r="I407">
            <v>4946200</v>
          </cell>
          <cell r="J407">
            <v>24</v>
          </cell>
        </row>
        <row r="408">
          <cell r="C408">
            <v>10363</v>
          </cell>
          <cell r="D408">
            <v>58109.754176977498</v>
          </cell>
          <cell r="E408">
            <v>-850000</v>
          </cell>
          <cell r="F408">
            <v>5799027.7086229129</v>
          </cell>
          <cell r="H408">
            <v>0</v>
          </cell>
          <cell r="I408">
            <v>5799000</v>
          </cell>
          <cell r="J408">
            <v>25.905999999999999</v>
          </cell>
        </row>
        <row r="409">
          <cell r="C409">
            <v>10285</v>
          </cell>
          <cell r="D409">
            <v>29568.401954925852</v>
          </cell>
          <cell r="E409">
            <v>0</v>
          </cell>
          <cell r="F409">
            <v>7901002.0056736842</v>
          </cell>
          <cell r="H409">
            <v>0</v>
          </cell>
          <cell r="I409">
            <v>7901000</v>
          </cell>
          <cell r="J409">
            <v>27</v>
          </cell>
        </row>
        <row r="410">
          <cell r="C410">
            <v>10225</v>
          </cell>
          <cell r="D410">
            <v>42207.632615991868</v>
          </cell>
          <cell r="E410">
            <v>-850000</v>
          </cell>
          <cell r="F410">
            <v>6308321.0925366404</v>
          </cell>
          <cell r="H410">
            <v>0</v>
          </cell>
          <cell r="I410">
            <v>6308300</v>
          </cell>
          <cell r="J410">
            <v>26</v>
          </cell>
        </row>
        <row r="411">
          <cell r="C411">
            <v>50024</v>
          </cell>
          <cell r="D411">
            <v>0</v>
          </cell>
          <cell r="E411">
            <v>0</v>
          </cell>
          <cell r="F411">
            <v>12634036.373662438</v>
          </cell>
          <cell r="G411">
            <v>541800</v>
          </cell>
          <cell r="H411">
            <v>24700</v>
          </cell>
          <cell r="I411">
            <v>12067500</v>
          </cell>
          <cell r="J411">
            <v>26.9375</v>
          </cell>
        </row>
        <row r="412">
          <cell r="C412">
            <v>50222</v>
          </cell>
          <cell r="D412">
            <v>0</v>
          </cell>
          <cell r="E412">
            <v>-202583.33333333331</v>
          </cell>
          <cell r="F412">
            <v>3529446.9053887902</v>
          </cell>
          <cell r="G412">
            <v>0</v>
          </cell>
          <cell r="H412">
            <v>24700</v>
          </cell>
          <cell r="I412">
            <v>3504700</v>
          </cell>
          <cell r="J412">
            <v>5.958333333333333</v>
          </cell>
        </row>
        <row r="413">
          <cell r="C413">
            <v>50581</v>
          </cell>
          <cell r="D413">
            <v>0</v>
          </cell>
          <cell r="E413">
            <v>0</v>
          </cell>
          <cell r="F413">
            <v>13525328.530256206</v>
          </cell>
          <cell r="G413">
            <v>541800</v>
          </cell>
          <cell r="H413">
            <v>24700</v>
          </cell>
          <cell r="I413">
            <v>12958800</v>
          </cell>
          <cell r="J413">
            <v>27</v>
          </cell>
        </row>
        <row r="414">
          <cell r="C414">
            <v>50918</v>
          </cell>
          <cell r="D414">
            <v>0</v>
          </cell>
          <cell r="E414">
            <v>0</v>
          </cell>
          <cell r="F414">
            <v>12918252.053676814</v>
          </cell>
          <cell r="G414">
            <v>518595</v>
          </cell>
          <cell r="H414">
            <v>24700</v>
          </cell>
          <cell r="I414">
            <v>12375000</v>
          </cell>
          <cell r="J414">
            <v>27</v>
          </cell>
        </row>
        <row r="415">
          <cell r="C415">
            <v>51130</v>
          </cell>
          <cell r="D415">
            <v>0</v>
          </cell>
          <cell r="E415">
            <v>0</v>
          </cell>
          <cell r="F415">
            <v>13090863.814063985</v>
          </cell>
          <cell r="G415">
            <v>541800</v>
          </cell>
          <cell r="H415">
            <v>24700</v>
          </cell>
          <cell r="I415">
            <v>12524400</v>
          </cell>
          <cell r="J415">
            <v>25</v>
          </cell>
        </row>
        <row r="416">
          <cell r="C416">
            <v>51473</v>
          </cell>
          <cell r="D416">
            <v>0</v>
          </cell>
          <cell r="E416">
            <v>0</v>
          </cell>
          <cell r="F416">
            <v>13328092.544983918</v>
          </cell>
          <cell r="G416">
            <v>518595</v>
          </cell>
          <cell r="H416">
            <v>24700</v>
          </cell>
          <cell r="I416">
            <v>12784800</v>
          </cell>
          <cell r="J416">
            <v>27</v>
          </cell>
        </row>
        <row r="417">
          <cell r="C417">
            <v>51618</v>
          </cell>
          <cell r="D417">
            <v>0</v>
          </cell>
          <cell r="E417">
            <v>0</v>
          </cell>
          <cell r="F417">
            <v>12652113.624945413</v>
          </cell>
          <cell r="G417">
            <v>541800</v>
          </cell>
          <cell r="H417">
            <v>24700</v>
          </cell>
          <cell r="I417">
            <v>12085600</v>
          </cell>
          <cell r="J417">
            <v>26.416666666666668</v>
          </cell>
        </row>
        <row r="418">
          <cell r="C418">
            <v>51652</v>
          </cell>
          <cell r="D418">
            <v>0</v>
          </cell>
          <cell r="E418">
            <v>0</v>
          </cell>
          <cell r="F418">
            <v>12934377.228234872</v>
          </cell>
          <cell r="G418">
            <v>541800</v>
          </cell>
          <cell r="H418">
            <v>24700</v>
          </cell>
          <cell r="I418">
            <v>12367900</v>
          </cell>
          <cell r="J418">
            <v>26.75</v>
          </cell>
        </row>
        <row r="419">
          <cell r="C419">
            <v>51723</v>
          </cell>
          <cell r="D419">
            <v>0</v>
          </cell>
          <cell r="E419">
            <v>0</v>
          </cell>
          <cell r="F419">
            <v>11292864.371236643</v>
          </cell>
          <cell r="G419">
            <v>518595</v>
          </cell>
          <cell r="H419">
            <v>24700</v>
          </cell>
          <cell r="I419">
            <v>10749600</v>
          </cell>
          <cell r="J419">
            <v>21.458333333333332</v>
          </cell>
        </row>
        <row r="420">
          <cell r="C420">
            <v>51946</v>
          </cell>
          <cell r="D420">
            <v>0</v>
          </cell>
          <cell r="E420">
            <v>-265200</v>
          </cell>
          <cell r="F420">
            <v>12683187.028747002</v>
          </cell>
          <cell r="G420">
            <v>518595</v>
          </cell>
          <cell r="H420">
            <v>24700</v>
          </cell>
          <cell r="I420">
            <v>12139900</v>
          </cell>
          <cell r="J420">
            <v>27</v>
          </cell>
        </row>
        <row r="421">
          <cell r="C421">
            <v>51948</v>
          </cell>
          <cell r="D421">
            <v>-586773</v>
          </cell>
          <cell r="E421">
            <v>-262650</v>
          </cell>
          <cell r="F421">
            <v>13073122.854792625</v>
          </cell>
          <cell r="G421">
            <v>518595</v>
          </cell>
          <cell r="H421">
            <v>24700</v>
          </cell>
          <cell r="I421">
            <v>12529800</v>
          </cell>
          <cell r="J421">
            <v>26.75</v>
          </cell>
        </row>
        <row r="422">
          <cell r="C422">
            <v>50005</v>
          </cell>
          <cell r="F422">
            <v>10429230.76923077</v>
          </cell>
          <cell r="G422">
            <v>696570</v>
          </cell>
          <cell r="H422">
            <v>33200</v>
          </cell>
          <cell r="I422">
            <v>9699500</v>
          </cell>
          <cell r="J422">
            <v>14</v>
          </cell>
        </row>
        <row r="423">
          <cell r="C423" t="str">
            <v>TVLA03</v>
          </cell>
          <cell r="E423">
            <v>-255000</v>
          </cell>
          <cell r="F423">
            <v>6036368.3384745698</v>
          </cell>
          <cell r="H423">
            <v>0</v>
          </cell>
          <cell r="I423">
            <v>6036400</v>
          </cell>
          <cell r="J423">
            <v>25</v>
          </cell>
        </row>
        <row r="424">
          <cell r="C424" t="str">
            <v>TVLA64</v>
          </cell>
          <cell r="E424">
            <v>0</v>
          </cell>
          <cell r="F424">
            <v>8148829.3353135018</v>
          </cell>
          <cell r="H424">
            <v>0</v>
          </cell>
          <cell r="I424">
            <v>8148800</v>
          </cell>
          <cell r="J424">
            <v>27</v>
          </cell>
        </row>
        <row r="425">
          <cell r="C425" t="str">
            <v>TVLA66</v>
          </cell>
          <cell r="E425">
            <v>0</v>
          </cell>
          <cell r="F425">
            <v>8030963.4560039006</v>
          </cell>
          <cell r="H425">
            <v>0</v>
          </cell>
          <cell r="I425">
            <v>8031000</v>
          </cell>
          <cell r="J425">
            <v>27</v>
          </cell>
        </row>
        <row r="426">
          <cell r="C426" t="str">
            <v>TVLA90</v>
          </cell>
          <cell r="E426">
            <v>0</v>
          </cell>
          <cell r="F426">
            <v>6915552.5684423391</v>
          </cell>
          <cell r="H426">
            <v>0</v>
          </cell>
          <cell r="I426">
            <v>6915600</v>
          </cell>
          <cell r="J426">
            <v>25.587499999999999</v>
          </cell>
        </row>
        <row r="427">
          <cell r="C427" t="str">
            <v>TVLA92</v>
          </cell>
          <cell r="E427">
            <v>-244800</v>
          </cell>
          <cell r="F427">
            <v>6056278.1647684462</v>
          </cell>
          <cell r="H427">
            <v>0</v>
          </cell>
          <cell r="I427">
            <v>6056300</v>
          </cell>
          <cell r="J427">
            <v>25</v>
          </cell>
        </row>
        <row r="428">
          <cell r="C428" t="str">
            <v>TVLA97</v>
          </cell>
          <cell r="E428">
            <v>0</v>
          </cell>
          <cell r="F428">
            <v>8077758.2681785235</v>
          </cell>
          <cell r="H428">
            <v>0</v>
          </cell>
          <cell r="I428">
            <v>8077800</v>
          </cell>
          <cell r="J428">
            <v>27</v>
          </cell>
        </row>
        <row r="429">
          <cell r="C429" t="str">
            <v>TVLA104</v>
          </cell>
          <cell r="E429">
            <v>0</v>
          </cell>
          <cell r="F429">
            <v>6194685.6794373738</v>
          </cell>
          <cell r="H429">
            <v>0</v>
          </cell>
          <cell r="I429">
            <v>6194700</v>
          </cell>
          <cell r="J429">
            <v>26</v>
          </cell>
        </row>
        <row r="430">
          <cell r="C430">
            <v>50928</v>
          </cell>
          <cell r="F430">
            <v>10699873.146622734</v>
          </cell>
          <cell r="G430">
            <v>518595</v>
          </cell>
          <cell r="H430">
            <v>24700</v>
          </cell>
          <cell r="I430">
            <v>10156600</v>
          </cell>
          <cell r="J430">
            <v>26</v>
          </cell>
        </row>
        <row r="431">
          <cell r="C431">
            <v>51394</v>
          </cell>
          <cell r="D431"/>
          <cell r="E431"/>
          <cell r="F431">
            <v>10418741.914618369</v>
          </cell>
          <cell r="G431">
            <v>518595</v>
          </cell>
          <cell r="H431">
            <v>24700</v>
          </cell>
          <cell r="I431">
            <v>9875400</v>
          </cell>
          <cell r="J431">
            <v>26</v>
          </cell>
        </row>
        <row r="432">
          <cell r="C432">
            <v>51905</v>
          </cell>
          <cell r="F432">
            <v>10569789.291977622</v>
          </cell>
          <cell r="G432">
            <v>518595</v>
          </cell>
          <cell r="H432">
            <v>24700</v>
          </cell>
          <cell r="I432">
            <v>10026500</v>
          </cell>
          <cell r="J432">
            <v>27</v>
          </cell>
        </row>
        <row r="433">
          <cell r="C433">
            <v>50858</v>
          </cell>
          <cell r="F433">
            <v>600000</v>
          </cell>
          <cell r="G433">
            <v>0</v>
          </cell>
          <cell r="H433">
            <v>0</v>
          </cell>
          <cell r="I433">
            <v>600000</v>
          </cell>
        </row>
        <row r="434">
          <cell r="C434">
            <v>51463</v>
          </cell>
          <cell r="F434">
            <v>500000</v>
          </cell>
          <cell r="G434">
            <v>0</v>
          </cell>
          <cell r="H434">
            <v>0</v>
          </cell>
          <cell r="I434">
            <v>500000</v>
          </cell>
        </row>
        <row r="435">
          <cell r="C435">
            <v>50460</v>
          </cell>
          <cell r="F435">
            <v>100000</v>
          </cell>
          <cell r="G435">
            <v>0</v>
          </cell>
          <cell r="H435">
            <v>0</v>
          </cell>
          <cell r="I435">
            <v>100000</v>
          </cell>
        </row>
        <row r="436">
          <cell r="C436">
            <v>50723</v>
          </cell>
          <cell r="F436">
            <v>200000</v>
          </cell>
          <cell r="G436">
            <v>0</v>
          </cell>
          <cell r="H436">
            <v>0</v>
          </cell>
          <cell r="I436">
            <v>200000</v>
          </cell>
        </row>
        <row r="437">
          <cell r="C437">
            <v>50145</v>
          </cell>
          <cell r="F437">
            <v>1000000</v>
          </cell>
          <cell r="G437">
            <v>0</v>
          </cell>
          <cell r="H437">
            <v>0</v>
          </cell>
          <cell r="I437">
            <v>1000000</v>
          </cell>
        </row>
        <row r="438">
          <cell r="C438">
            <v>50001</v>
          </cell>
          <cell r="F438">
            <v>300000</v>
          </cell>
          <cell r="G438">
            <v>0</v>
          </cell>
          <cell r="H438">
            <v>0</v>
          </cell>
          <cell r="I438">
            <v>300000</v>
          </cell>
        </row>
        <row r="439">
          <cell r="C439">
            <v>50928</v>
          </cell>
          <cell r="F439">
            <v>150000</v>
          </cell>
          <cell r="G439">
            <v>0</v>
          </cell>
          <cell r="H439">
            <v>0</v>
          </cell>
          <cell r="I439">
            <v>150000</v>
          </cell>
        </row>
        <row r="440">
          <cell r="C440">
            <v>51394</v>
          </cell>
          <cell r="F440">
            <v>300000</v>
          </cell>
          <cell r="G440">
            <v>0</v>
          </cell>
          <cell r="H440">
            <v>0</v>
          </cell>
          <cell r="I440">
            <v>300000</v>
          </cell>
        </row>
        <row r="441">
          <cell r="C441">
            <v>51905</v>
          </cell>
          <cell r="F441">
            <v>300000</v>
          </cell>
          <cell r="G441">
            <v>0</v>
          </cell>
          <cell r="H441">
            <v>0</v>
          </cell>
          <cell r="I441">
            <v>300000</v>
          </cell>
        </row>
        <row r="442">
          <cell r="C442">
            <v>50547</v>
          </cell>
          <cell r="F442">
            <v>1200000</v>
          </cell>
          <cell r="G442">
            <v>0</v>
          </cell>
          <cell r="H442">
            <v>0</v>
          </cell>
          <cell r="I442">
            <v>1200000</v>
          </cell>
        </row>
        <row r="443">
          <cell r="C443">
            <v>51868</v>
          </cell>
          <cell r="F443">
            <v>400000</v>
          </cell>
          <cell r="G443">
            <v>0</v>
          </cell>
          <cell r="H443">
            <v>0</v>
          </cell>
          <cell r="I443">
            <v>400000</v>
          </cell>
        </row>
        <row r="444">
          <cell r="C444">
            <v>51820</v>
          </cell>
          <cell r="F444">
            <v>400000</v>
          </cell>
          <cell r="G444">
            <v>0</v>
          </cell>
          <cell r="H444">
            <v>0</v>
          </cell>
          <cell r="I444">
            <v>400000</v>
          </cell>
        </row>
        <row r="445">
          <cell r="C445">
            <v>51843</v>
          </cell>
          <cell r="F445">
            <v>400000</v>
          </cell>
          <cell r="G445">
            <v>0</v>
          </cell>
          <cell r="H445">
            <v>0</v>
          </cell>
          <cell r="I445">
            <v>400000</v>
          </cell>
        </row>
        <row r="446">
          <cell r="C446">
            <v>50091</v>
          </cell>
          <cell r="F446">
            <v>400000</v>
          </cell>
          <cell r="G446">
            <v>0</v>
          </cell>
          <cell r="H446">
            <v>0</v>
          </cell>
          <cell r="I446">
            <v>400000</v>
          </cell>
        </row>
        <row r="447">
          <cell r="C447">
            <v>51653</v>
          </cell>
          <cell r="F447">
            <v>400000</v>
          </cell>
          <cell r="G447">
            <v>0</v>
          </cell>
          <cell r="H447">
            <v>0</v>
          </cell>
          <cell r="I447">
            <v>400000</v>
          </cell>
        </row>
        <row r="448">
          <cell r="C448">
            <v>80089</v>
          </cell>
          <cell r="F448">
            <v>200000</v>
          </cell>
          <cell r="G448">
            <v>0</v>
          </cell>
          <cell r="H448">
            <v>0</v>
          </cell>
          <cell r="I448">
            <v>200000</v>
          </cell>
        </row>
        <row r="449">
          <cell r="C449">
            <v>51632</v>
          </cell>
          <cell r="F449">
            <v>200000</v>
          </cell>
          <cell r="G449">
            <v>0</v>
          </cell>
          <cell r="H449">
            <v>0</v>
          </cell>
          <cell r="I449">
            <v>200000</v>
          </cell>
        </row>
        <row r="450">
          <cell r="C450">
            <v>50584</v>
          </cell>
          <cell r="F450">
            <v>100000</v>
          </cell>
          <cell r="G450">
            <v>0</v>
          </cell>
          <cell r="H450">
            <v>0</v>
          </cell>
          <cell r="I450">
            <v>100000</v>
          </cell>
        </row>
        <row r="451">
          <cell r="C451">
            <v>51696</v>
          </cell>
          <cell r="F451">
            <v>100000</v>
          </cell>
          <cell r="G451">
            <v>0</v>
          </cell>
          <cell r="H451">
            <v>0</v>
          </cell>
          <cell r="I451">
            <v>100000</v>
          </cell>
        </row>
        <row r="452">
          <cell r="C452">
            <v>52128</v>
          </cell>
          <cell r="F452">
            <v>100000</v>
          </cell>
          <cell r="G452">
            <v>0</v>
          </cell>
          <cell r="H452">
            <v>0</v>
          </cell>
          <cell r="I452">
            <v>100000</v>
          </cell>
        </row>
        <row r="453">
          <cell r="C453">
            <v>52210</v>
          </cell>
          <cell r="F453">
            <v>100000</v>
          </cell>
          <cell r="G453">
            <v>0</v>
          </cell>
          <cell r="H453">
            <v>0</v>
          </cell>
          <cell r="I453">
            <v>100000</v>
          </cell>
        </row>
        <row r="454">
          <cell r="C454">
            <v>50689</v>
          </cell>
          <cell r="F454">
            <v>100000</v>
          </cell>
          <cell r="G454">
            <v>0</v>
          </cell>
          <cell r="H454">
            <v>0</v>
          </cell>
          <cell r="I454">
            <v>100000</v>
          </cell>
        </row>
        <row r="455">
          <cell r="C455">
            <v>52248</v>
          </cell>
          <cell r="F455">
            <v>100000</v>
          </cell>
          <cell r="G455">
            <v>0</v>
          </cell>
          <cell r="H455">
            <v>0</v>
          </cell>
          <cell r="I455">
            <v>100000</v>
          </cell>
        </row>
        <row r="456">
          <cell r="C456">
            <v>51759</v>
          </cell>
          <cell r="F456">
            <v>1000000</v>
          </cell>
          <cell r="G456">
            <v>0</v>
          </cell>
          <cell r="H456">
            <v>0</v>
          </cell>
          <cell r="I456">
            <v>1000000</v>
          </cell>
        </row>
        <row r="457">
          <cell r="C457">
            <v>50105</v>
          </cell>
          <cell r="F457">
            <v>150000</v>
          </cell>
          <cell r="G457">
            <v>0</v>
          </cell>
          <cell r="H457">
            <v>0</v>
          </cell>
          <cell r="I457">
            <v>150000</v>
          </cell>
        </row>
        <row r="458">
          <cell r="C458">
            <v>51775</v>
          </cell>
          <cell r="F458">
            <v>150000</v>
          </cell>
          <cell r="G458">
            <v>0</v>
          </cell>
          <cell r="H458">
            <v>0</v>
          </cell>
          <cell r="I458">
            <v>150000</v>
          </cell>
        </row>
        <row r="459">
          <cell r="C459">
            <v>51722</v>
          </cell>
          <cell r="F459">
            <v>100000</v>
          </cell>
          <cell r="G459">
            <v>0</v>
          </cell>
          <cell r="H459">
            <v>0</v>
          </cell>
          <cell r="I459">
            <v>100000</v>
          </cell>
        </row>
        <row r="460">
          <cell r="C460">
            <v>50814</v>
          </cell>
          <cell r="F460">
            <v>100000</v>
          </cell>
          <cell r="G460">
            <v>0</v>
          </cell>
          <cell r="H460">
            <v>0</v>
          </cell>
          <cell r="I460">
            <v>100000</v>
          </cell>
        </row>
        <row r="461">
          <cell r="C461">
            <v>50639</v>
          </cell>
          <cell r="F461">
            <v>100000</v>
          </cell>
          <cell r="G461">
            <v>0</v>
          </cell>
          <cell r="H461">
            <v>0</v>
          </cell>
          <cell r="I461">
            <v>100000</v>
          </cell>
        </row>
        <row r="462">
          <cell r="C462">
            <v>50854</v>
          </cell>
          <cell r="F462">
            <v>100000</v>
          </cell>
          <cell r="G462">
            <v>0</v>
          </cell>
          <cell r="H462">
            <v>0</v>
          </cell>
          <cell r="I462">
            <v>100000</v>
          </cell>
        </row>
        <row r="464">
          <cell r="C464"/>
          <cell r="D464">
            <v>17308502.070866313</v>
          </cell>
          <cell r="E464">
            <v>-17920302.083333332</v>
          </cell>
          <cell r="F464">
            <v>3480518370.5400324</v>
          </cell>
          <cell r="G464">
            <v>163416855</v>
          </cell>
          <cell r="H464">
            <v>14223171</v>
          </cell>
          <cell r="I464">
            <v>3302878400</v>
          </cell>
          <cell r="J464">
            <v>9940.8545833333319</v>
          </cell>
        </row>
        <row r="466">
          <cell r="I466">
            <v>3266970000</v>
          </cell>
        </row>
        <row r="467">
          <cell r="I467">
            <v>35908400</v>
          </cell>
        </row>
        <row r="468">
          <cell r="I468">
            <v>3302878400</v>
          </cell>
        </row>
        <row r="469">
          <cell r="I469">
            <v>0</v>
          </cell>
        </row>
      </sheetData>
      <sheetData sheetId="1"/>
      <sheetData sheetId="2"/>
      <sheetData sheetId="3"/>
      <sheetData sheetId="4">
        <row r="3">
          <cell r="A3" t="str">
            <v>Row Labels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2"/>
      <sheetName val="Bản gốc T02"/>
      <sheetName val="Sheet1"/>
      <sheetName val="VTB"/>
      <sheetName val="TM "/>
      <sheetName val="TM CĐ"/>
      <sheetName val="TM C Nga"/>
    </sheetNames>
    <sheetDataSet>
      <sheetData sheetId="0"/>
      <sheetData sheetId="1">
        <row r="1">
          <cell r="C1" t="str">
            <v>MÃ SỐ</v>
          </cell>
          <cell r="D1" t="str">
            <v>BÙ LƯƠNG</v>
          </cell>
          <cell r="E1" t="str">
            <v>Trừ PLLĐ</v>
          </cell>
          <cell r="F1" t="str">
            <v>TỔNG LƯƠNG</v>
          </cell>
          <cell r="G1" t="str">
            <v>BHXH</v>
          </cell>
          <cell r="H1" t="str">
            <v>CĐ/Thuế TNCN</v>
          </cell>
          <cell r="I1" t="str">
            <v>THỰC LĨNH</v>
          </cell>
          <cell r="J1" t="str">
            <v>CÔNG</v>
          </cell>
        </row>
        <row r="2">
          <cell r="C2">
            <v>51930</v>
          </cell>
          <cell r="F2">
            <v>735000</v>
          </cell>
          <cell r="I2">
            <v>735000</v>
          </cell>
        </row>
        <row r="3">
          <cell r="C3">
            <v>52002</v>
          </cell>
          <cell r="E3">
            <v>-542370.83333333326</v>
          </cell>
          <cell r="F3">
            <v>3837885.9406480249</v>
          </cell>
          <cell r="G3">
            <v>458010</v>
          </cell>
          <cell r="H3">
            <v>44000</v>
          </cell>
          <cell r="I3">
            <v>3335900</v>
          </cell>
          <cell r="J3">
            <v>15.952083333333333</v>
          </cell>
        </row>
        <row r="4">
          <cell r="C4">
            <v>52036</v>
          </cell>
          <cell r="D4">
            <v>254514.6251857403</v>
          </cell>
          <cell r="E4">
            <v>0</v>
          </cell>
          <cell r="F4">
            <v>5701584.8171219509</v>
          </cell>
          <cell r="G4">
            <v>458010</v>
          </cell>
          <cell r="H4">
            <v>44000</v>
          </cell>
          <cell r="I4">
            <v>5199600</v>
          </cell>
          <cell r="J4">
            <v>21.5</v>
          </cell>
        </row>
        <row r="5">
          <cell r="C5">
            <v>52073</v>
          </cell>
          <cell r="D5">
            <v>60931.852030926355</v>
          </cell>
          <cell r="E5">
            <v>0</v>
          </cell>
          <cell r="F5">
            <v>2594493.6287383037</v>
          </cell>
          <cell r="G5">
            <v>0</v>
          </cell>
          <cell r="H5">
            <v>0</v>
          </cell>
          <cell r="I5">
            <v>2594500</v>
          </cell>
          <cell r="J5">
            <v>11</v>
          </cell>
        </row>
        <row r="6">
          <cell r="C6">
            <v>10198</v>
          </cell>
          <cell r="D6">
            <v>336648.39794010646</v>
          </cell>
          <cell r="E6">
            <v>0</v>
          </cell>
          <cell r="F6">
            <v>5151070.8135983553</v>
          </cell>
          <cell r="G6"/>
          <cell r="H6">
            <v>0</v>
          </cell>
          <cell r="I6">
            <v>5151100</v>
          </cell>
          <cell r="J6">
            <v>22.5</v>
          </cell>
        </row>
        <row r="7">
          <cell r="C7">
            <v>51979</v>
          </cell>
          <cell r="E7">
            <v>0</v>
          </cell>
          <cell r="F7">
            <v>6233680.4447723711</v>
          </cell>
          <cell r="G7">
            <v>458010</v>
          </cell>
          <cell r="H7">
            <v>44000</v>
          </cell>
          <cell r="I7">
            <v>5731700</v>
          </cell>
          <cell r="J7">
            <v>23.5</v>
          </cell>
        </row>
        <row r="8">
          <cell r="C8">
            <v>52054</v>
          </cell>
          <cell r="E8">
            <v>0</v>
          </cell>
          <cell r="F8">
            <v>4618256.6861811914</v>
          </cell>
          <cell r="G8"/>
          <cell r="H8">
            <v>0</v>
          </cell>
          <cell r="I8">
            <v>4618300</v>
          </cell>
          <cell r="J8">
            <v>21</v>
          </cell>
        </row>
        <row r="9">
          <cell r="C9">
            <v>52071</v>
          </cell>
          <cell r="E9">
            <v>0</v>
          </cell>
          <cell r="F9">
            <v>2125764.2229266698</v>
          </cell>
          <cell r="G9">
            <v>0</v>
          </cell>
          <cell r="H9">
            <v>0</v>
          </cell>
          <cell r="I9">
            <v>2125800</v>
          </cell>
          <cell r="J9">
            <v>11</v>
          </cell>
        </row>
        <row r="10">
          <cell r="C10">
            <v>52088</v>
          </cell>
          <cell r="E10">
            <v>0</v>
          </cell>
          <cell r="F10">
            <v>575385</v>
          </cell>
          <cell r="G10">
            <v>0</v>
          </cell>
          <cell r="H10">
            <v>0</v>
          </cell>
          <cell r="I10">
            <v>575400</v>
          </cell>
          <cell r="J10">
            <v>5</v>
          </cell>
        </row>
        <row r="11">
          <cell r="C11">
            <v>10262</v>
          </cell>
          <cell r="E11">
            <v>0</v>
          </cell>
          <cell r="F11">
            <v>336923</v>
          </cell>
          <cell r="G11">
            <v>0</v>
          </cell>
          <cell r="H11">
            <v>0</v>
          </cell>
          <cell r="I11">
            <v>336900</v>
          </cell>
          <cell r="J11">
            <v>2</v>
          </cell>
        </row>
        <row r="12">
          <cell r="C12">
            <v>10260</v>
          </cell>
          <cell r="E12">
            <v>0</v>
          </cell>
          <cell r="F12">
            <v>939674.04836461425</v>
          </cell>
          <cell r="G12">
            <v>0</v>
          </cell>
          <cell r="H12">
            <v>0</v>
          </cell>
          <cell r="I12">
            <v>939700</v>
          </cell>
          <cell r="J12">
            <v>4</v>
          </cell>
        </row>
        <row r="13">
          <cell r="C13">
            <v>10258</v>
          </cell>
          <cell r="E13">
            <v>0</v>
          </cell>
          <cell r="F13">
            <v>767061.26222574676</v>
          </cell>
          <cell r="G13">
            <v>0</v>
          </cell>
          <cell r="H13">
            <v>0</v>
          </cell>
          <cell r="I13">
            <v>767100</v>
          </cell>
          <cell r="J13">
            <v>5</v>
          </cell>
        </row>
        <row r="14">
          <cell r="C14">
            <v>10255</v>
          </cell>
          <cell r="E14">
            <v>0</v>
          </cell>
          <cell r="F14">
            <v>1461435.2750361203</v>
          </cell>
          <cell r="G14">
            <v>0</v>
          </cell>
          <cell r="H14">
            <v>0</v>
          </cell>
          <cell r="I14">
            <v>1461400</v>
          </cell>
          <cell r="J14">
            <v>10</v>
          </cell>
        </row>
        <row r="15">
          <cell r="C15">
            <v>51735</v>
          </cell>
          <cell r="E15">
            <v>0</v>
          </cell>
          <cell r="F15">
            <v>6724953.988247863</v>
          </cell>
          <cell r="G15">
            <v>458010</v>
          </cell>
          <cell r="H15">
            <v>44000</v>
          </cell>
          <cell r="I15">
            <v>6222900</v>
          </cell>
          <cell r="J15">
            <v>20</v>
          </cell>
        </row>
        <row r="16">
          <cell r="C16">
            <v>52059</v>
          </cell>
          <cell r="E16">
            <v>0</v>
          </cell>
          <cell r="F16">
            <v>4236812.366452991</v>
          </cell>
          <cell r="G16"/>
          <cell r="H16">
            <v>0</v>
          </cell>
          <cell r="I16">
            <v>4236800</v>
          </cell>
          <cell r="J16">
            <v>17</v>
          </cell>
        </row>
        <row r="17">
          <cell r="C17">
            <v>52060</v>
          </cell>
          <cell r="E17">
            <v>0</v>
          </cell>
          <cell r="F17">
            <v>4017599.626068376</v>
          </cell>
          <cell r="H17">
            <v>0</v>
          </cell>
          <cell r="I17">
            <v>4017600</v>
          </cell>
          <cell r="J17">
            <v>17</v>
          </cell>
        </row>
        <row r="18">
          <cell r="C18">
            <v>52061</v>
          </cell>
          <cell r="E18">
            <v>0</v>
          </cell>
          <cell r="F18">
            <v>3060306.08974359</v>
          </cell>
          <cell r="H18">
            <v>0</v>
          </cell>
          <cell r="I18">
            <v>3060300</v>
          </cell>
          <cell r="J18">
            <v>15</v>
          </cell>
        </row>
        <row r="19">
          <cell r="C19">
            <v>52062</v>
          </cell>
          <cell r="E19">
            <v>0</v>
          </cell>
          <cell r="F19">
            <v>3509848.29059829</v>
          </cell>
          <cell r="H19">
            <v>0</v>
          </cell>
          <cell r="I19">
            <v>3509800</v>
          </cell>
          <cell r="J19">
            <v>16</v>
          </cell>
        </row>
        <row r="20">
          <cell r="C20">
            <v>52030</v>
          </cell>
          <cell r="D20">
            <v>0</v>
          </cell>
          <cell r="E20">
            <v>0</v>
          </cell>
          <cell r="F20">
            <v>6705953.4907642901</v>
          </cell>
          <cell r="G20"/>
          <cell r="I20">
            <v>6706000</v>
          </cell>
          <cell r="J20">
            <v>23</v>
          </cell>
        </row>
        <row r="21">
          <cell r="C21">
            <v>52085</v>
          </cell>
          <cell r="E21">
            <v>0</v>
          </cell>
          <cell r="F21">
            <v>1557891.7466378545</v>
          </cell>
          <cell r="G21">
            <v>0</v>
          </cell>
          <cell r="H21">
            <v>0</v>
          </cell>
          <cell r="I21">
            <v>1557900</v>
          </cell>
          <cell r="J21">
            <v>7</v>
          </cell>
        </row>
        <row r="22">
          <cell r="C22" t="str">
            <v>TV</v>
          </cell>
          <cell r="F22">
            <v>8395000</v>
          </cell>
          <cell r="H22">
            <v>0</v>
          </cell>
          <cell r="I22">
            <v>8395000</v>
          </cell>
          <cell r="J22">
            <v>23</v>
          </cell>
        </row>
        <row r="23">
          <cell r="C23">
            <v>52034</v>
          </cell>
          <cell r="E23">
            <v>0</v>
          </cell>
          <cell r="F23">
            <v>903590.25550660794</v>
          </cell>
          <cell r="G23">
            <v>0</v>
          </cell>
          <cell r="I23">
            <v>903600</v>
          </cell>
          <cell r="J23">
            <v>6.5</v>
          </cell>
        </row>
        <row r="24">
          <cell r="C24">
            <v>51282</v>
          </cell>
          <cell r="E24">
            <v>0</v>
          </cell>
          <cell r="F24">
            <v>1293400.3687908091</v>
          </cell>
          <cell r="G24">
            <v>0</v>
          </cell>
          <cell r="I24">
            <v>1293400</v>
          </cell>
          <cell r="J24">
            <v>4.385416666666667</v>
          </cell>
        </row>
        <row r="25">
          <cell r="C25">
            <v>51990</v>
          </cell>
          <cell r="E25">
            <v>0</v>
          </cell>
          <cell r="F25">
            <v>905543.48717948713</v>
          </cell>
          <cell r="G25">
            <v>0</v>
          </cell>
          <cell r="I25">
            <v>905500</v>
          </cell>
          <cell r="J25">
            <v>2</v>
          </cell>
        </row>
        <row r="26">
          <cell r="C26">
            <v>52055</v>
          </cell>
          <cell r="E26">
            <v>0</v>
          </cell>
          <cell r="F26">
            <v>4125000</v>
          </cell>
          <cell r="G26">
            <v>0</v>
          </cell>
          <cell r="I26">
            <v>4125000</v>
          </cell>
          <cell r="J26">
            <v>12</v>
          </cell>
        </row>
        <row r="27">
          <cell r="C27">
            <v>52056</v>
          </cell>
          <cell r="E27">
            <v>0</v>
          </cell>
          <cell r="F27">
            <v>704445.10068310064</v>
          </cell>
          <cell r="G27">
            <v>0</v>
          </cell>
          <cell r="I27">
            <v>704400</v>
          </cell>
          <cell r="J27">
            <v>4</v>
          </cell>
        </row>
        <row r="28">
          <cell r="C28">
            <v>52066</v>
          </cell>
          <cell r="E28">
            <v>0</v>
          </cell>
          <cell r="F28">
            <v>7356000</v>
          </cell>
          <cell r="G28"/>
          <cell r="I28">
            <v>7356000</v>
          </cell>
          <cell r="J28">
            <v>21</v>
          </cell>
        </row>
        <row r="29">
          <cell r="C29">
            <v>52067</v>
          </cell>
          <cell r="E29">
            <v>0</v>
          </cell>
          <cell r="F29">
            <v>7534000</v>
          </cell>
          <cell r="I29">
            <v>7534000</v>
          </cell>
          <cell r="J29">
            <v>22</v>
          </cell>
        </row>
        <row r="30">
          <cell r="C30">
            <v>52069</v>
          </cell>
          <cell r="E30">
            <v>0</v>
          </cell>
          <cell r="F30">
            <v>7941500</v>
          </cell>
          <cell r="G30"/>
          <cell r="I30">
            <v>7941500</v>
          </cell>
          <cell r="J30">
            <v>23</v>
          </cell>
        </row>
        <row r="31">
          <cell r="C31">
            <v>52051</v>
          </cell>
          <cell r="E31">
            <v>0</v>
          </cell>
          <cell r="F31">
            <v>1660756.8780960974</v>
          </cell>
          <cell r="G31">
            <v>0</v>
          </cell>
          <cell r="H31">
            <v>0</v>
          </cell>
          <cell r="I31">
            <v>1660800</v>
          </cell>
          <cell r="J31">
            <v>9</v>
          </cell>
        </row>
        <row r="32">
          <cell r="C32">
            <v>10253</v>
          </cell>
          <cell r="E32">
            <v>0</v>
          </cell>
          <cell r="F32">
            <v>522929.48717948725</v>
          </cell>
          <cell r="G32">
            <v>0</v>
          </cell>
          <cell r="H32">
            <v>0</v>
          </cell>
          <cell r="I32">
            <v>522900</v>
          </cell>
          <cell r="J32">
            <v>5</v>
          </cell>
        </row>
        <row r="33">
          <cell r="C33">
            <v>51899</v>
          </cell>
          <cell r="F33">
            <v>4776175</v>
          </cell>
          <cell r="I33">
            <v>4776200</v>
          </cell>
          <cell r="J33">
            <v>13</v>
          </cell>
        </row>
        <row r="34">
          <cell r="C34">
            <v>51884</v>
          </cell>
          <cell r="E34">
            <v>0</v>
          </cell>
          <cell r="F34">
            <v>6417000</v>
          </cell>
          <cell r="I34">
            <v>6417000</v>
          </cell>
          <cell r="J34">
            <v>18</v>
          </cell>
        </row>
        <row r="35">
          <cell r="C35">
            <v>51925</v>
          </cell>
          <cell r="E35">
            <v>0</v>
          </cell>
          <cell r="F35">
            <v>7025000</v>
          </cell>
          <cell r="I35">
            <v>7025000</v>
          </cell>
          <cell r="J35">
            <v>20</v>
          </cell>
        </row>
        <row r="36">
          <cell r="C36">
            <v>10202</v>
          </cell>
          <cell r="E36">
            <v>0</v>
          </cell>
          <cell r="F36">
            <v>7025000</v>
          </cell>
          <cell r="I36">
            <v>7025000</v>
          </cell>
          <cell r="J36">
            <v>20</v>
          </cell>
        </row>
        <row r="37">
          <cell r="C37">
            <v>52042</v>
          </cell>
          <cell r="E37">
            <v>0</v>
          </cell>
          <cell r="F37">
            <v>6288500</v>
          </cell>
          <cell r="I37">
            <v>6288500</v>
          </cell>
          <cell r="J37">
            <v>17</v>
          </cell>
        </row>
        <row r="38">
          <cell r="C38">
            <v>52078</v>
          </cell>
          <cell r="D38">
            <v>284141.24689826288</v>
          </cell>
          <cell r="E38">
            <v>0</v>
          </cell>
          <cell r="F38">
            <v>1777397.5992555828</v>
          </cell>
          <cell r="G38">
            <v>0</v>
          </cell>
          <cell r="H38">
            <v>0</v>
          </cell>
          <cell r="I38">
            <v>1777400</v>
          </cell>
          <cell r="J38">
            <v>9</v>
          </cell>
        </row>
        <row r="39">
          <cell r="C39">
            <v>52081</v>
          </cell>
          <cell r="D39">
            <v>138342.87476738149</v>
          </cell>
          <cell r="E39">
            <v>0</v>
          </cell>
          <cell r="F39">
            <v>1876337.7983095411</v>
          </cell>
          <cell r="G39">
            <v>0</v>
          </cell>
          <cell r="H39">
            <v>0</v>
          </cell>
          <cell r="I39">
            <v>1876300</v>
          </cell>
          <cell r="J39">
            <v>9</v>
          </cell>
        </row>
        <row r="40">
          <cell r="C40">
            <v>10256</v>
          </cell>
          <cell r="D40">
            <v>179626.0783194426</v>
          </cell>
          <cell r="E40">
            <v>0</v>
          </cell>
          <cell r="F40">
            <v>1562669.9793728653</v>
          </cell>
          <cell r="G40">
            <v>0</v>
          </cell>
          <cell r="H40">
            <v>0</v>
          </cell>
          <cell r="I40">
            <v>1562700</v>
          </cell>
          <cell r="J40">
            <v>8</v>
          </cell>
        </row>
        <row r="41">
          <cell r="C41">
            <v>10250</v>
          </cell>
          <cell r="D41">
            <v>505438.64434043097</v>
          </cell>
          <cell r="E41">
            <v>0</v>
          </cell>
          <cell r="F41">
            <v>3106751.6441211072</v>
          </cell>
          <cell r="H41">
            <v>0</v>
          </cell>
          <cell r="I41">
            <v>3106800</v>
          </cell>
          <cell r="J41">
            <v>17</v>
          </cell>
        </row>
        <row r="42">
          <cell r="C42">
            <v>51783</v>
          </cell>
          <cell r="D42">
            <v>0</v>
          </cell>
          <cell r="E42">
            <v>0</v>
          </cell>
          <cell r="F42">
            <v>7307507.5727585694</v>
          </cell>
          <cell r="G42">
            <v>458010</v>
          </cell>
          <cell r="H42">
            <v>44000</v>
          </cell>
          <cell r="I42">
            <v>6805500</v>
          </cell>
          <cell r="J42">
            <v>22.5</v>
          </cell>
        </row>
        <row r="43">
          <cell r="C43">
            <v>10217</v>
          </cell>
          <cell r="D43">
            <v>0</v>
          </cell>
          <cell r="E43">
            <v>0</v>
          </cell>
          <cell r="F43">
            <v>5795894.3816117421</v>
          </cell>
          <cell r="H43">
            <v>0</v>
          </cell>
          <cell r="I43">
            <v>5795900</v>
          </cell>
          <cell r="J43">
            <v>22.5</v>
          </cell>
        </row>
        <row r="44">
          <cell r="C44">
            <v>52075</v>
          </cell>
          <cell r="D44">
            <v>241144.51960614193</v>
          </cell>
          <cell r="E44">
            <v>0</v>
          </cell>
          <cell r="F44">
            <v>2144427.9803938577</v>
          </cell>
          <cell r="G44">
            <v>0</v>
          </cell>
          <cell r="H44">
            <v>0</v>
          </cell>
          <cell r="I44">
            <v>2144400</v>
          </cell>
          <cell r="J44">
            <v>10</v>
          </cell>
        </row>
        <row r="45">
          <cell r="C45">
            <v>10213</v>
          </cell>
          <cell r="D45">
            <v>320616.5261050316</v>
          </cell>
          <cell r="E45">
            <v>0</v>
          </cell>
          <cell r="F45">
            <v>5366650.7623565067</v>
          </cell>
          <cell r="H45">
            <v>0</v>
          </cell>
          <cell r="I45">
            <v>5366700</v>
          </cell>
          <cell r="J45">
            <v>22.5</v>
          </cell>
        </row>
        <row r="46">
          <cell r="C46">
            <v>51845</v>
          </cell>
          <cell r="E46">
            <v>0</v>
          </cell>
          <cell r="F46">
            <v>7447073.6321589565</v>
          </cell>
          <cell r="G46">
            <v>458010</v>
          </cell>
          <cell r="H46">
            <v>44000</v>
          </cell>
          <cell r="I46">
            <v>6945100</v>
          </cell>
          <cell r="J46">
            <v>22.5</v>
          </cell>
        </row>
        <row r="47">
          <cell r="C47">
            <v>52063</v>
          </cell>
          <cell r="D47">
            <v>249459.61598203849</v>
          </cell>
          <cell r="E47">
            <v>0</v>
          </cell>
          <cell r="F47">
            <v>3467874.903248731</v>
          </cell>
          <cell r="G47"/>
          <cell r="H47">
            <v>0</v>
          </cell>
          <cell r="I47">
            <v>3467900</v>
          </cell>
          <cell r="J47">
            <v>16</v>
          </cell>
        </row>
        <row r="48">
          <cell r="C48">
            <v>52082</v>
          </cell>
          <cell r="E48">
            <v>0</v>
          </cell>
          <cell r="F48">
            <v>1319822.4754578755</v>
          </cell>
          <cell r="G48"/>
          <cell r="H48">
            <v>0</v>
          </cell>
          <cell r="I48">
            <v>1319800</v>
          </cell>
          <cell r="J48">
            <v>7</v>
          </cell>
        </row>
        <row r="49">
          <cell r="C49">
            <v>52087</v>
          </cell>
          <cell r="D49">
            <v>92527.962663053579</v>
          </cell>
          <cell r="E49">
            <v>0</v>
          </cell>
          <cell r="F49">
            <v>1032578.2681061772</v>
          </cell>
          <cell r="G49"/>
          <cell r="H49">
            <v>0</v>
          </cell>
          <cell r="I49">
            <v>1032600</v>
          </cell>
          <cell r="J49">
            <v>4.5</v>
          </cell>
        </row>
        <row r="50">
          <cell r="C50">
            <v>10227</v>
          </cell>
          <cell r="D50">
            <v>167826.28065033513</v>
          </cell>
          <cell r="E50">
            <v>0</v>
          </cell>
          <cell r="F50">
            <v>4689676.5847342815</v>
          </cell>
          <cell r="G50"/>
          <cell r="H50">
            <v>0</v>
          </cell>
          <cell r="I50">
            <v>4689700</v>
          </cell>
          <cell r="J50">
            <v>21.5</v>
          </cell>
        </row>
        <row r="51">
          <cell r="C51">
            <v>52083</v>
          </cell>
          <cell r="D51">
            <v>361114.62187601428</v>
          </cell>
          <cell r="E51">
            <v>0</v>
          </cell>
          <cell r="F51">
            <v>1350096.9165855241</v>
          </cell>
          <cell r="G51"/>
          <cell r="H51">
            <v>0</v>
          </cell>
          <cell r="I51">
            <v>1350100</v>
          </cell>
          <cell r="J51">
            <v>7</v>
          </cell>
        </row>
        <row r="52">
          <cell r="C52">
            <v>10251</v>
          </cell>
          <cell r="D52">
            <v>789913.36866717075</v>
          </cell>
          <cell r="E52">
            <v>0</v>
          </cell>
          <cell r="F52">
            <v>3550389.5159482141</v>
          </cell>
          <cell r="G52"/>
          <cell r="H52">
            <v>0</v>
          </cell>
          <cell r="I52">
            <v>3550400</v>
          </cell>
          <cell r="J52">
            <v>18</v>
          </cell>
        </row>
        <row r="53">
          <cell r="C53">
            <v>10232</v>
          </cell>
          <cell r="D53">
            <v>0</v>
          </cell>
          <cell r="E53">
            <v>0</v>
          </cell>
          <cell r="F53">
            <v>6207072.2270170031</v>
          </cell>
          <cell r="G53"/>
          <cell r="H53">
            <v>0</v>
          </cell>
          <cell r="I53">
            <v>6207100</v>
          </cell>
          <cell r="J53">
            <v>22.5</v>
          </cell>
        </row>
        <row r="54">
          <cell r="C54">
            <v>52057</v>
          </cell>
          <cell r="D54">
            <v>206922.76274374692</v>
          </cell>
          <cell r="E54">
            <v>0</v>
          </cell>
          <cell r="F54">
            <v>4751589.2564870222</v>
          </cell>
          <cell r="H54">
            <v>0</v>
          </cell>
          <cell r="I54">
            <v>4751600</v>
          </cell>
          <cell r="J54">
            <v>19</v>
          </cell>
        </row>
        <row r="55">
          <cell r="C55">
            <v>52090</v>
          </cell>
          <cell r="D55">
            <v>0</v>
          </cell>
          <cell r="E55">
            <v>0</v>
          </cell>
          <cell r="F55">
            <v>268289.02243589744</v>
          </cell>
          <cell r="H55">
            <v>0</v>
          </cell>
          <cell r="I55">
            <v>268300</v>
          </cell>
          <cell r="J55">
            <v>1</v>
          </cell>
        </row>
        <row r="56">
          <cell r="C56">
            <v>10252</v>
          </cell>
          <cell r="D56">
            <v>270690.67282873369</v>
          </cell>
          <cell r="E56">
            <v>0</v>
          </cell>
          <cell r="F56">
            <v>3348499.6156328041</v>
          </cell>
          <cell r="H56">
            <v>0</v>
          </cell>
          <cell r="I56">
            <v>3348500</v>
          </cell>
          <cell r="J56">
            <v>15</v>
          </cell>
        </row>
        <row r="57">
          <cell r="C57">
            <v>51958</v>
          </cell>
          <cell r="J57"/>
        </row>
        <row r="58">
          <cell r="C58">
            <v>52076</v>
          </cell>
          <cell r="D58"/>
          <cell r="E58">
            <v>0</v>
          </cell>
          <cell r="F58">
            <v>2231946.2373838378</v>
          </cell>
          <cell r="G58">
            <v>0</v>
          </cell>
          <cell r="H58">
            <v>0</v>
          </cell>
          <cell r="I58">
            <v>2231900</v>
          </cell>
          <cell r="J58">
            <v>10</v>
          </cell>
        </row>
        <row r="59">
          <cell r="C59">
            <v>51808</v>
          </cell>
          <cell r="D59">
            <v>0</v>
          </cell>
          <cell r="E59">
            <v>0</v>
          </cell>
          <cell r="F59">
            <v>7717806.5850731507</v>
          </cell>
          <cell r="G59">
            <v>458010</v>
          </cell>
          <cell r="H59">
            <v>44000</v>
          </cell>
          <cell r="I59">
            <v>7215800</v>
          </cell>
          <cell r="J59">
            <v>22.5</v>
          </cell>
        </row>
        <row r="60">
          <cell r="C60">
            <v>51292</v>
          </cell>
          <cell r="D60">
            <v>96429.56992000551</v>
          </cell>
          <cell r="E60">
            <v>0</v>
          </cell>
          <cell r="F60">
            <v>6274546.7954646097</v>
          </cell>
          <cell r="G60">
            <v>458010</v>
          </cell>
          <cell r="H60">
            <v>44000</v>
          </cell>
          <cell r="I60">
            <v>5772500</v>
          </cell>
          <cell r="J60">
            <v>22</v>
          </cell>
        </row>
        <row r="61">
          <cell r="C61">
            <v>52072</v>
          </cell>
          <cell r="D61">
            <v>0</v>
          </cell>
          <cell r="E61">
            <v>0</v>
          </cell>
          <cell r="F61">
            <v>3920362.3605030528</v>
          </cell>
          <cell r="G61">
            <v>0</v>
          </cell>
          <cell r="H61">
            <v>0</v>
          </cell>
          <cell r="I61">
            <v>3920400</v>
          </cell>
          <cell r="J61">
            <v>11</v>
          </cell>
        </row>
        <row r="62">
          <cell r="C62">
            <v>10254</v>
          </cell>
          <cell r="D62">
            <v>226662.28815789477</v>
          </cell>
          <cell r="E62">
            <v>0</v>
          </cell>
          <cell r="F62">
            <v>2196907.8079959513</v>
          </cell>
          <cell r="G62">
            <v>0</v>
          </cell>
          <cell r="H62">
            <v>0</v>
          </cell>
          <cell r="I62">
            <v>2196900</v>
          </cell>
          <cell r="J62">
            <v>11</v>
          </cell>
        </row>
        <row r="63">
          <cell r="C63">
            <v>52058</v>
          </cell>
          <cell r="E63">
            <v>0</v>
          </cell>
          <cell r="F63">
            <v>4080217.3766200505</v>
          </cell>
          <cell r="H63">
            <v>0</v>
          </cell>
          <cell r="I63">
            <v>4080200</v>
          </cell>
          <cell r="J63">
            <v>18</v>
          </cell>
        </row>
        <row r="64">
          <cell r="C64">
            <v>52064</v>
          </cell>
          <cell r="D64">
            <v>244724.56189866411</v>
          </cell>
          <cell r="E64">
            <v>0</v>
          </cell>
          <cell r="F64">
            <v>3102393.2265628735</v>
          </cell>
          <cell r="H64">
            <v>0</v>
          </cell>
          <cell r="I64">
            <v>3102400</v>
          </cell>
          <cell r="J64">
            <v>15</v>
          </cell>
        </row>
        <row r="65">
          <cell r="C65">
            <v>52065</v>
          </cell>
          <cell r="E65">
            <v>0</v>
          </cell>
          <cell r="F65">
            <v>3190617.2610625117</v>
          </cell>
          <cell r="H65">
            <v>0</v>
          </cell>
          <cell r="I65">
            <v>3190600</v>
          </cell>
          <cell r="J65">
            <v>15</v>
          </cell>
        </row>
        <row r="66">
          <cell r="C66">
            <v>52012</v>
          </cell>
          <cell r="F66">
            <v>4692500</v>
          </cell>
          <cell r="H66">
            <v>0</v>
          </cell>
          <cell r="I66">
            <v>4692500</v>
          </cell>
          <cell r="J66">
            <v>21.5</v>
          </cell>
        </row>
        <row r="67">
          <cell r="C67">
            <v>52013</v>
          </cell>
          <cell r="F67">
            <v>4721250</v>
          </cell>
          <cell r="H67">
            <v>0</v>
          </cell>
          <cell r="I67">
            <v>4721300</v>
          </cell>
          <cell r="J67">
            <v>22.5</v>
          </cell>
        </row>
        <row r="68">
          <cell r="C68">
            <v>10261</v>
          </cell>
          <cell r="F68">
            <v>847916.66666666651</v>
          </cell>
          <cell r="H68">
            <v>0</v>
          </cell>
          <cell r="I68">
            <v>847900</v>
          </cell>
          <cell r="J68">
            <v>4</v>
          </cell>
        </row>
        <row r="69">
          <cell r="C69">
            <v>10222</v>
          </cell>
          <cell r="F69">
            <v>3963750</v>
          </cell>
          <cell r="H69">
            <v>0</v>
          </cell>
          <cell r="I69">
            <v>3963800</v>
          </cell>
          <cell r="J69">
            <v>19</v>
          </cell>
        </row>
        <row r="70">
          <cell r="C70" t="str">
            <v>TVLA64</v>
          </cell>
          <cell r="F70">
            <v>4713750</v>
          </cell>
          <cell r="H70">
            <v>0</v>
          </cell>
          <cell r="I70">
            <v>4713800</v>
          </cell>
          <cell r="J70">
            <v>22.5</v>
          </cell>
        </row>
        <row r="71">
          <cell r="C71" t="str">
            <v>TVLA65</v>
          </cell>
          <cell r="F71">
            <v>4638750</v>
          </cell>
          <cell r="H71">
            <v>0</v>
          </cell>
          <cell r="I71">
            <v>4638800</v>
          </cell>
          <cell r="J71">
            <v>22</v>
          </cell>
        </row>
        <row r="72">
          <cell r="C72" t="str">
            <v>TVLA66</v>
          </cell>
          <cell r="F72">
            <v>4600833.333333333</v>
          </cell>
          <cell r="H72">
            <v>0</v>
          </cell>
          <cell r="I72">
            <v>4600800</v>
          </cell>
          <cell r="J72">
            <v>22</v>
          </cell>
        </row>
        <row r="73">
          <cell r="C73" t="str">
            <v>TVLA70</v>
          </cell>
          <cell r="F73">
            <v>4222500</v>
          </cell>
          <cell r="H73">
            <v>0</v>
          </cell>
          <cell r="I73">
            <v>4222500</v>
          </cell>
          <cell r="J73">
            <v>20</v>
          </cell>
        </row>
        <row r="74">
          <cell r="C74" t="str">
            <v>TVLA46</v>
          </cell>
          <cell r="F74">
            <v>4385416.666666666</v>
          </cell>
          <cell r="H74">
            <v>0</v>
          </cell>
          <cell r="I74">
            <v>4385400</v>
          </cell>
          <cell r="J74">
            <v>20.5</v>
          </cell>
        </row>
        <row r="75">
          <cell r="C75" t="str">
            <v>TVLA81</v>
          </cell>
          <cell r="F75">
            <v>4522916.666666667</v>
          </cell>
          <cell r="H75">
            <v>0</v>
          </cell>
          <cell r="I75">
            <v>4522900</v>
          </cell>
          <cell r="J75">
            <v>21.5</v>
          </cell>
        </row>
        <row r="76">
          <cell r="C76" t="str">
            <v>TVLA3</v>
          </cell>
          <cell r="F76">
            <v>4683416.666666667</v>
          </cell>
          <cell r="H76">
            <v>0</v>
          </cell>
          <cell r="I76">
            <v>4683400</v>
          </cell>
          <cell r="J76">
            <v>22.5</v>
          </cell>
        </row>
        <row r="77">
          <cell r="C77">
            <v>51723</v>
          </cell>
          <cell r="F77">
            <v>10290230.062569998</v>
          </cell>
          <cell r="I77">
            <v>10290200</v>
          </cell>
          <cell r="J77">
            <v>22.5</v>
          </cell>
        </row>
        <row r="78">
          <cell r="C78">
            <v>50038</v>
          </cell>
          <cell r="E78">
            <v>-229500</v>
          </cell>
          <cell r="F78">
            <v>7495051.8056742307</v>
          </cell>
          <cell r="G78">
            <v>458010</v>
          </cell>
          <cell r="H78">
            <v>44000</v>
          </cell>
          <cell r="I78">
            <v>6993000</v>
          </cell>
          <cell r="J78">
            <v>22.09375</v>
          </cell>
        </row>
        <row r="79">
          <cell r="C79">
            <v>51398</v>
          </cell>
          <cell r="D79">
            <v>0</v>
          </cell>
          <cell r="E79">
            <v>-229500</v>
          </cell>
          <cell r="F79">
            <v>7052674.2645464204</v>
          </cell>
          <cell r="G79">
            <v>458010</v>
          </cell>
          <cell r="H79">
            <v>44000</v>
          </cell>
          <cell r="I79">
            <v>6550700</v>
          </cell>
          <cell r="J79">
            <v>22.5</v>
          </cell>
        </row>
        <row r="80">
          <cell r="C80">
            <v>51274</v>
          </cell>
          <cell r="D80">
            <v>0</v>
          </cell>
          <cell r="E80">
            <v>0</v>
          </cell>
          <cell r="F80">
            <v>6244162.5290689347</v>
          </cell>
          <cell r="G80">
            <v>458010</v>
          </cell>
          <cell r="H80">
            <v>44000</v>
          </cell>
          <cell r="I80">
            <v>5742200</v>
          </cell>
          <cell r="J80">
            <v>18.770833333333332</v>
          </cell>
        </row>
        <row r="81">
          <cell r="C81" t="str">
            <v>P.Giám đốc</v>
          </cell>
          <cell r="F81">
            <v>10000000</v>
          </cell>
          <cell r="I81">
            <v>10000000</v>
          </cell>
          <cell r="J81"/>
        </row>
        <row r="82">
          <cell r="C82" t="str">
            <v>Kế toán</v>
          </cell>
          <cell r="F82">
            <v>3000000</v>
          </cell>
          <cell r="I82">
            <v>3000000</v>
          </cell>
          <cell r="J82"/>
        </row>
        <row r="83">
          <cell r="C83" t="str">
            <v>Nhóm trưởng</v>
          </cell>
          <cell r="F83">
            <v>700000</v>
          </cell>
          <cell r="I83">
            <v>700000</v>
          </cell>
          <cell r="J83"/>
        </row>
        <row r="84">
          <cell r="C84" t="str">
            <v>IE</v>
          </cell>
          <cell r="F84">
            <v>500000</v>
          </cell>
          <cell r="I84">
            <v>500000</v>
          </cell>
          <cell r="J84"/>
        </row>
        <row r="85">
          <cell r="C85">
            <v>51273</v>
          </cell>
          <cell r="E85">
            <v>0</v>
          </cell>
          <cell r="F85">
            <v>6541114.2616455238</v>
          </cell>
          <cell r="G85">
            <v>458010</v>
          </cell>
          <cell r="H85">
            <v>44000</v>
          </cell>
          <cell r="I85">
            <v>6039100</v>
          </cell>
          <cell r="J85">
            <v>22.822916666666668</v>
          </cell>
        </row>
        <row r="86">
          <cell r="C86">
            <v>10215</v>
          </cell>
          <cell r="D86">
            <v>0</v>
          </cell>
          <cell r="E86">
            <v>-209100</v>
          </cell>
          <cell r="F86">
            <v>5199919.8709927378</v>
          </cell>
          <cell r="H86">
            <v>0</v>
          </cell>
          <cell r="I86">
            <v>5199900</v>
          </cell>
          <cell r="J86">
            <v>20.5</v>
          </cell>
        </row>
        <row r="87">
          <cell r="C87">
            <v>51722</v>
          </cell>
          <cell r="D87">
            <v>0</v>
          </cell>
          <cell r="E87">
            <v>-178500</v>
          </cell>
          <cell r="F87">
            <v>5755310.8461835366</v>
          </cell>
          <cell r="G87">
            <v>458010</v>
          </cell>
          <cell r="H87">
            <v>44000</v>
          </cell>
          <cell r="I87">
            <v>5253300</v>
          </cell>
          <cell r="J87">
            <v>17.5</v>
          </cell>
        </row>
        <row r="88">
          <cell r="C88" t="str">
            <v>Q.trị 8</v>
          </cell>
          <cell r="F88">
            <v>12092711.538461538</v>
          </cell>
          <cell r="G88">
            <v>714735</v>
          </cell>
          <cell r="H88">
            <v>68100</v>
          </cell>
          <cell r="I88">
            <v>11309900</v>
          </cell>
          <cell r="J88">
            <v>22.5</v>
          </cell>
        </row>
        <row r="89">
          <cell r="C89">
            <v>51738</v>
          </cell>
          <cell r="E89">
            <v>0</v>
          </cell>
          <cell r="F89">
            <v>8681237.653846154</v>
          </cell>
          <cell r="G89">
            <v>458010</v>
          </cell>
          <cell r="H89">
            <v>44000</v>
          </cell>
          <cell r="I89">
            <v>8179200</v>
          </cell>
          <cell r="J89">
            <v>22.5</v>
          </cell>
        </row>
        <row r="90">
          <cell r="C90">
            <v>51798</v>
          </cell>
          <cell r="E90">
            <v>0</v>
          </cell>
          <cell r="F90">
            <v>6488703.5192307699</v>
          </cell>
          <cell r="G90">
            <v>458010</v>
          </cell>
          <cell r="H90">
            <v>44000</v>
          </cell>
          <cell r="I90">
            <v>5986700</v>
          </cell>
          <cell r="J90">
            <v>22.5</v>
          </cell>
        </row>
        <row r="91">
          <cell r="C91">
            <v>51629</v>
          </cell>
          <cell r="D91">
            <v>0</v>
          </cell>
          <cell r="E91">
            <v>0</v>
          </cell>
          <cell r="F91">
            <v>6756791.3264398677</v>
          </cell>
          <cell r="G91">
            <v>458010</v>
          </cell>
          <cell r="H91">
            <v>44000</v>
          </cell>
          <cell r="I91">
            <v>6254800</v>
          </cell>
          <cell r="J91">
            <v>22.4375</v>
          </cell>
        </row>
        <row r="92">
          <cell r="C92">
            <v>51730</v>
          </cell>
          <cell r="D92">
            <v>0</v>
          </cell>
          <cell r="E92">
            <v>-201768.75</v>
          </cell>
          <cell r="F92">
            <v>6294126.8671122305</v>
          </cell>
          <cell r="G92">
            <v>458010</v>
          </cell>
          <cell r="H92">
            <v>44000</v>
          </cell>
          <cell r="I92">
            <v>5792100</v>
          </cell>
          <cell r="J92">
            <v>20.78125</v>
          </cell>
        </row>
        <row r="93">
          <cell r="C93">
            <v>51678</v>
          </cell>
          <cell r="E93">
            <v>0</v>
          </cell>
          <cell r="F93">
            <v>988701.92307692312</v>
          </cell>
          <cell r="G93">
            <v>0</v>
          </cell>
          <cell r="I93">
            <v>988700</v>
          </cell>
          <cell r="J93">
            <v>4.5</v>
          </cell>
        </row>
        <row r="94">
          <cell r="C94">
            <v>52024</v>
          </cell>
          <cell r="E94">
            <v>0</v>
          </cell>
          <cell r="F94">
            <v>991402.77014870557</v>
          </cell>
          <cell r="G94">
            <v>0</v>
          </cell>
          <cell r="I94">
            <v>991400</v>
          </cell>
          <cell r="J94">
            <v>7.5</v>
          </cell>
        </row>
        <row r="95">
          <cell r="C95">
            <v>51956</v>
          </cell>
          <cell r="D95">
            <v>0</v>
          </cell>
          <cell r="E95">
            <v>0</v>
          </cell>
          <cell r="F95">
            <v>6274559.8611776531</v>
          </cell>
          <cell r="H95">
            <v>0</v>
          </cell>
          <cell r="I95">
            <v>6274600</v>
          </cell>
          <cell r="J95">
            <v>22.5</v>
          </cell>
        </row>
        <row r="96">
          <cell r="C96">
            <v>50788</v>
          </cell>
          <cell r="D96">
            <v>0</v>
          </cell>
          <cell r="E96">
            <v>0</v>
          </cell>
          <cell r="F96">
            <v>8630035.4391868133</v>
          </cell>
          <cell r="G96">
            <v>458010</v>
          </cell>
          <cell r="H96">
            <v>44000</v>
          </cell>
          <cell r="I96">
            <v>8128000</v>
          </cell>
          <cell r="J96">
            <v>23</v>
          </cell>
        </row>
        <row r="97">
          <cell r="C97">
            <v>51707</v>
          </cell>
          <cell r="D97">
            <v>0</v>
          </cell>
          <cell r="E97">
            <v>0</v>
          </cell>
          <cell r="F97">
            <v>6685038.1606958341</v>
          </cell>
          <cell r="G97">
            <v>458010</v>
          </cell>
          <cell r="H97">
            <v>44000</v>
          </cell>
          <cell r="I97">
            <v>6183000</v>
          </cell>
          <cell r="J97">
            <v>18.75</v>
          </cell>
        </row>
        <row r="98">
          <cell r="C98">
            <v>51981</v>
          </cell>
          <cell r="D98">
            <v>143028.86563765188</v>
          </cell>
          <cell r="E98">
            <v>-153000</v>
          </cell>
          <cell r="F98">
            <v>1380642.7016700406</v>
          </cell>
          <cell r="I98">
            <v>1380600</v>
          </cell>
          <cell r="J98">
            <v>4.5</v>
          </cell>
        </row>
        <row r="99">
          <cell r="C99">
            <v>51861</v>
          </cell>
          <cell r="D99">
            <v>0</v>
          </cell>
          <cell r="E99">
            <v>0</v>
          </cell>
          <cell r="F99">
            <v>6964564.0847248891</v>
          </cell>
          <cell r="G99">
            <v>458010</v>
          </cell>
          <cell r="H99">
            <v>44000</v>
          </cell>
          <cell r="I99">
            <v>6462600</v>
          </cell>
          <cell r="J99">
            <v>22.5</v>
          </cell>
        </row>
        <row r="100">
          <cell r="C100">
            <v>10144</v>
          </cell>
          <cell r="D100">
            <v>0</v>
          </cell>
          <cell r="E100">
            <v>0</v>
          </cell>
          <cell r="F100">
            <v>6465385.0691951206</v>
          </cell>
          <cell r="H100">
            <v>0</v>
          </cell>
          <cell r="I100">
            <v>6465400</v>
          </cell>
          <cell r="J100">
            <v>22.4375</v>
          </cell>
        </row>
        <row r="101">
          <cell r="C101">
            <v>50382</v>
          </cell>
          <cell r="D101">
            <v>441235.58834798937</v>
          </cell>
          <cell r="E101">
            <v>0</v>
          </cell>
          <cell r="F101">
            <v>6160291.2481904728</v>
          </cell>
          <cell r="G101">
            <v>458010</v>
          </cell>
          <cell r="H101">
            <v>44000</v>
          </cell>
          <cell r="I101">
            <v>5658300</v>
          </cell>
          <cell r="J101">
            <v>22.3125</v>
          </cell>
        </row>
        <row r="102">
          <cell r="C102">
            <v>51680</v>
          </cell>
          <cell r="D102">
            <v>216783.26310445077</v>
          </cell>
          <cell r="E102">
            <v>0</v>
          </cell>
          <cell r="F102">
            <v>5216637.5766391391</v>
          </cell>
          <cell r="G102">
            <v>458010</v>
          </cell>
          <cell r="H102">
            <v>44000</v>
          </cell>
          <cell r="I102">
            <v>4714600</v>
          </cell>
          <cell r="J102">
            <v>18.760416666666668</v>
          </cell>
        </row>
        <row r="103">
          <cell r="C103">
            <v>51618</v>
          </cell>
          <cell r="F103">
            <v>7038902.5706383726</v>
          </cell>
          <cell r="G103">
            <v>506625</v>
          </cell>
          <cell r="H103">
            <v>44000</v>
          </cell>
          <cell r="I103">
            <v>6488300</v>
          </cell>
          <cell r="J103">
            <v>14.75</v>
          </cell>
        </row>
        <row r="104">
          <cell r="C104">
            <v>51702</v>
          </cell>
          <cell r="F104">
            <v>7632221.153846154</v>
          </cell>
          <cell r="G104">
            <v>458010</v>
          </cell>
          <cell r="H104">
            <v>44000</v>
          </cell>
          <cell r="I104">
            <v>7130200</v>
          </cell>
          <cell r="J104">
            <v>22.5</v>
          </cell>
        </row>
        <row r="105">
          <cell r="C105">
            <v>51954</v>
          </cell>
          <cell r="D105">
            <v>0</v>
          </cell>
          <cell r="E105">
            <v>0</v>
          </cell>
          <cell r="F105">
            <v>5547593.697670701</v>
          </cell>
          <cell r="H105">
            <v>0</v>
          </cell>
          <cell r="I105">
            <v>5547600</v>
          </cell>
          <cell r="J105">
            <v>21.3125</v>
          </cell>
        </row>
        <row r="106">
          <cell r="C106">
            <v>51800</v>
          </cell>
          <cell r="D106">
            <v>487055.97695102065</v>
          </cell>
          <cell r="E106">
            <v>0</v>
          </cell>
          <cell r="F106">
            <v>6166522.7826643642</v>
          </cell>
          <cell r="G106">
            <v>458010</v>
          </cell>
          <cell r="H106">
            <v>44000</v>
          </cell>
          <cell r="I106">
            <v>5664500</v>
          </cell>
          <cell r="J106">
            <v>22.381250000000001</v>
          </cell>
        </row>
        <row r="107">
          <cell r="C107">
            <v>52046</v>
          </cell>
          <cell r="E107">
            <v>0</v>
          </cell>
          <cell r="F107">
            <v>6166527.972222222</v>
          </cell>
          <cell r="H107">
            <v>0</v>
          </cell>
          <cell r="I107">
            <v>6166500</v>
          </cell>
          <cell r="J107">
            <v>21.5</v>
          </cell>
        </row>
        <row r="108">
          <cell r="C108" t="str">
            <v>Q.trị 7</v>
          </cell>
          <cell r="F108">
            <v>13356307.692307692</v>
          </cell>
          <cell r="G108">
            <v>648480</v>
          </cell>
          <cell r="H108">
            <v>61800</v>
          </cell>
          <cell r="I108">
            <v>12646000</v>
          </cell>
          <cell r="J108">
            <v>22.5</v>
          </cell>
        </row>
        <row r="109">
          <cell r="C109">
            <v>51828</v>
          </cell>
          <cell r="D109">
            <v>0</v>
          </cell>
          <cell r="E109">
            <v>0</v>
          </cell>
          <cell r="F109">
            <v>6482908.9071824811</v>
          </cell>
          <cell r="G109">
            <v>458010</v>
          </cell>
          <cell r="H109">
            <v>44000</v>
          </cell>
          <cell r="I109">
            <v>5980900</v>
          </cell>
          <cell r="J109">
            <v>22.5</v>
          </cell>
        </row>
        <row r="110">
          <cell r="C110">
            <v>51823</v>
          </cell>
          <cell r="D110">
            <v>0</v>
          </cell>
          <cell r="E110">
            <v>0</v>
          </cell>
          <cell r="F110">
            <v>7097162.276292827</v>
          </cell>
          <cell r="G110">
            <v>458010</v>
          </cell>
          <cell r="H110">
            <v>44000</v>
          </cell>
          <cell r="I110">
            <v>6595200</v>
          </cell>
          <cell r="J110">
            <v>22.5</v>
          </cell>
        </row>
        <row r="111">
          <cell r="C111">
            <v>50482</v>
          </cell>
          <cell r="D111">
            <v>0</v>
          </cell>
          <cell r="E111">
            <v>0</v>
          </cell>
          <cell r="F111">
            <v>5806561.7494619135</v>
          </cell>
          <cell r="G111">
            <v>458010</v>
          </cell>
          <cell r="H111">
            <v>44000</v>
          </cell>
          <cell r="I111">
            <v>5304600</v>
          </cell>
          <cell r="J111">
            <v>20.375</v>
          </cell>
        </row>
        <row r="112">
          <cell r="C112">
            <v>51946</v>
          </cell>
          <cell r="F112">
            <v>7001112.589841716</v>
          </cell>
          <cell r="G112">
            <v>458010</v>
          </cell>
          <cell r="H112">
            <v>44000</v>
          </cell>
          <cell r="I112">
            <v>6499100</v>
          </cell>
          <cell r="J112">
            <v>18.272916666666667</v>
          </cell>
        </row>
        <row r="113">
          <cell r="C113">
            <v>51929</v>
          </cell>
          <cell r="D113"/>
          <cell r="E113">
            <v>0</v>
          </cell>
          <cell r="F113">
            <v>6012997.4864750644</v>
          </cell>
          <cell r="G113">
            <v>458010</v>
          </cell>
          <cell r="H113">
            <v>44000</v>
          </cell>
          <cell r="I113">
            <v>5511000</v>
          </cell>
          <cell r="J113">
            <v>22.5</v>
          </cell>
        </row>
        <row r="114">
          <cell r="C114">
            <v>10226</v>
          </cell>
          <cell r="E114">
            <v>0</v>
          </cell>
          <cell r="F114">
            <v>5352686.2077705748</v>
          </cell>
          <cell r="G114"/>
          <cell r="H114">
            <v>0</v>
          </cell>
          <cell r="I114">
            <v>5352700</v>
          </cell>
          <cell r="J114">
            <v>22.5</v>
          </cell>
        </row>
        <row r="115">
          <cell r="C115">
            <v>52049</v>
          </cell>
          <cell r="D115">
            <v>0</v>
          </cell>
          <cell r="E115">
            <v>0</v>
          </cell>
          <cell r="F115">
            <v>5265540.607730411</v>
          </cell>
          <cell r="G115"/>
          <cell r="H115">
            <v>0</v>
          </cell>
          <cell r="I115">
            <v>5265500</v>
          </cell>
          <cell r="J115">
            <v>22.5</v>
          </cell>
        </row>
        <row r="116">
          <cell r="C116">
            <v>51896</v>
          </cell>
          <cell r="F116">
            <v>6067144.153846154</v>
          </cell>
          <cell r="G116">
            <v>433650</v>
          </cell>
          <cell r="H116">
            <v>41000</v>
          </cell>
          <cell r="I116">
            <v>5592500</v>
          </cell>
          <cell r="J116">
            <v>23.5</v>
          </cell>
        </row>
        <row r="117">
          <cell r="C117">
            <v>51991</v>
          </cell>
          <cell r="D117">
            <v>0</v>
          </cell>
          <cell r="E117">
            <v>0</v>
          </cell>
          <cell r="F117">
            <v>5585558.1191756893</v>
          </cell>
          <cell r="G117">
            <v>458010</v>
          </cell>
          <cell r="H117">
            <v>44000</v>
          </cell>
          <cell r="I117">
            <v>5083500</v>
          </cell>
          <cell r="J117">
            <v>19.5</v>
          </cell>
        </row>
        <row r="118">
          <cell r="C118">
            <v>51952</v>
          </cell>
          <cell r="D118">
            <v>241547.16366270685</v>
          </cell>
          <cell r="E118">
            <v>0</v>
          </cell>
          <cell r="F118">
            <v>5609823.1921065226</v>
          </cell>
          <cell r="G118">
            <v>458010</v>
          </cell>
          <cell r="H118">
            <v>44000</v>
          </cell>
          <cell r="I118">
            <v>5107800</v>
          </cell>
          <cell r="J118">
            <v>21.5</v>
          </cell>
        </row>
        <row r="119">
          <cell r="C119">
            <v>10201</v>
          </cell>
          <cell r="D119">
            <v>287766.83244889427</v>
          </cell>
          <cell r="E119">
            <v>0</v>
          </cell>
          <cell r="F119">
            <v>5173043.725243412</v>
          </cell>
          <cell r="G119"/>
          <cell r="H119">
            <v>0</v>
          </cell>
          <cell r="I119">
            <v>5173000</v>
          </cell>
          <cell r="J119">
            <v>22.5</v>
          </cell>
        </row>
        <row r="120">
          <cell r="C120">
            <v>51728</v>
          </cell>
          <cell r="E120">
            <v>0</v>
          </cell>
          <cell r="F120">
            <v>6245353.6350092972</v>
          </cell>
          <cell r="G120">
            <v>458010</v>
          </cell>
          <cell r="H120">
            <v>44000</v>
          </cell>
          <cell r="I120">
            <v>5743300</v>
          </cell>
          <cell r="J120">
            <v>23.5</v>
          </cell>
        </row>
        <row r="121">
          <cell r="C121">
            <v>51774</v>
          </cell>
          <cell r="E121">
            <v>0</v>
          </cell>
          <cell r="F121">
            <v>11360480.991452992</v>
          </cell>
          <cell r="G121">
            <v>458010</v>
          </cell>
          <cell r="H121">
            <v>44000</v>
          </cell>
          <cell r="I121">
            <v>10858500</v>
          </cell>
          <cell r="J121">
            <v>21.5</v>
          </cell>
        </row>
        <row r="122">
          <cell r="C122">
            <v>51930</v>
          </cell>
          <cell r="E122">
            <v>0</v>
          </cell>
          <cell r="F122">
            <v>6987607.269230769</v>
          </cell>
          <cell r="G122">
            <v>458010</v>
          </cell>
          <cell r="H122">
            <v>44000</v>
          </cell>
          <cell r="I122">
            <v>6485600</v>
          </cell>
          <cell r="J122">
            <v>22.5</v>
          </cell>
        </row>
        <row r="123">
          <cell r="C123">
            <v>50814</v>
          </cell>
          <cell r="D123">
            <v>0</v>
          </cell>
          <cell r="E123">
            <v>0</v>
          </cell>
          <cell r="F123">
            <v>7396515.1350696553</v>
          </cell>
          <cell r="G123">
            <v>458010</v>
          </cell>
          <cell r="H123">
            <v>44000</v>
          </cell>
          <cell r="I123">
            <v>6894500</v>
          </cell>
          <cell r="J123">
            <v>22</v>
          </cell>
        </row>
        <row r="124">
          <cell r="C124">
            <v>52039</v>
          </cell>
          <cell r="D124">
            <v>0</v>
          </cell>
          <cell r="E124">
            <v>-387600</v>
          </cell>
          <cell r="F124">
            <v>5314366.256533416</v>
          </cell>
          <cell r="G124">
            <v>458010</v>
          </cell>
          <cell r="H124">
            <v>44000</v>
          </cell>
          <cell r="I124">
            <v>4812400</v>
          </cell>
          <cell r="J124">
            <v>19</v>
          </cell>
        </row>
        <row r="125">
          <cell r="C125">
            <v>51892</v>
          </cell>
          <cell r="E125">
            <v>0</v>
          </cell>
          <cell r="F125">
            <v>476998.30769230769</v>
          </cell>
          <cell r="G125">
            <v>0</v>
          </cell>
          <cell r="I125">
            <v>477000</v>
          </cell>
          <cell r="J125">
            <v>1.5</v>
          </cell>
        </row>
        <row r="126">
          <cell r="C126">
            <v>51931</v>
          </cell>
          <cell r="E126">
            <v>0</v>
          </cell>
          <cell r="F126">
            <v>4578518.038461539</v>
          </cell>
          <cell r="G126">
            <v>458010</v>
          </cell>
          <cell r="I126">
            <v>4120500</v>
          </cell>
          <cell r="J126">
            <v>16.5</v>
          </cell>
        </row>
        <row r="127">
          <cell r="C127">
            <v>10228</v>
          </cell>
          <cell r="E127">
            <v>0</v>
          </cell>
          <cell r="F127">
            <v>240932.06837606838</v>
          </cell>
          <cell r="G127">
            <v>0</v>
          </cell>
          <cell r="I127">
            <v>240900</v>
          </cell>
          <cell r="J127">
            <v>1.5</v>
          </cell>
        </row>
        <row r="128">
          <cell r="C128">
            <v>52052</v>
          </cell>
          <cell r="E128">
            <v>0</v>
          </cell>
          <cell r="F128">
            <v>133730.72502210434</v>
          </cell>
          <cell r="G128">
            <v>0</v>
          </cell>
          <cell r="I128">
            <v>133700</v>
          </cell>
          <cell r="J128">
            <v>1</v>
          </cell>
        </row>
        <row r="129">
          <cell r="C129">
            <v>10240</v>
          </cell>
          <cell r="E129">
            <v>0</v>
          </cell>
          <cell r="F129">
            <v>848788.11764270044</v>
          </cell>
          <cell r="G129">
            <v>0</v>
          </cell>
          <cell r="I129">
            <v>848800</v>
          </cell>
          <cell r="J129">
            <v>5.5</v>
          </cell>
        </row>
        <row r="130">
          <cell r="C130">
            <v>52001</v>
          </cell>
          <cell r="E130">
            <v>0</v>
          </cell>
          <cell r="F130">
            <v>1026375.1889957264</v>
          </cell>
          <cell r="G130">
            <v>0</v>
          </cell>
          <cell r="H130">
            <v>0</v>
          </cell>
          <cell r="I130">
            <v>1026400</v>
          </cell>
          <cell r="J130">
            <v>7.7854166666666664</v>
          </cell>
        </row>
        <row r="131">
          <cell r="C131">
            <v>10141</v>
          </cell>
          <cell r="E131">
            <v>0</v>
          </cell>
          <cell r="F131">
            <v>1103957.1686029106</v>
          </cell>
          <cell r="G131">
            <v>0</v>
          </cell>
          <cell r="H131">
            <v>0</v>
          </cell>
          <cell r="I131">
            <v>1104000</v>
          </cell>
          <cell r="J131">
            <v>8.25</v>
          </cell>
        </row>
        <row r="132">
          <cell r="C132">
            <v>10237</v>
          </cell>
          <cell r="D132">
            <v>0</v>
          </cell>
          <cell r="E132">
            <v>0</v>
          </cell>
          <cell r="F132">
            <v>6031380.4514553798</v>
          </cell>
          <cell r="H132">
            <v>0</v>
          </cell>
          <cell r="I132">
            <v>6031400</v>
          </cell>
          <cell r="J132">
            <v>22.5</v>
          </cell>
        </row>
        <row r="133">
          <cell r="C133">
            <v>51992</v>
          </cell>
          <cell r="D133">
            <v>0</v>
          </cell>
          <cell r="E133">
            <v>0</v>
          </cell>
          <cell r="F133">
            <v>6216606.4138878379</v>
          </cell>
          <cell r="G133">
            <v>458010</v>
          </cell>
          <cell r="H133">
            <v>44000</v>
          </cell>
          <cell r="I133">
            <v>5714600</v>
          </cell>
          <cell r="J133">
            <v>22.5</v>
          </cell>
        </row>
        <row r="134">
          <cell r="C134">
            <v>51994</v>
          </cell>
          <cell r="E134">
            <v>0</v>
          </cell>
          <cell r="F134">
            <v>6773731.1812764676</v>
          </cell>
          <cell r="G134">
            <v>458010</v>
          </cell>
          <cell r="H134">
            <v>44000</v>
          </cell>
          <cell r="I134">
            <v>6271700</v>
          </cell>
          <cell r="J134">
            <v>22.5</v>
          </cell>
        </row>
        <row r="135">
          <cell r="C135">
            <v>10138</v>
          </cell>
          <cell r="D135">
            <v>0</v>
          </cell>
          <cell r="E135">
            <v>-214200</v>
          </cell>
          <cell r="F135">
            <v>6116551.2315730443</v>
          </cell>
          <cell r="H135">
            <v>0</v>
          </cell>
          <cell r="I135">
            <v>6116600</v>
          </cell>
          <cell r="J135">
            <v>21</v>
          </cell>
        </row>
        <row r="136">
          <cell r="C136">
            <v>51859</v>
          </cell>
          <cell r="D136">
            <v>178706.38667017111</v>
          </cell>
          <cell r="E136">
            <v>0</v>
          </cell>
          <cell r="F136">
            <v>5129904.6998682907</v>
          </cell>
          <cell r="G136">
            <v>458010</v>
          </cell>
          <cell r="H136">
            <v>44000</v>
          </cell>
          <cell r="I136">
            <v>4627900</v>
          </cell>
          <cell r="J136">
            <v>21</v>
          </cell>
        </row>
        <row r="137">
          <cell r="C137">
            <v>52004</v>
          </cell>
          <cell r="D137">
            <v>0</v>
          </cell>
          <cell r="E137">
            <v>0</v>
          </cell>
          <cell r="F137">
            <v>5465613.5955930501</v>
          </cell>
          <cell r="H137">
            <v>0</v>
          </cell>
          <cell r="I137">
            <v>5465600</v>
          </cell>
          <cell r="J137">
            <v>21.5</v>
          </cell>
        </row>
        <row r="138">
          <cell r="C138">
            <v>51961</v>
          </cell>
          <cell r="E138">
            <v>0</v>
          </cell>
          <cell r="F138">
            <v>6178889.9238694347</v>
          </cell>
          <cell r="G138">
            <v>458010</v>
          </cell>
          <cell r="H138">
            <v>44000</v>
          </cell>
          <cell r="I138">
            <v>5676900</v>
          </cell>
          <cell r="J138">
            <v>22.4375</v>
          </cell>
        </row>
        <row r="139">
          <cell r="C139">
            <v>10225</v>
          </cell>
          <cell r="E139">
            <v>-204000</v>
          </cell>
          <cell r="F139">
            <v>4215470.5615654886</v>
          </cell>
          <cell r="G139"/>
          <cell r="H139">
            <v>0</v>
          </cell>
          <cell r="I139">
            <v>4215500</v>
          </cell>
          <cell r="J139">
            <v>20</v>
          </cell>
        </row>
        <row r="140">
          <cell r="C140">
            <v>10194</v>
          </cell>
          <cell r="E140">
            <v>0</v>
          </cell>
          <cell r="F140">
            <v>5484135.0590439485</v>
          </cell>
          <cell r="G140"/>
          <cell r="H140">
            <v>0</v>
          </cell>
          <cell r="I140">
            <v>5484100</v>
          </cell>
          <cell r="J140">
            <v>21.5</v>
          </cell>
        </row>
        <row r="141">
          <cell r="C141">
            <v>52032</v>
          </cell>
          <cell r="D141">
            <v>644222.95683511079</v>
          </cell>
          <cell r="E141">
            <v>0</v>
          </cell>
          <cell r="F141">
            <v>5530694.5047033513</v>
          </cell>
          <cell r="G141">
            <v>458010</v>
          </cell>
          <cell r="H141">
            <v>44000</v>
          </cell>
          <cell r="I141">
            <v>5028700</v>
          </cell>
          <cell r="J141">
            <v>22.5</v>
          </cell>
        </row>
        <row r="142">
          <cell r="C142">
            <v>10233</v>
          </cell>
          <cell r="D142">
            <v>447566.9188037517</v>
          </cell>
          <cell r="E142">
            <v>0</v>
          </cell>
          <cell r="F142">
            <v>5089750.8504270166</v>
          </cell>
          <cell r="G142"/>
          <cell r="H142">
            <v>0</v>
          </cell>
          <cell r="I142">
            <v>5089800</v>
          </cell>
          <cell r="J142">
            <v>22.5</v>
          </cell>
        </row>
        <row r="143">
          <cell r="C143">
            <v>10167</v>
          </cell>
          <cell r="D143">
            <v>156097.94264026018</v>
          </cell>
          <cell r="E143">
            <v>-170000</v>
          </cell>
          <cell r="F143">
            <v>899532.32659050915</v>
          </cell>
          <cell r="G143">
            <v>0</v>
          </cell>
          <cell r="H143">
            <v>0</v>
          </cell>
          <cell r="I143">
            <v>899500</v>
          </cell>
          <cell r="J143">
            <v>5</v>
          </cell>
        </row>
        <row r="144">
          <cell r="C144">
            <v>51860</v>
          </cell>
          <cell r="E144">
            <v>-377400</v>
          </cell>
          <cell r="F144">
            <v>3888596.3808329124</v>
          </cell>
          <cell r="G144">
            <v>458010</v>
          </cell>
          <cell r="H144">
            <v>44000</v>
          </cell>
          <cell r="I144">
            <v>3386600</v>
          </cell>
          <cell r="J144">
            <v>18.5</v>
          </cell>
        </row>
        <row r="145">
          <cell r="C145">
            <v>10236</v>
          </cell>
          <cell r="E145">
            <v>-646000</v>
          </cell>
          <cell r="F145">
            <v>4036048.7752749976</v>
          </cell>
          <cell r="H145">
            <v>0</v>
          </cell>
          <cell r="I145">
            <v>4036000</v>
          </cell>
          <cell r="J145">
            <v>19</v>
          </cell>
        </row>
        <row r="146">
          <cell r="C146">
            <v>51922</v>
          </cell>
          <cell r="D146">
            <v>0</v>
          </cell>
          <cell r="E146">
            <v>0</v>
          </cell>
          <cell r="F146">
            <v>6348095.7331793159</v>
          </cell>
          <cell r="G146">
            <v>458010</v>
          </cell>
          <cell r="H146">
            <v>44000</v>
          </cell>
          <cell r="I146">
            <v>5846100</v>
          </cell>
          <cell r="J146">
            <v>21.5</v>
          </cell>
        </row>
        <row r="147">
          <cell r="C147">
            <v>51923</v>
          </cell>
          <cell r="D147">
            <v>199160.43307090341</v>
          </cell>
          <cell r="E147">
            <v>0</v>
          </cell>
          <cell r="F147">
            <v>5874183.9611598663</v>
          </cell>
          <cell r="G147">
            <v>458010</v>
          </cell>
          <cell r="H147">
            <v>44000</v>
          </cell>
          <cell r="I147">
            <v>5372200</v>
          </cell>
          <cell r="J147">
            <v>21.5</v>
          </cell>
        </row>
        <row r="148">
          <cell r="C148">
            <v>52050</v>
          </cell>
          <cell r="D148">
            <v>217429.03365117265</v>
          </cell>
          <cell r="E148">
            <v>-219300</v>
          </cell>
          <cell r="F148">
            <v>4845269.0240411367</v>
          </cell>
          <cell r="H148">
            <v>0</v>
          </cell>
          <cell r="I148">
            <v>4845300</v>
          </cell>
          <cell r="J148">
            <v>21.5</v>
          </cell>
        </row>
        <row r="149">
          <cell r="C149">
            <v>10238</v>
          </cell>
          <cell r="E149">
            <v>0</v>
          </cell>
          <cell r="F149">
            <v>4979446.051463197</v>
          </cell>
          <cell r="H149">
            <v>0</v>
          </cell>
          <cell r="I149">
            <v>4979400</v>
          </cell>
          <cell r="J149">
            <v>22</v>
          </cell>
        </row>
        <row r="150">
          <cell r="C150">
            <v>51857</v>
          </cell>
          <cell r="F150">
            <v>2405250</v>
          </cell>
          <cell r="I150">
            <v>2405300</v>
          </cell>
          <cell r="J150">
            <v>7.5</v>
          </cell>
        </row>
        <row r="151">
          <cell r="C151">
            <v>51901</v>
          </cell>
          <cell r="J151"/>
        </row>
        <row r="152">
          <cell r="C152">
            <v>51792</v>
          </cell>
          <cell r="E152">
            <v>0</v>
          </cell>
          <cell r="F152">
            <v>6226937.5277613839</v>
          </cell>
          <cell r="G152">
            <v>458010</v>
          </cell>
          <cell r="H152">
            <v>44000</v>
          </cell>
          <cell r="I152">
            <v>5724900</v>
          </cell>
          <cell r="J152">
            <v>23.5</v>
          </cell>
        </row>
        <row r="153">
          <cell r="C153">
            <v>52068</v>
          </cell>
          <cell r="E153">
            <v>0</v>
          </cell>
          <cell r="F153">
            <v>3457372.3542361124</v>
          </cell>
          <cell r="H153">
            <v>0</v>
          </cell>
          <cell r="I153">
            <v>3457400</v>
          </cell>
          <cell r="J153">
            <v>15</v>
          </cell>
        </row>
        <row r="154">
          <cell r="C154">
            <v>51940</v>
          </cell>
          <cell r="D154">
            <v>0</v>
          </cell>
          <cell r="E154">
            <v>0</v>
          </cell>
          <cell r="F154">
            <v>5594499.7711149203</v>
          </cell>
          <cell r="G154">
            <v>458010</v>
          </cell>
          <cell r="H154">
            <v>44000</v>
          </cell>
          <cell r="I154">
            <v>5092500</v>
          </cell>
          <cell r="J154">
            <v>18.375</v>
          </cell>
        </row>
        <row r="155">
          <cell r="C155">
            <v>51114</v>
          </cell>
          <cell r="D155">
            <v>0</v>
          </cell>
          <cell r="E155">
            <v>0</v>
          </cell>
          <cell r="F155">
            <v>6113212.2715993691</v>
          </cell>
          <cell r="G155">
            <v>458010</v>
          </cell>
          <cell r="H155">
            <v>44000</v>
          </cell>
          <cell r="I155">
            <v>5611200</v>
          </cell>
          <cell r="J155">
            <v>21</v>
          </cell>
        </row>
        <row r="156">
          <cell r="C156">
            <v>51717</v>
          </cell>
          <cell r="E156">
            <v>0</v>
          </cell>
          <cell r="F156">
            <v>7069394.7692307699</v>
          </cell>
          <cell r="G156">
            <v>458010</v>
          </cell>
          <cell r="H156">
            <v>44000</v>
          </cell>
          <cell r="I156">
            <v>6567400</v>
          </cell>
          <cell r="J156">
            <v>22.5</v>
          </cell>
        </row>
        <row r="157">
          <cell r="C157">
            <v>52028</v>
          </cell>
          <cell r="D157">
            <v>0</v>
          </cell>
          <cell r="E157">
            <v>0</v>
          </cell>
          <cell r="F157">
            <v>6744030.4313289924</v>
          </cell>
          <cell r="H157">
            <v>0</v>
          </cell>
          <cell r="I157">
            <v>6744000</v>
          </cell>
          <cell r="J157">
            <v>22.2</v>
          </cell>
        </row>
        <row r="158">
          <cell r="C158">
            <v>51858</v>
          </cell>
          <cell r="E158">
            <v>0</v>
          </cell>
          <cell r="F158">
            <v>2961238.5581538463</v>
          </cell>
          <cell r="G158">
            <v>0</v>
          </cell>
          <cell r="I158">
            <v>2961200</v>
          </cell>
          <cell r="J158">
            <v>13.5</v>
          </cell>
        </row>
        <row r="159">
          <cell r="C159">
            <v>52003</v>
          </cell>
          <cell r="E159">
            <v>-209100</v>
          </cell>
          <cell r="F159">
            <v>4499576.1396596106</v>
          </cell>
          <cell r="G159">
            <v>458010</v>
          </cell>
          <cell r="H159">
            <v>44000</v>
          </cell>
          <cell r="I159">
            <v>3997600</v>
          </cell>
          <cell r="J159">
            <v>20.5</v>
          </cell>
        </row>
        <row r="160">
          <cell r="C160">
            <v>51715</v>
          </cell>
          <cell r="E160">
            <v>-219300</v>
          </cell>
          <cell r="F160">
            <v>5086410.3704709262</v>
          </cell>
          <cell r="G160"/>
          <cell r="H160">
            <v>0</v>
          </cell>
          <cell r="I160">
            <v>5086400</v>
          </cell>
          <cell r="J160">
            <v>21.5</v>
          </cell>
        </row>
        <row r="161">
          <cell r="C161">
            <v>84284</v>
          </cell>
          <cell r="F161">
            <v>18111730.769230768</v>
          </cell>
          <cell r="G161">
            <v>1013250</v>
          </cell>
          <cell r="H161">
            <v>96500</v>
          </cell>
          <cell r="I161">
            <v>17002000</v>
          </cell>
          <cell r="J161">
            <v>22.5</v>
          </cell>
        </row>
        <row r="162">
          <cell r="C162">
            <v>52089</v>
          </cell>
          <cell r="E162">
            <v>0</v>
          </cell>
          <cell r="F162">
            <v>336923</v>
          </cell>
          <cell r="G162">
            <v>0</v>
          </cell>
          <cell r="H162">
            <v>0</v>
          </cell>
          <cell r="I162">
            <v>336900</v>
          </cell>
          <cell r="J162">
            <v>2</v>
          </cell>
        </row>
        <row r="163">
          <cell r="C163">
            <v>51953</v>
          </cell>
          <cell r="D163">
            <v>0</v>
          </cell>
          <cell r="E163">
            <v>0</v>
          </cell>
          <cell r="F163">
            <v>5978526.8546858765</v>
          </cell>
          <cell r="G163">
            <v>458010</v>
          </cell>
          <cell r="H163">
            <v>44000</v>
          </cell>
          <cell r="I163">
            <v>5476500</v>
          </cell>
          <cell r="J163">
            <v>22.5</v>
          </cell>
        </row>
        <row r="164">
          <cell r="C164">
            <v>51693</v>
          </cell>
          <cell r="E164">
            <v>0</v>
          </cell>
          <cell r="F164">
            <v>7115546.912277515</v>
          </cell>
          <cell r="G164">
            <v>458010</v>
          </cell>
          <cell r="H164">
            <v>44000</v>
          </cell>
          <cell r="I164">
            <v>6613500</v>
          </cell>
          <cell r="J164">
            <v>22.5</v>
          </cell>
        </row>
        <row r="165">
          <cell r="C165">
            <v>50005</v>
          </cell>
          <cell r="F165">
            <v>14682730.769230772</v>
          </cell>
          <cell r="G165">
            <v>696570</v>
          </cell>
          <cell r="H165">
            <v>114916</v>
          </cell>
          <cell r="I165">
            <v>13871200</v>
          </cell>
          <cell r="J165">
            <v>22.5</v>
          </cell>
        </row>
        <row r="166">
          <cell r="C166">
            <v>51920</v>
          </cell>
          <cell r="D166">
            <v>0</v>
          </cell>
          <cell r="E166">
            <v>0</v>
          </cell>
          <cell r="F166">
            <v>7472018.2913723439</v>
          </cell>
          <cell r="G166">
            <v>458010</v>
          </cell>
          <cell r="H166">
            <v>44000</v>
          </cell>
          <cell r="I166">
            <v>6970000</v>
          </cell>
          <cell r="J166">
            <v>22.5</v>
          </cell>
        </row>
        <row r="167">
          <cell r="C167">
            <v>10245</v>
          </cell>
          <cell r="E167">
            <v>-207825</v>
          </cell>
          <cell r="F167">
            <v>3155114.1318321615</v>
          </cell>
          <cell r="H167">
            <v>0</v>
          </cell>
          <cell r="I167">
            <v>3155100</v>
          </cell>
          <cell r="J167">
            <v>20.375</v>
          </cell>
        </row>
        <row r="168">
          <cell r="C168">
            <v>51862</v>
          </cell>
          <cell r="D168">
            <v>0</v>
          </cell>
          <cell r="E168">
            <v>0</v>
          </cell>
          <cell r="F168">
            <v>7270114.8821519287</v>
          </cell>
          <cell r="G168">
            <v>458010</v>
          </cell>
          <cell r="H168">
            <v>44000</v>
          </cell>
          <cell r="I168">
            <v>6768100</v>
          </cell>
          <cell r="J168">
            <v>22.5</v>
          </cell>
        </row>
        <row r="169">
          <cell r="C169">
            <v>51897</v>
          </cell>
          <cell r="D169">
            <v>0</v>
          </cell>
          <cell r="E169">
            <v>0</v>
          </cell>
          <cell r="F169">
            <v>5670794.938817976</v>
          </cell>
          <cell r="G169"/>
          <cell r="H169">
            <v>0</v>
          </cell>
          <cell r="I169">
            <v>5670800</v>
          </cell>
          <cell r="J169">
            <v>22.5</v>
          </cell>
        </row>
        <row r="170">
          <cell r="C170">
            <v>52006</v>
          </cell>
          <cell r="E170">
            <v>-17000</v>
          </cell>
          <cell r="F170">
            <v>35292.948717948719</v>
          </cell>
          <cell r="G170">
            <v>0</v>
          </cell>
          <cell r="H170">
            <v>0</v>
          </cell>
          <cell r="I170">
            <v>35300</v>
          </cell>
          <cell r="J170">
            <v>0.5</v>
          </cell>
        </row>
        <row r="171">
          <cell r="C171">
            <v>50965</v>
          </cell>
          <cell r="D171">
            <v>0</v>
          </cell>
          <cell r="E171">
            <v>0</v>
          </cell>
          <cell r="F171">
            <v>6946491.5222128741</v>
          </cell>
          <cell r="G171">
            <v>458010</v>
          </cell>
          <cell r="H171">
            <v>44000</v>
          </cell>
          <cell r="I171">
            <v>6444500</v>
          </cell>
          <cell r="J171">
            <v>21.8125</v>
          </cell>
        </row>
        <row r="172">
          <cell r="C172">
            <v>51951</v>
          </cell>
          <cell r="E172">
            <v>0</v>
          </cell>
          <cell r="F172">
            <v>5697881.4199305791</v>
          </cell>
          <cell r="G172">
            <v>458010</v>
          </cell>
          <cell r="H172">
            <v>44000</v>
          </cell>
          <cell r="I172">
            <v>5195900</v>
          </cell>
          <cell r="J172">
            <v>19.40625</v>
          </cell>
        </row>
        <row r="173">
          <cell r="C173">
            <v>50198</v>
          </cell>
          <cell r="F173"/>
          <cell r="G173"/>
          <cell r="H173"/>
          <cell r="I173"/>
          <cell r="J173"/>
        </row>
        <row r="174">
          <cell r="C174">
            <v>50954</v>
          </cell>
        </row>
        <row r="175">
          <cell r="C175">
            <v>50793</v>
          </cell>
          <cell r="D175">
            <v>0</v>
          </cell>
          <cell r="E175">
            <v>0</v>
          </cell>
          <cell r="F175">
            <v>7529505.4118243298</v>
          </cell>
          <cell r="G175">
            <v>458010</v>
          </cell>
          <cell r="H175">
            <v>44000</v>
          </cell>
          <cell r="I175">
            <v>7027500</v>
          </cell>
          <cell r="J175">
            <v>22.5</v>
          </cell>
        </row>
        <row r="176">
          <cell r="C176">
            <v>51795</v>
          </cell>
          <cell r="D176">
            <v>0</v>
          </cell>
          <cell r="E176">
            <v>0</v>
          </cell>
          <cell r="F176">
            <v>6501912.8368364545</v>
          </cell>
          <cell r="G176">
            <v>458010</v>
          </cell>
          <cell r="H176">
            <v>44000</v>
          </cell>
          <cell r="I176">
            <v>5999900</v>
          </cell>
          <cell r="J176">
            <v>22.5</v>
          </cell>
        </row>
        <row r="177">
          <cell r="C177">
            <v>51847</v>
          </cell>
          <cell r="D177">
            <v>0</v>
          </cell>
          <cell r="E177">
            <v>0</v>
          </cell>
          <cell r="F177">
            <v>6126503.3630835749</v>
          </cell>
          <cell r="H177">
            <v>0</v>
          </cell>
          <cell r="I177">
            <v>6126500</v>
          </cell>
          <cell r="J177">
            <v>22.1875</v>
          </cell>
        </row>
        <row r="178">
          <cell r="C178">
            <v>51639</v>
          </cell>
          <cell r="D178">
            <v>250557.71709064976</v>
          </cell>
          <cell r="E178">
            <v>0</v>
          </cell>
          <cell r="F178">
            <v>6110770.8021401186</v>
          </cell>
          <cell r="G178">
            <v>458010</v>
          </cell>
          <cell r="H178">
            <v>44000</v>
          </cell>
          <cell r="I178">
            <v>5608800</v>
          </cell>
          <cell r="J178">
            <v>23.5</v>
          </cell>
        </row>
        <row r="179">
          <cell r="C179">
            <v>51337</v>
          </cell>
          <cell r="E179">
            <v>0</v>
          </cell>
          <cell r="F179">
            <v>8114026.444444444</v>
          </cell>
          <cell r="G179">
            <v>458010</v>
          </cell>
          <cell r="H179">
            <v>44000</v>
          </cell>
          <cell r="I179">
            <v>7612000</v>
          </cell>
          <cell r="J179">
            <v>20.5</v>
          </cell>
        </row>
        <row r="180">
          <cell r="C180">
            <v>51696</v>
          </cell>
          <cell r="E180">
            <v>0</v>
          </cell>
          <cell r="F180">
            <v>6823357.5443431074</v>
          </cell>
          <cell r="G180">
            <v>458010</v>
          </cell>
          <cell r="H180">
            <v>44000</v>
          </cell>
          <cell r="I180">
            <v>6321300</v>
          </cell>
          <cell r="J180">
            <v>21.708333333333332</v>
          </cell>
        </row>
        <row r="181">
          <cell r="C181">
            <v>50091</v>
          </cell>
          <cell r="D181">
            <v>0</v>
          </cell>
          <cell r="E181">
            <v>0</v>
          </cell>
          <cell r="F181">
            <v>7979518.2798646251</v>
          </cell>
          <cell r="G181">
            <v>458010</v>
          </cell>
          <cell r="H181">
            <v>44000</v>
          </cell>
          <cell r="I181">
            <v>7477500</v>
          </cell>
          <cell r="J181">
            <v>22.4375</v>
          </cell>
        </row>
        <row r="182">
          <cell r="C182">
            <v>51851</v>
          </cell>
          <cell r="D182">
            <v>0</v>
          </cell>
          <cell r="E182">
            <v>0</v>
          </cell>
          <cell r="F182">
            <v>7679100.0172352334</v>
          </cell>
          <cell r="G182">
            <v>458010</v>
          </cell>
          <cell r="H182">
            <v>44000</v>
          </cell>
          <cell r="I182">
            <v>7177100</v>
          </cell>
          <cell r="J182">
            <v>23</v>
          </cell>
        </row>
        <row r="183">
          <cell r="C183">
            <v>51870</v>
          </cell>
          <cell r="E183">
            <v>0</v>
          </cell>
          <cell r="F183">
            <v>7152916.8435811913</v>
          </cell>
          <cell r="G183">
            <v>458010</v>
          </cell>
          <cell r="H183">
            <v>44000</v>
          </cell>
          <cell r="I183">
            <v>6650900</v>
          </cell>
          <cell r="J183">
            <v>22.5</v>
          </cell>
        </row>
        <row r="184">
          <cell r="C184">
            <v>52037</v>
          </cell>
          <cell r="D184">
            <v>0</v>
          </cell>
          <cell r="E184">
            <v>-218662.5</v>
          </cell>
          <cell r="F184">
            <v>5040761.9082931681</v>
          </cell>
          <cell r="H184">
            <v>0</v>
          </cell>
          <cell r="I184">
            <v>5040800</v>
          </cell>
          <cell r="J184">
            <v>21.4375</v>
          </cell>
        </row>
        <row r="185">
          <cell r="C185">
            <v>52041</v>
          </cell>
          <cell r="D185">
            <v>161327.82098543644</v>
          </cell>
          <cell r="E185">
            <v>0</v>
          </cell>
          <cell r="F185">
            <v>5797516.3232453316</v>
          </cell>
          <cell r="G185">
            <v>458010</v>
          </cell>
          <cell r="H185">
            <v>44000</v>
          </cell>
          <cell r="I185">
            <v>5295500</v>
          </cell>
          <cell r="J185">
            <v>21.5</v>
          </cell>
        </row>
        <row r="186">
          <cell r="C186">
            <v>51938</v>
          </cell>
          <cell r="D186">
            <v>241245.8063788655</v>
          </cell>
          <cell r="E186">
            <v>0</v>
          </cell>
          <cell r="F186">
            <v>5546145.2128519043</v>
          </cell>
          <cell r="G186">
            <v>458010</v>
          </cell>
          <cell r="H186">
            <v>44000</v>
          </cell>
          <cell r="I186">
            <v>5044100</v>
          </cell>
          <cell r="J186">
            <v>22.5</v>
          </cell>
        </row>
        <row r="187">
          <cell r="C187">
            <v>51252</v>
          </cell>
          <cell r="E187">
            <v>0</v>
          </cell>
          <cell r="F187">
            <v>4852000</v>
          </cell>
          <cell r="G187">
            <v>0</v>
          </cell>
          <cell r="I187">
            <v>4852000</v>
          </cell>
          <cell r="J187">
            <v>13</v>
          </cell>
        </row>
        <row r="188">
          <cell r="C188">
            <v>51219</v>
          </cell>
          <cell r="E188">
            <v>0</v>
          </cell>
          <cell r="F188">
            <v>5856000</v>
          </cell>
          <cell r="I188">
            <v>5856000</v>
          </cell>
          <cell r="J188">
            <v>15</v>
          </cell>
        </row>
        <row r="189">
          <cell r="C189">
            <v>51660</v>
          </cell>
          <cell r="E189">
            <v>0</v>
          </cell>
          <cell r="F189">
            <v>4620000</v>
          </cell>
          <cell r="G189">
            <v>0</v>
          </cell>
          <cell r="I189">
            <v>4620000</v>
          </cell>
          <cell r="J189">
            <v>12</v>
          </cell>
        </row>
        <row r="190">
          <cell r="C190">
            <v>51614</v>
          </cell>
          <cell r="D190">
            <v>0</v>
          </cell>
          <cell r="E190">
            <v>0</v>
          </cell>
          <cell r="F190">
            <v>5668818.0135127427</v>
          </cell>
          <cell r="G190">
            <v>458010</v>
          </cell>
          <cell r="H190">
            <v>44000</v>
          </cell>
          <cell r="I190">
            <v>5166800</v>
          </cell>
          <cell r="J190">
            <v>20.5</v>
          </cell>
        </row>
        <row r="191">
          <cell r="C191">
            <v>52025</v>
          </cell>
          <cell r="E191">
            <v>0</v>
          </cell>
          <cell r="F191">
            <v>6075519.2944249902</v>
          </cell>
          <cell r="G191">
            <v>458010</v>
          </cell>
          <cell r="H191">
            <v>44000</v>
          </cell>
          <cell r="I191">
            <v>5573500</v>
          </cell>
          <cell r="J191">
            <v>23</v>
          </cell>
        </row>
        <row r="192">
          <cell r="C192">
            <v>52077</v>
          </cell>
          <cell r="E192">
            <v>0</v>
          </cell>
          <cell r="F192">
            <v>1841273.7719328394</v>
          </cell>
          <cell r="G192">
            <v>0</v>
          </cell>
          <cell r="H192">
            <v>0</v>
          </cell>
          <cell r="I192">
            <v>1841300</v>
          </cell>
          <cell r="J192">
            <v>10</v>
          </cell>
        </row>
        <row r="193">
          <cell r="C193">
            <v>52048</v>
          </cell>
          <cell r="E193">
            <v>0</v>
          </cell>
          <cell r="F193">
            <v>6097416.8611111119</v>
          </cell>
          <cell r="G193"/>
          <cell r="H193">
            <v>0</v>
          </cell>
          <cell r="I193">
            <v>6097400</v>
          </cell>
          <cell r="J193">
            <v>22</v>
          </cell>
        </row>
        <row r="194">
          <cell r="C194">
            <v>50105</v>
          </cell>
          <cell r="D194">
            <v>0</v>
          </cell>
          <cell r="E194">
            <v>0</v>
          </cell>
          <cell r="F194">
            <v>7019437.7642849404</v>
          </cell>
          <cell r="G194">
            <v>458010</v>
          </cell>
          <cell r="H194">
            <v>44000</v>
          </cell>
          <cell r="I194">
            <v>6517400</v>
          </cell>
          <cell r="J194">
            <v>19</v>
          </cell>
        </row>
        <row r="195">
          <cell r="C195">
            <v>50854</v>
          </cell>
          <cell r="D195">
            <v>0</v>
          </cell>
          <cell r="E195">
            <v>0</v>
          </cell>
          <cell r="F195">
            <v>6738577.7830378357</v>
          </cell>
          <cell r="G195">
            <v>458010</v>
          </cell>
          <cell r="H195">
            <v>44000</v>
          </cell>
          <cell r="I195">
            <v>6236600</v>
          </cell>
          <cell r="J195">
            <v>18.5</v>
          </cell>
        </row>
        <row r="196">
          <cell r="C196">
            <v>50565</v>
          </cell>
          <cell r="D196">
            <v>0</v>
          </cell>
          <cell r="E196">
            <v>0</v>
          </cell>
          <cell r="F196">
            <v>6140370.6587959863</v>
          </cell>
          <cell r="G196">
            <v>458010</v>
          </cell>
          <cell r="H196">
            <v>44000</v>
          </cell>
          <cell r="I196">
            <v>5638400</v>
          </cell>
          <cell r="J196">
            <v>18</v>
          </cell>
        </row>
        <row r="197">
          <cell r="C197">
            <v>52070</v>
          </cell>
          <cell r="D197">
            <v>0</v>
          </cell>
          <cell r="E197">
            <v>0</v>
          </cell>
          <cell r="F197">
            <v>3368182.6252749781</v>
          </cell>
          <cell r="G197">
            <v>0</v>
          </cell>
          <cell r="H197">
            <v>0</v>
          </cell>
          <cell r="I197">
            <v>3368200</v>
          </cell>
          <cell r="J197">
            <v>12.8125</v>
          </cell>
        </row>
        <row r="198">
          <cell r="C198">
            <v>52084</v>
          </cell>
          <cell r="D198">
            <v>0</v>
          </cell>
          <cell r="E198">
            <v>0</v>
          </cell>
          <cell r="F198">
            <v>1774143.4780408903</v>
          </cell>
          <cell r="G198">
            <v>0</v>
          </cell>
          <cell r="H198">
            <v>0</v>
          </cell>
          <cell r="I198">
            <v>1774100</v>
          </cell>
          <cell r="J198">
            <v>7</v>
          </cell>
        </row>
        <row r="199">
          <cell r="C199">
            <v>52043</v>
          </cell>
          <cell r="D199">
            <v>53577.773373842938</v>
          </cell>
          <cell r="E199">
            <v>-219300</v>
          </cell>
          <cell r="F199">
            <v>5204344.2554723118</v>
          </cell>
          <cell r="G199">
            <v>458010</v>
          </cell>
          <cell r="H199">
            <v>44000</v>
          </cell>
          <cell r="I199">
            <v>4702300</v>
          </cell>
          <cell r="J199">
            <v>21.5</v>
          </cell>
        </row>
        <row r="200">
          <cell r="C200">
            <v>50173</v>
          </cell>
          <cell r="D200">
            <v>483977.56512991316</v>
          </cell>
          <cell r="E200">
            <v>0</v>
          </cell>
          <cell r="F200">
            <v>6106260.0887162406</v>
          </cell>
          <cell r="G200">
            <v>458010</v>
          </cell>
          <cell r="H200">
            <v>44000</v>
          </cell>
          <cell r="I200">
            <v>5604300</v>
          </cell>
          <cell r="J200">
            <v>22.5</v>
          </cell>
        </row>
        <row r="201">
          <cell r="C201">
            <v>50879</v>
          </cell>
          <cell r="D201">
            <v>427630.76328518463</v>
          </cell>
          <cell r="E201">
            <v>0</v>
          </cell>
          <cell r="F201">
            <v>6214639.8232532758</v>
          </cell>
          <cell r="G201">
            <v>458010</v>
          </cell>
          <cell r="H201">
            <v>44000</v>
          </cell>
          <cell r="I201">
            <v>5712600</v>
          </cell>
          <cell r="J201">
            <v>22.125</v>
          </cell>
        </row>
        <row r="202">
          <cell r="C202">
            <v>51048</v>
          </cell>
          <cell r="D202">
            <v>0</v>
          </cell>
          <cell r="E202">
            <v>0</v>
          </cell>
          <cell r="F202">
            <v>7665326.7539759921</v>
          </cell>
          <cell r="G202">
            <v>458010</v>
          </cell>
          <cell r="H202">
            <v>44000</v>
          </cell>
          <cell r="I202">
            <v>7163300</v>
          </cell>
          <cell r="J202">
            <v>22.5</v>
          </cell>
        </row>
        <row r="203">
          <cell r="C203">
            <v>51521</v>
          </cell>
          <cell r="E203">
            <v>0</v>
          </cell>
          <cell r="F203">
            <v>716420.38330238732</v>
          </cell>
          <cell r="G203">
            <v>0</v>
          </cell>
          <cell r="H203">
            <v>44000</v>
          </cell>
          <cell r="I203">
            <v>672400</v>
          </cell>
          <cell r="J203">
            <v>3</v>
          </cell>
        </row>
        <row r="204">
          <cell r="C204">
            <v>52074</v>
          </cell>
          <cell r="D204">
            <v>283679.23208036961</v>
          </cell>
          <cell r="E204">
            <v>0</v>
          </cell>
          <cell r="F204">
            <v>2136017.8833042462</v>
          </cell>
          <cell r="G204">
            <v>0</v>
          </cell>
          <cell r="H204">
            <v>0</v>
          </cell>
          <cell r="I204">
            <v>2136000</v>
          </cell>
          <cell r="J204">
            <v>10</v>
          </cell>
        </row>
        <row r="205">
          <cell r="C205">
            <v>52086</v>
          </cell>
          <cell r="E205">
            <v>0</v>
          </cell>
          <cell r="F205">
            <v>1150686.1690900265</v>
          </cell>
          <cell r="G205">
            <v>0</v>
          </cell>
          <cell r="H205">
            <v>0</v>
          </cell>
          <cell r="I205">
            <v>1150700</v>
          </cell>
          <cell r="J205">
            <v>5.46875</v>
          </cell>
        </row>
        <row r="206">
          <cell r="C206">
            <v>50222</v>
          </cell>
          <cell r="F206">
            <v>10389032.244641662</v>
          </cell>
          <cell r="G206">
            <v>458010</v>
          </cell>
          <cell r="H206">
            <v>44000</v>
          </cell>
          <cell r="I206">
            <v>9887000</v>
          </cell>
          <cell r="J206">
            <v>22.375</v>
          </cell>
        </row>
        <row r="207">
          <cell r="C207">
            <v>50073</v>
          </cell>
          <cell r="F207"/>
          <cell r="J207"/>
        </row>
        <row r="208">
          <cell r="C208">
            <v>50342</v>
          </cell>
          <cell r="J208"/>
        </row>
        <row r="209">
          <cell r="C209">
            <v>50858</v>
          </cell>
          <cell r="F209"/>
          <cell r="J209"/>
        </row>
        <row r="210">
          <cell r="C210">
            <v>50946</v>
          </cell>
        </row>
        <row r="211">
          <cell r="C211">
            <v>51191</v>
          </cell>
        </row>
        <row r="212">
          <cell r="C212">
            <v>51255</v>
          </cell>
        </row>
        <row r="213">
          <cell r="C213">
            <v>51259</v>
          </cell>
        </row>
        <row r="214">
          <cell r="C214">
            <v>51523</v>
          </cell>
        </row>
        <row r="215">
          <cell r="C215">
            <v>51616</v>
          </cell>
        </row>
        <row r="216">
          <cell r="C216">
            <v>51691</v>
          </cell>
        </row>
        <row r="217">
          <cell r="C217">
            <v>51695</v>
          </cell>
          <cell r="J217"/>
        </row>
        <row r="218">
          <cell r="C218">
            <v>51799</v>
          </cell>
          <cell r="F218"/>
          <cell r="J218"/>
        </row>
        <row r="219">
          <cell r="C219">
            <v>51709</v>
          </cell>
          <cell r="E219">
            <v>0</v>
          </cell>
          <cell r="F219">
            <v>6225293.7446172591</v>
          </cell>
          <cell r="G219">
            <v>458010</v>
          </cell>
          <cell r="H219">
            <v>44000</v>
          </cell>
          <cell r="I219">
            <v>5723300</v>
          </cell>
          <cell r="J219">
            <v>23.322916666666668</v>
          </cell>
        </row>
        <row r="220">
          <cell r="C220">
            <v>50203</v>
          </cell>
          <cell r="F220">
            <v>6921538</v>
          </cell>
          <cell r="H220">
            <v>41000</v>
          </cell>
          <cell r="I220">
            <v>6880500</v>
          </cell>
          <cell r="J220">
            <v>24</v>
          </cell>
        </row>
        <row r="221">
          <cell r="C221">
            <v>50205</v>
          </cell>
          <cell r="F221">
            <v>6627000</v>
          </cell>
          <cell r="H221">
            <v>41000</v>
          </cell>
          <cell r="I221">
            <v>6586000</v>
          </cell>
          <cell r="J221">
            <v>27</v>
          </cell>
        </row>
        <row r="222">
          <cell r="C222">
            <v>50309</v>
          </cell>
          <cell r="F222">
            <v>6021000</v>
          </cell>
          <cell r="G222">
            <v>433650</v>
          </cell>
          <cell r="H222">
            <v>41000</v>
          </cell>
          <cell r="I222">
            <v>5546400</v>
          </cell>
          <cell r="J222">
            <v>26</v>
          </cell>
        </row>
        <row r="223">
          <cell r="C223">
            <v>50375</v>
          </cell>
          <cell r="F223">
            <v>5943000</v>
          </cell>
          <cell r="G223">
            <v>433650</v>
          </cell>
          <cell r="H223">
            <v>41000</v>
          </cell>
          <cell r="I223">
            <v>5468400</v>
          </cell>
          <cell r="J223">
            <v>25</v>
          </cell>
        </row>
        <row r="224">
          <cell r="C224">
            <v>50468</v>
          </cell>
          <cell r="F224">
            <v>5742000</v>
          </cell>
          <cell r="G224">
            <v>433650</v>
          </cell>
          <cell r="H224">
            <v>41000</v>
          </cell>
          <cell r="I224">
            <v>5267400</v>
          </cell>
          <cell r="J224">
            <v>25</v>
          </cell>
        </row>
        <row r="225">
          <cell r="C225">
            <v>50736</v>
          </cell>
          <cell r="F225">
            <v>5747692</v>
          </cell>
          <cell r="G225">
            <v>433650</v>
          </cell>
          <cell r="H225">
            <v>41000</v>
          </cell>
          <cell r="I225">
            <v>5273000</v>
          </cell>
          <cell r="J225">
            <v>24</v>
          </cell>
        </row>
        <row r="226">
          <cell r="C226">
            <v>51641</v>
          </cell>
          <cell r="F226">
            <v>6345000</v>
          </cell>
          <cell r="G226">
            <v>433650</v>
          </cell>
          <cell r="H226">
            <v>41000</v>
          </cell>
          <cell r="I226">
            <v>5870400</v>
          </cell>
          <cell r="J226">
            <v>27</v>
          </cell>
        </row>
        <row r="227">
          <cell r="C227">
            <v>50417</v>
          </cell>
          <cell r="F227">
            <v>6824310.820512821</v>
          </cell>
          <cell r="G227">
            <v>433650</v>
          </cell>
          <cell r="H227">
            <v>41000</v>
          </cell>
          <cell r="I227">
            <v>6349700</v>
          </cell>
          <cell r="J227">
            <v>22.5</v>
          </cell>
        </row>
        <row r="228">
          <cell r="C228">
            <v>50659</v>
          </cell>
          <cell r="F228">
            <v>6196823.841346154</v>
          </cell>
          <cell r="G228">
            <v>433650</v>
          </cell>
          <cell r="H228">
            <v>41000</v>
          </cell>
          <cell r="I228">
            <v>5722200</v>
          </cell>
          <cell r="J228">
            <v>22.5</v>
          </cell>
        </row>
        <row r="229">
          <cell r="C229">
            <v>50902</v>
          </cell>
          <cell r="F229">
            <v>5714320.883012821</v>
          </cell>
          <cell r="G229">
            <v>433650</v>
          </cell>
          <cell r="H229">
            <v>41000</v>
          </cell>
          <cell r="I229">
            <v>5239700</v>
          </cell>
          <cell r="J229">
            <v>21.5</v>
          </cell>
        </row>
        <row r="230">
          <cell r="C230">
            <v>50903</v>
          </cell>
          <cell r="F230">
            <v>6067297.445512821</v>
          </cell>
          <cell r="G230">
            <v>433650</v>
          </cell>
          <cell r="H230">
            <v>41000</v>
          </cell>
          <cell r="I230">
            <v>5592600</v>
          </cell>
          <cell r="J230">
            <v>22.5</v>
          </cell>
        </row>
        <row r="231">
          <cell r="C231">
            <v>51759</v>
          </cell>
          <cell r="F231">
            <v>1000000</v>
          </cell>
          <cell r="G231">
            <v>0</v>
          </cell>
          <cell r="H231">
            <v>0</v>
          </cell>
          <cell r="I231">
            <v>1000000</v>
          </cell>
        </row>
        <row r="232">
          <cell r="C232">
            <v>51463</v>
          </cell>
          <cell r="F232">
            <v>500000</v>
          </cell>
          <cell r="G232">
            <v>0</v>
          </cell>
          <cell r="H232">
            <v>0</v>
          </cell>
          <cell r="I232">
            <v>500000</v>
          </cell>
        </row>
        <row r="233">
          <cell r="C233">
            <v>50467</v>
          </cell>
          <cell r="F233">
            <v>300000</v>
          </cell>
          <cell r="G233">
            <v>0</v>
          </cell>
          <cell r="H233">
            <v>0</v>
          </cell>
          <cell r="I233">
            <v>300000</v>
          </cell>
        </row>
        <row r="234">
          <cell r="C234">
            <v>50928</v>
          </cell>
          <cell r="F234">
            <v>300000</v>
          </cell>
          <cell r="G234">
            <v>0</v>
          </cell>
          <cell r="H234">
            <v>0</v>
          </cell>
          <cell r="I234">
            <v>300000</v>
          </cell>
        </row>
        <row r="235">
          <cell r="C235">
            <v>51820</v>
          </cell>
          <cell r="F235">
            <v>300000</v>
          </cell>
          <cell r="G235">
            <v>0</v>
          </cell>
          <cell r="H235">
            <v>0</v>
          </cell>
          <cell r="I235">
            <v>300000</v>
          </cell>
        </row>
        <row r="236">
          <cell r="C236">
            <v>51843</v>
          </cell>
          <cell r="F236">
            <v>300000</v>
          </cell>
          <cell r="G236">
            <v>0</v>
          </cell>
          <cell r="H236">
            <v>0</v>
          </cell>
          <cell r="I236">
            <v>300000</v>
          </cell>
        </row>
        <row r="237">
          <cell r="C237">
            <v>51643</v>
          </cell>
          <cell r="F237">
            <v>7490947.115384616</v>
          </cell>
          <cell r="G237">
            <v>458010</v>
          </cell>
          <cell r="H237">
            <v>44000</v>
          </cell>
          <cell r="I237">
            <v>6988900</v>
          </cell>
          <cell r="J237">
            <v>22.8125</v>
          </cell>
        </row>
        <row r="238">
          <cell r="C238">
            <v>51644</v>
          </cell>
          <cell r="F238">
            <v>7784865.384615385</v>
          </cell>
          <cell r="G238">
            <v>458010</v>
          </cell>
          <cell r="H238">
            <v>44000</v>
          </cell>
          <cell r="I238">
            <v>7282900</v>
          </cell>
          <cell r="J238">
            <v>22.5</v>
          </cell>
        </row>
        <row r="239">
          <cell r="C239">
            <v>50022</v>
          </cell>
          <cell r="D239">
            <v>0</v>
          </cell>
          <cell r="E239">
            <v>0</v>
          </cell>
          <cell r="F239">
            <v>6023829.3600919815</v>
          </cell>
          <cell r="G239">
            <v>458010</v>
          </cell>
          <cell r="H239">
            <v>44000</v>
          </cell>
          <cell r="I239">
            <v>5521800</v>
          </cell>
          <cell r="J239">
            <v>21.5</v>
          </cell>
        </row>
        <row r="240">
          <cell r="C240">
            <v>50033</v>
          </cell>
          <cell r="D240">
            <v>0</v>
          </cell>
          <cell r="E240">
            <v>0</v>
          </cell>
          <cell r="F240">
            <v>7755938.402728729</v>
          </cell>
          <cell r="G240">
            <v>458010</v>
          </cell>
          <cell r="H240">
            <v>44000</v>
          </cell>
          <cell r="I240">
            <v>7253900</v>
          </cell>
          <cell r="J240">
            <v>21.875</v>
          </cell>
        </row>
        <row r="241">
          <cell r="C241">
            <v>50039</v>
          </cell>
          <cell r="D241">
            <v>0</v>
          </cell>
          <cell r="E241">
            <v>0</v>
          </cell>
          <cell r="F241">
            <v>6341691.2815611847</v>
          </cell>
          <cell r="G241">
            <v>458010</v>
          </cell>
          <cell r="H241">
            <v>44000</v>
          </cell>
          <cell r="I241">
            <v>5839700</v>
          </cell>
          <cell r="J241">
            <v>22</v>
          </cell>
        </row>
        <row r="242">
          <cell r="C242">
            <v>50130</v>
          </cell>
          <cell r="D242">
            <v>0</v>
          </cell>
          <cell r="E242">
            <v>0</v>
          </cell>
          <cell r="F242">
            <v>7459160.0146338316</v>
          </cell>
          <cell r="G242">
            <v>458010</v>
          </cell>
          <cell r="H242">
            <v>44000</v>
          </cell>
          <cell r="I242">
            <v>6957200</v>
          </cell>
          <cell r="J242">
            <v>21.072916666666668</v>
          </cell>
        </row>
        <row r="243">
          <cell r="C243">
            <v>50185</v>
          </cell>
          <cell r="D243">
            <v>0</v>
          </cell>
          <cell r="E243">
            <v>0</v>
          </cell>
          <cell r="F243">
            <v>6281647.4491012041</v>
          </cell>
          <cell r="G243">
            <v>458010</v>
          </cell>
          <cell r="H243">
            <v>44000</v>
          </cell>
          <cell r="I243">
            <v>5779600</v>
          </cell>
          <cell r="J243">
            <v>21.908333333333335</v>
          </cell>
        </row>
        <row r="244">
          <cell r="C244">
            <v>50191</v>
          </cell>
          <cell r="D244">
            <v>0</v>
          </cell>
          <cell r="E244">
            <v>0</v>
          </cell>
          <cell r="F244">
            <v>6364093.0551233953</v>
          </cell>
          <cell r="G244">
            <v>458010</v>
          </cell>
          <cell r="H244">
            <v>44000</v>
          </cell>
          <cell r="I244">
            <v>5862100</v>
          </cell>
          <cell r="J244">
            <v>22.5</v>
          </cell>
        </row>
        <row r="245">
          <cell r="C245">
            <v>50319</v>
          </cell>
          <cell r="D245">
            <v>0</v>
          </cell>
          <cell r="E245">
            <v>0</v>
          </cell>
          <cell r="F245">
            <v>6078509.5745946988</v>
          </cell>
          <cell r="G245">
            <v>458010</v>
          </cell>
          <cell r="H245">
            <v>44000</v>
          </cell>
          <cell r="I245">
            <v>5576500</v>
          </cell>
          <cell r="J245">
            <v>21</v>
          </cell>
        </row>
        <row r="246">
          <cell r="C246">
            <v>50338</v>
          </cell>
          <cell r="D246">
            <v>0</v>
          </cell>
          <cell r="E246">
            <v>0</v>
          </cell>
          <cell r="F246">
            <v>5965473.1506160954</v>
          </cell>
          <cell r="G246">
            <v>458010</v>
          </cell>
          <cell r="H246">
            <v>44000</v>
          </cell>
          <cell r="I246">
            <v>5463500</v>
          </cell>
          <cell r="J246">
            <v>22</v>
          </cell>
        </row>
        <row r="247">
          <cell r="C247">
            <v>50386</v>
          </cell>
          <cell r="D247">
            <v>0</v>
          </cell>
          <cell r="E247">
            <v>0</v>
          </cell>
          <cell r="F247">
            <v>6097668.4345647255</v>
          </cell>
          <cell r="G247">
            <v>458010</v>
          </cell>
          <cell r="H247">
            <v>44000</v>
          </cell>
          <cell r="I247">
            <v>5595700</v>
          </cell>
          <cell r="J247">
            <v>22.5</v>
          </cell>
        </row>
        <row r="248">
          <cell r="C248">
            <v>50389</v>
          </cell>
          <cell r="D248">
            <v>0</v>
          </cell>
          <cell r="E248">
            <v>0</v>
          </cell>
          <cell r="F248">
            <v>7641130.3173113381</v>
          </cell>
          <cell r="G248">
            <v>458010</v>
          </cell>
          <cell r="H248">
            <v>44000</v>
          </cell>
          <cell r="I248">
            <v>7139100</v>
          </cell>
          <cell r="J248">
            <v>22.5</v>
          </cell>
        </row>
        <row r="249">
          <cell r="C249">
            <v>50423</v>
          </cell>
          <cell r="D249">
            <v>0</v>
          </cell>
          <cell r="E249">
            <v>0</v>
          </cell>
          <cell r="F249">
            <v>5508652.8096161047</v>
          </cell>
          <cell r="G249">
            <v>458010</v>
          </cell>
          <cell r="H249">
            <v>44000</v>
          </cell>
          <cell r="I249">
            <v>5006600</v>
          </cell>
          <cell r="J249">
            <v>19.8125</v>
          </cell>
        </row>
        <row r="250">
          <cell r="C250">
            <v>50518</v>
          </cell>
          <cell r="D250">
            <v>0</v>
          </cell>
          <cell r="E250">
            <v>0</v>
          </cell>
          <cell r="F250">
            <v>7383231.8036084455</v>
          </cell>
          <cell r="G250">
            <v>458010</v>
          </cell>
          <cell r="H250">
            <v>44000</v>
          </cell>
          <cell r="I250">
            <v>6881200</v>
          </cell>
          <cell r="J250">
            <v>22.5</v>
          </cell>
        </row>
        <row r="251">
          <cell r="C251">
            <v>50610</v>
          </cell>
          <cell r="E251">
            <v>0</v>
          </cell>
          <cell r="F251">
            <v>4966055.7855579983</v>
          </cell>
          <cell r="G251">
            <v>458010</v>
          </cell>
          <cell r="H251">
            <v>44000</v>
          </cell>
          <cell r="I251">
            <v>4464000</v>
          </cell>
          <cell r="J251">
            <v>23.5</v>
          </cell>
        </row>
        <row r="252">
          <cell r="C252">
            <v>50689</v>
          </cell>
          <cell r="D252">
            <v>0</v>
          </cell>
          <cell r="E252">
            <v>0</v>
          </cell>
          <cell r="F252">
            <v>6302766.3597031031</v>
          </cell>
          <cell r="G252">
            <v>458010</v>
          </cell>
          <cell r="H252">
            <v>44000</v>
          </cell>
          <cell r="I252">
            <v>5800800</v>
          </cell>
          <cell r="J252">
            <v>21.881250000000001</v>
          </cell>
        </row>
        <row r="253">
          <cell r="C253">
            <v>50719</v>
          </cell>
          <cell r="D253">
            <v>0</v>
          </cell>
          <cell r="E253">
            <v>0</v>
          </cell>
          <cell r="F253">
            <v>6237821.3980840612</v>
          </cell>
          <cell r="G253">
            <v>458010</v>
          </cell>
          <cell r="H253">
            <v>44000</v>
          </cell>
          <cell r="I253">
            <v>5735800</v>
          </cell>
          <cell r="J253">
            <v>22</v>
          </cell>
        </row>
        <row r="254">
          <cell r="C254">
            <v>50840</v>
          </cell>
          <cell r="D254">
            <v>0</v>
          </cell>
          <cell r="E254">
            <v>0</v>
          </cell>
          <cell r="F254">
            <v>6568476.6991343079</v>
          </cell>
          <cell r="G254">
            <v>458010</v>
          </cell>
          <cell r="H254">
            <v>44000</v>
          </cell>
          <cell r="I254">
            <v>6066500</v>
          </cell>
          <cell r="J254">
            <v>22.5</v>
          </cell>
        </row>
        <row r="255">
          <cell r="C255">
            <v>50884</v>
          </cell>
          <cell r="D255">
            <v>0</v>
          </cell>
          <cell r="E255">
            <v>0</v>
          </cell>
          <cell r="F255">
            <v>5913687.1860329956</v>
          </cell>
          <cell r="G255">
            <v>458010</v>
          </cell>
          <cell r="H255">
            <v>44000</v>
          </cell>
          <cell r="I255">
            <v>5411700</v>
          </cell>
          <cell r="J255">
            <v>20.5</v>
          </cell>
        </row>
        <row r="256">
          <cell r="C256">
            <v>51377</v>
          </cell>
          <cell r="D256">
            <v>0</v>
          </cell>
          <cell r="E256">
            <v>0</v>
          </cell>
          <cell r="F256">
            <v>6145523.9049252784</v>
          </cell>
          <cell r="G256">
            <v>458010</v>
          </cell>
          <cell r="H256">
            <v>44000</v>
          </cell>
          <cell r="I256">
            <v>5643500</v>
          </cell>
          <cell r="J256">
            <v>22.5</v>
          </cell>
        </row>
        <row r="257">
          <cell r="C257">
            <v>51510</v>
          </cell>
          <cell r="D257">
            <v>0</v>
          </cell>
          <cell r="E257">
            <v>0</v>
          </cell>
          <cell r="F257">
            <v>6028647.9446402257</v>
          </cell>
          <cell r="G257">
            <v>458010</v>
          </cell>
          <cell r="H257">
            <v>44000</v>
          </cell>
          <cell r="I257">
            <v>5526600</v>
          </cell>
          <cell r="J257">
            <v>22</v>
          </cell>
        </row>
        <row r="258">
          <cell r="C258">
            <v>51771</v>
          </cell>
          <cell r="D258">
            <v>0</v>
          </cell>
          <cell r="E258">
            <v>0</v>
          </cell>
          <cell r="F258">
            <v>7612303.7496537454</v>
          </cell>
          <cell r="G258">
            <v>458010</v>
          </cell>
          <cell r="H258">
            <v>44000</v>
          </cell>
          <cell r="I258">
            <v>7110300</v>
          </cell>
          <cell r="J258">
            <v>22.5</v>
          </cell>
        </row>
        <row r="259">
          <cell r="C259">
            <v>51871</v>
          </cell>
          <cell r="D259">
            <v>0</v>
          </cell>
          <cell r="E259">
            <v>0</v>
          </cell>
          <cell r="F259">
            <v>6320398.8846303131</v>
          </cell>
          <cell r="G259">
            <v>458010</v>
          </cell>
          <cell r="H259">
            <v>44000</v>
          </cell>
          <cell r="I259">
            <v>5818400</v>
          </cell>
          <cell r="J259">
            <v>22.5</v>
          </cell>
        </row>
        <row r="260">
          <cell r="C260">
            <v>51875</v>
          </cell>
          <cell r="D260">
            <v>0</v>
          </cell>
          <cell r="E260">
            <v>0</v>
          </cell>
          <cell r="F260">
            <v>5432454.7822503652</v>
          </cell>
          <cell r="G260">
            <v>458010</v>
          </cell>
          <cell r="H260">
            <v>44000</v>
          </cell>
          <cell r="I260">
            <v>4930400</v>
          </cell>
          <cell r="J260">
            <v>17.770833333333332</v>
          </cell>
        </row>
        <row r="261">
          <cell r="C261">
            <v>51943</v>
          </cell>
          <cell r="D261">
            <v>0</v>
          </cell>
          <cell r="E261">
            <v>0</v>
          </cell>
          <cell r="F261">
            <v>6404167.2555950144</v>
          </cell>
          <cell r="G261">
            <v>458010</v>
          </cell>
          <cell r="H261">
            <v>44000</v>
          </cell>
          <cell r="I261">
            <v>5902200</v>
          </cell>
          <cell r="J261">
            <v>22.010416666666668</v>
          </cell>
        </row>
        <row r="262">
          <cell r="C262">
            <v>51995</v>
          </cell>
          <cell r="D262">
            <v>0</v>
          </cell>
          <cell r="E262">
            <v>0</v>
          </cell>
          <cell r="F262">
            <v>5944758.1816760227</v>
          </cell>
          <cell r="G262">
            <v>458010</v>
          </cell>
          <cell r="H262">
            <v>44000</v>
          </cell>
          <cell r="I262">
            <v>5442700</v>
          </cell>
          <cell r="J262">
            <v>22.5</v>
          </cell>
        </row>
        <row r="263">
          <cell r="C263">
            <v>50001</v>
          </cell>
          <cell r="F263">
            <v>12706076.923076924</v>
          </cell>
          <cell r="G263">
            <v>648060</v>
          </cell>
          <cell r="H263">
            <v>62000</v>
          </cell>
          <cell r="I263">
            <v>11996000</v>
          </cell>
          <cell r="J263">
            <v>22.5</v>
          </cell>
        </row>
        <row r="264">
          <cell r="C264">
            <v>80137</v>
          </cell>
          <cell r="F264">
            <v>12780538.461538462</v>
          </cell>
          <cell r="G264">
            <v>587685</v>
          </cell>
          <cell r="H264">
            <v>56000</v>
          </cell>
          <cell r="I264">
            <v>12136900</v>
          </cell>
          <cell r="J264">
            <v>22</v>
          </cell>
        </row>
        <row r="265">
          <cell r="C265">
            <v>50254</v>
          </cell>
          <cell r="F265">
            <v>11991750</v>
          </cell>
          <cell r="G265">
            <v>530985</v>
          </cell>
          <cell r="H265">
            <v>51000</v>
          </cell>
          <cell r="I265">
            <v>11409800</v>
          </cell>
          <cell r="J265">
            <v>23.5</v>
          </cell>
        </row>
        <row r="266">
          <cell r="C266">
            <v>50286</v>
          </cell>
          <cell r="F266">
            <v>10041750</v>
          </cell>
          <cell r="G266">
            <v>530985</v>
          </cell>
          <cell r="H266">
            <v>51000</v>
          </cell>
          <cell r="I266">
            <v>9459800</v>
          </cell>
          <cell r="J266">
            <v>22.5</v>
          </cell>
        </row>
        <row r="267">
          <cell r="C267">
            <v>50587</v>
          </cell>
          <cell r="F267">
            <v>11341750</v>
          </cell>
          <cell r="G267">
            <v>530985</v>
          </cell>
          <cell r="H267">
            <v>51000</v>
          </cell>
          <cell r="I267">
            <v>10759800</v>
          </cell>
          <cell r="J267">
            <v>22.5</v>
          </cell>
        </row>
        <row r="268">
          <cell r="C268">
            <v>82238</v>
          </cell>
          <cell r="F268">
            <v>12007326.923076924</v>
          </cell>
          <cell r="G268">
            <v>559335</v>
          </cell>
          <cell r="H268">
            <v>53000</v>
          </cell>
          <cell r="I268">
            <v>11395000</v>
          </cell>
          <cell r="J268">
            <v>22.5</v>
          </cell>
        </row>
        <row r="269">
          <cell r="C269">
            <v>80665</v>
          </cell>
          <cell r="E269">
            <v>-229500</v>
          </cell>
          <cell r="F269">
            <v>11016750</v>
          </cell>
          <cell r="G269">
            <v>530985</v>
          </cell>
          <cell r="H269">
            <v>51000</v>
          </cell>
          <cell r="I269">
            <v>10205300</v>
          </cell>
          <cell r="J269">
            <v>23.5</v>
          </cell>
        </row>
        <row r="270">
          <cell r="C270">
            <v>82450</v>
          </cell>
          <cell r="F270">
            <v>10691750</v>
          </cell>
          <cell r="G270">
            <v>530985</v>
          </cell>
          <cell r="H270">
            <v>51000</v>
          </cell>
          <cell r="I270">
            <v>10109800</v>
          </cell>
          <cell r="J270">
            <v>22.5</v>
          </cell>
        </row>
        <row r="271">
          <cell r="C271">
            <v>80089</v>
          </cell>
          <cell r="F271">
            <v>11308500</v>
          </cell>
          <cell r="G271">
            <v>530985</v>
          </cell>
          <cell r="H271">
            <v>51000</v>
          </cell>
          <cell r="I271">
            <v>10726500</v>
          </cell>
          <cell r="J271">
            <v>21</v>
          </cell>
        </row>
        <row r="272">
          <cell r="C272">
            <v>51868</v>
          </cell>
          <cell r="F272">
            <v>11281730.76923077</v>
          </cell>
          <cell r="G272">
            <v>506625</v>
          </cell>
          <cell r="H272">
            <v>48000</v>
          </cell>
          <cell r="I272">
            <v>10727100</v>
          </cell>
          <cell r="J272">
            <v>22</v>
          </cell>
        </row>
        <row r="273">
          <cell r="C273">
            <v>50041</v>
          </cell>
          <cell r="F273">
            <v>7644320.3791132038</v>
          </cell>
          <cell r="G273">
            <v>458010</v>
          </cell>
          <cell r="H273">
            <v>44000</v>
          </cell>
          <cell r="I273">
            <v>7142300</v>
          </cell>
          <cell r="J273">
            <v>23.260416666666668</v>
          </cell>
        </row>
        <row r="274">
          <cell r="C274">
            <v>50842</v>
          </cell>
          <cell r="E274">
            <v>-229500</v>
          </cell>
          <cell r="F274">
            <v>7266882.2091479134</v>
          </cell>
          <cell r="G274">
            <v>458010</v>
          </cell>
          <cell r="H274">
            <v>44000</v>
          </cell>
          <cell r="I274">
            <v>6764900</v>
          </cell>
          <cell r="J274">
            <v>21.791666666666668</v>
          </cell>
        </row>
        <row r="275">
          <cell r="C275">
            <v>50868</v>
          </cell>
          <cell r="F275">
            <v>7796866.1172807477</v>
          </cell>
          <cell r="G275">
            <v>458010</v>
          </cell>
          <cell r="H275">
            <v>44000</v>
          </cell>
          <cell r="I275">
            <v>7294900</v>
          </cell>
          <cell r="J275">
            <v>23</v>
          </cell>
        </row>
        <row r="276">
          <cell r="C276">
            <v>51491</v>
          </cell>
          <cell r="F276">
            <v>7213037.7236208804</v>
          </cell>
          <cell r="G276">
            <v>458010</v>
          </cell>
          <cell r="H276">
            <v>44000</v>
          </cell>
          <cell r="I276">
            <v>6711000</v>
          </cell>
          <cell r="J276">
            <v>22.5</v>
          </cell>
        </row>
        <row r="277">
          <cell r="C277">
            <v>51759</v>
          </cell>
          <cell r="F277">
            <v>8457670.7298212051</v>
          </cell>
          <cell r="G277">
            <v>458010</v>
          </cell>
          <cell r="H277">
            <v>44000</v>
          </cell>
          <cell r="I277">
            <v>7955700</v>
          </cell>
          <cell r="J277">
            <v>23</v>
          </cell>
        </row>
        <row r="278">
          <cell r="C278">
            <v>50137</v>
          </cell>
          <cell r="D278">
            <v>0</v>
          </cell>
          <cell r="E278">
            <v>0</v>
          </cell>
          <cell r="F278">
            <v>4458966</v>
          </cell>
          <cell r="G278">
            <v>458010</v>
          </cell>
          <cell r="H278">
            <v>44000</v>
          </cell>
          <cell r="I278">
            <v>3957000</v>
          </cell>
          <cell r="J278">
            <v>15.5</v>
          </cell>
        </row>
        <row r="279">
          <cell r="C279">
            <v>50343</v>
          </cell>
          <cell r="D279">
            <v>0</v>
          </cell>
          <cell r="E279">
            <v>0</v>
          </cell>
          <cell r="F279">
            <v>6914882.3774443679</v>
          </cell>
          <cell r="G279">
            <v>458010</v>
          </cell>
          <cell r="H279">
            <v>44000</v>
          </cell>
          <cell r="I279">
            <v>6412900</v>
          </cell>
          <cell r="J279">
            <v>22.5</v>
          </cell>
        </row>
        <row r="280">
          <cell r="C280">
            <v>51548</v>
          </cell>
          <cell r="D280">
            <v>297116.05374180945</v>
          </cell>
          <cell r="E280">
            <v>0</v>
          </cell>
          <cell r="F280">
            <v>6502987.946258191</v>
          </cell>
          <cell r="G280">
            <v>458010</v>
          </cell>
          <cell r="H280">
            <v>44000</v>
          </cell>
          <cell r="I280">
            <v>6001000</v>
          </cell>
          <cell r="J280">
            <v>22.5</v>
          </cell>
        </row>
        <row r="281">
          <cell r="C281">
            <v>51765</v>
          </cell>
          <cell r="E281">
            <v>0</v>
          </cell>
          <cell r="F281">
            <v>5392792.7814210197</v>
          </cell>
          <cell r="G281">
            <v>458010</v>
          </cell>
          <cell r="H281">
            <v>44000</v>
          </cell>
          <cell r="I281">
            <v>4890800</v>
          </cell>
          <cell r="J281">
            <v>22.5</v>
          </cell>
        </row>
        <row r="282">
          <cell r="C282">
            <v>52020</v>
          </cell>
          <cell r="D282">
            <v>0</v>
          </cell>
          <cell r="E282">
            <v>0</v>
          </cell>
          <cell r="F282">
            <v>6198116.803796228</v>
          </cell>
          <cell r="G282">
            <v>458010</v>
          </cell>
          <cell r="H282">
            <v>44000</v>
          </cell>
          <cell r="I282">
            <v>5696100</v>
          </cell>
          <cell r="J282">
            <v>22.5</v>
          </cell>
        </row>
        <row r="283">
          <cell r="C283">
            <v>50524</v>
          </cell>
          <cell r="F283">
            <v>5855477.4871794879</v>
          </cell>
          <cell r="G283">
            <v>433650</v>
          </cell>
          <cell r="H283">
            <v>41000</v>
          </cell>
          <cell r="I283">
            <v>5380800</v>
          </cell>
          <cell r="J283">
            <v>22.5</v>
          </cell>
        </row>
        <row r="284">
          <cell r="C284">
            <v>51479</v>
          </cell>
          <cell r="F284">
            <v>5595977.487179487</v>
          </cell>
          <cell r="G284">
            <v>433650</v>
          </cell>
          <cell r="H284">
            <v>41000</v>
          </cell>
          <cell r="I284">
            <v>5121300</v>
          </cell>
          <cell r="J284">
            <v>22.5</v>
          </cell>
        </row>
        <row r="285">
          <cell r="C285">
            <v>51495</v>
          </cell>
          <cell r="F285">
            <v>5547948.487179487</v>
          </cell>
          <cell r="G285">
            <v>433650</v>
          </cell>
          <cell r="H285">
            <v>41000</v>
          </cell>
          <cell r="I285">
            <v>5073300</v>
          </cell>
          <cell r="J285">
            <v>21.5</v>
          </cell>
        </row>
        <row r="286">
          <cell r="C286">
            <v>50813</v>
          </cell>
          <cell r="F286">
            <v>6425576.692307693</v>
          </cell>
          <cell r="G286">
            <v>433650</v>
          </cell>
          <cell r="H286">
            <v>41000</v>
          </cell>
          <cell r="I286">
            <v>5950900</v>
          </cell>
          <cell r="J286">
            <v>22.5</v>
          </cell>
        </row>
        <row r="287">
          <cell r="C287">
            <v>50023</v>
          </cell>
          <cell r="D287">
            <v>0</v>
          </cell>
          <cell r="E287">
            <v>0</v>
          </cell>
          <cell r="F287">
            <v>8995287.7535771839</v>
          </cell>
          <cell r="G287">
            <v>458010</v>
          </cell>
          <cell r="H287">
            <v>44000</v>
          </cell>
          <cell r="I287">
            <v>8493300</v>
          </cell>
          <cell r="J287">
            <v>23.5</v>
          </cell>
        </row>
        <row r="288">
          <cell r="C288">
            <v>50226</v>
          </cell>
          <cell r="D288">
            <v>0</v>
          </cell>
          <cell r="E288">
            <v>0</v>
          </cell>
          <cell r="F288">
            <v>6675451.2610752685</v>
          </cell>
          <cell r="G288">
            <v>458010</v>
          </cell>
          <cell r="H288">
            <v>44000</v>
          </cell>
          <cell r="I288">
            <v>6173400</v>
          </cell>
          <cell r="J288">
            <v>21</v>
          </cell>
        </row>
        <row r="289">
          <cell r="C289">
            <v>50268</v>
          </cell>
          <cell r="D289">
            <v>0</v>
          </cell>
          <cell r="E289">
            <v>0</v>
          </cell>
          <cell r="F289">
            <v>8149424.9218745269</v>
          </cell>
          <cell r="G289">
            <v>458010</v>
          </cell>
          <cell r="H289">
            <v>44000</v>
          </cell>
          <cell r="I289">
            <v>7647400</v>
          </cell>
          <cell r="J289">
            <v>22.5</v>
          </cell>
        </row>
        <row r="290">
          <cell r="C290">
            <v>50741</v>
          </cell>
          <cell r="D290">
            <v>0</v>
          </cell>
          <cell r="E290">
            <v>-238000</v>
          </cell>
          <cell r="F290">
            <v>2387581.7311059888</v>
          </cell>
          <cell r="G290">
            <v>0</v>
          </cell>
          <cell r="H290">
            <v>44000</v>
          </cell>
          <cell r="I290">
            <v>2343600</v>
          </cell>
          <cell r="J290">
            <v>7</v>
          </cell>
        </row>
        <row r="291">
          <cell r="C291">
            <v>50760</v>
          </cell>
          <cell r="D291">
            <v>0</v>
          </cell>
          <cell r="E291">
            <v>0</v>
          </cell>
          <cell r="F291">
            <v>7889584.3491936317</v>
          </cell>
          <cell r="G291">
            <v>458010</v>
          </cell>
          <cell r="H291">
            <v>44000</v>
          </cell>
          <cell r="I291">
            <v>7387600</v>
          </cell>
          <cell r="J291">
            <v>23.5</v>
          </cell>
        </row>
        <row r="292">
          <cell r="C292">
            <v>50808</v>
          </cell>
          <cell r="D292">
            <v>0</v>
          </cell>
          <cell r="E292">
            <v>0</v>
          </cell>
          <cell r="F292">
            <v>9500513.1070933659</v>
          </cell>
          <cell r="G292">
            <v>458010</v>
          </cell>
          <cell r="H292">
            <v>44000</v>
          </cell>
          <cell r="I292">
            <v>8998500</v>
          </cell>
          <cell r="J292">
            <v>22.5</v>
          </cell>
        </row>
        <row r="293">
          <cell r="C293">
            <v>50866</v>
          </cell>
          <cell r="D293">
            <v>0</v>
          </cell>
          <cell r="E293">
            <v>0</v>
          </cell>
          <cell r="F293">
            <v>10523642.656374328</v>
          </cell>
          <cell r="G293">
            <v>506625</v>
          </cell>
          <cell r="H293">
            <v>44000</v>
          </cell>
          <cell r="I293">
            <v>9973000</v>
          </cell>
          <cell r="J293">
            <v>22.885416666666668</v>
          </cell>
        </row>
        <row r="294">
          <cell r="C294">
            <v>50921</v>
          </cell>
          <cell r="D294">
            <v>0</v>
          </cell>
          <cell r="E294">
            <v>-758979.16666666674</v>
          </cell>
          <cell r="F294">
            <v>6842312.1627133954</v>
          </cell>
          <cell r="G294">
            <v>458010</v>
          </cell>
          <cell r="H294">
            <v>44000</v>
          </cell>
          <cell r="I294">
            <v>6340300</v>
          </cell>
          <cell r="J294">
            <v>22.822916666666668</v>
          </cell>
        </row>
        <row r="295">
          <cell r="C295">
            <v>51049</v>
          </cell>
          <cell r="D295">
            <v>0</v>
          </cell>
          <cell r="E295">
            <v>0</v>
          </cell>
          <cell r="F295">
            <v>7650159.3156996351</v>
          </cell>
          <cell r="G295">
            <v>458010</v>
          </cell>
          <cell r="H295">
            <v>44000</v>
          </cell>
          <cell r="I295">
            <v>7148100</v>
          </cell>
          <cell r="J295">
            <v>23</v>
          </cell>
        </row>
        <row r="296">
          <cell r="C296">
            <v>51474</v>
          </cell>
          <cell r="E296">
            <v>0</v>
          </cell>
          <cell r="F296">
            <v>6460948.5101438407</v>
          </cell>
          <cell r="G296">
            <v>458010</v>
          </cell>
          <cell r="H296">
            <v>44000</v>
          </cell>
          <cell r="I296">
            <v>5958900</v>
          </cell>
          <cell r="J296">
            <v>23.5</v>
          </cell>
        </row>
        <row r="297">
          <cell r="C297">
            <v>51580</v>
          </cell>
          <cell r="D297">
            <v>0</v>
          </cell>
          <cell r="E297">
            <v>0</v>
          </cell>
          <cell r="F297">
            <v>10077338.451515596</v>
          </cell>
          <cell r="G297">
            <v>458010</v>
          </cell>
          <cell r="H297">
            <v>44000</v>
          </cell>
          <cell r="I297">
            <v>9575300</v>
          </cell>
          <cell r="J297">
            <v>22.5</v>
          </cell>
        </row>
        <row r="298">
          <cell r="C298">
            <v>51811</v>
          </cell>
          <cell r="D298">
            <v>0</v>
          </cell>
          <cell r="E298">
            <v>-209100</v>
          </cell>
          <cell r="F298">
            <v>6553353.1425561551</v>
          </cell>
          <cell r="H298">
            <v>0</v>
          </cell>
          <cell r="I298">
            <v>6553400</v>
          </cell>
          <cell r="J298">
            <v>21</v>
          </cell>
        </row>
        <row r="299">
          <cell r="C299">
            <v>51972</v>
          </cell>
          <cell r="D299">
            <v>0</v>
          </cell>
          <cell r="E299">
            <v>0</v>
          </cell>
          <cell r="F299">
            <v>8123697.9771443829</v>
          </cell>
          <cell r="G299">
            <v>458010</v>
          </cell>
          <cell r="H299">
            <v>44000</v>
          </cell>
          <cell r="I299">
            <v>7621700</v>
          </cell>
          <cell r="J299">
            <v>22.90625</v>
          </cell>
        </row>
        <row r="300">
          <cell r="C300">
            <v>50071</v>
          </cell>
          <cell r="D300">
            <v>0</v>
          </cell>
          <cell r="E300">
            <v>0</v>
          </cell>
          <cell r="F300">
            <v>8503718.1018930618</v>
          </cell>
          <cell r="G300">
            <v>458010</v>
          </cell>
          <cell r="H300">
            <v>44000</v>
          </cell>
          <cell r="I300">
            <v>8001700</v>
          </cell>
          <cell r="J300">
            <v>23.364583333333332</v>
          </cell>
        </row>
        <row r="301">
          <cell r="C301">
            <v>50147</v>
          </cell>
          <cell r="E301">
            <v>0</v>
          </cell>
          <cell r="F301">
            <v>6164154.0042642234</v>
          </cell>
          <cell r="G301">
            <v>458010</v>
          </cell>
          <cell r="H301">
            <v>44000</v>
          </cell>
          <cell r="I301">
            <v>5662100</v>
          </cell>
          <cell r="J301">
            <v>22.375</v>
          </cell>
        </row>
        <row r="302">
          <cell r="C302">
            <v>50366</v>
          </cell>
          <cell r="D302">
            <v>213350.51987126167</v>
          </cell>
          <cell r="E302">
            <v>0</v>
          </cell>
          <cell r="F302">
            <v>5565018.624359508</v>
          </cell>
          <cell r="G302">
            <v>458010</v>
          </cell>
          <cell r="H302">
            <v>44000</v>
          </cell>
          <cell r="I302">
            <v>5063000</v>
          </cell>
          <cell r="J302">
            <v>22.5</v>
          </cell>
        </row>
        <row r="303">
          <cell r="C303">
            <v>50377</v>
          </cell>
          <cell r="D303">
            <v>0</v>
          </cell>
          <cell r="E303">
            <v>0</v>
          </cell>
          <cell r="F303">
            <v>9108331.6092058066</v>
          </cell>
          <cell r="G303">
            <v>458010</v>
          </cell>
          <cell r="H303">
            <v>44000</v>
          </cell>
          <cell r="I303">
            <v>8606300</v>
          </cell>
          <cell r="J303">
            <v>23.225000000000001</v>
          </cell>
        </row>
        <row r="304">
          <cell r="C304">
            <v>50380</v>
          </cell>
          <cell r="D304">
            <v>0</v>
          </cell>
          <cell r="E304">
            <v>0</v>
          </cell>
          <cell r="F304">
            <v>8725942.0747615416</v>
          </cell>
          <cell r="G304">
            <v>458010</v>
          </cell>
          <cell r="H304">
            <v>44000</v>
          </cell>
          <cell r="I304">
            <v>8223900</v>
          </cell>
          <cell r="J304">
            <v>22</v>
          </cell>
        </row>
        <row r="305">
          <cell r="C305">
            <v>50978</v>
          </cell>
          <cell r="E305">
            <v>0</v>
          </cell>
          <cell r="F305">
            <v>5513220.3561079046</v>
          </cell>
          <cell r="G305">
            <v>458010</v>
          </cell>
          <cell r="H305">
            <v>44000</v>
          </cell>
          <cell r="I305">
            <v>5011200</v>
          </cell>
          <cell r="J305">
            <v>18.416666666666668</v>
          </cell>
        </row>
        <row r="306">
          <cell r="C306">
            <v>51076</v>
          </cell>
          <cell r="E306">
            <v>0</v>
          </cell>
          <cell r="F306">
            <v>6163886.2272341186</v>
          </cell>
          <cell r="G306">
            <v>458010</v>
          </cell>
          <cell r="H306">
            <v>44000</v>
          </cell>
          <cell r="I306">
            <v>5661900</v>
          </cell>
          <cell r="J306">
            <v>22.916666666666668</v>
          </cell>
        </row>
        <row r="307">
          <cell r="C307">
            <v>51085</v>
          </cell>
          <cell r="E307">
            <v>0</v>
          </cell>
          <cell r="F307">
            <v>6353359.1734271487</v>
          </cell>
          <cell r="G307">
            <v>458010</v>
          </cell>
          <cell r="H307">
            <v>44000</v>
          </cell>
          <cell r="I307">
            <v>5851300</v>
          </cell>
          <cell r="J307">
            <v>23.5</v>
          </cell>
        </row>
        <row r="308">
          <cell r="C308">
            <v>51104</v>
          </cell>
          <cell r="D308">
            <v>0</v>
          </cell>
          <cell r="E308">
            <v>0</v>
          </cell>
          <cell r="F308">
            <v>9113375.2228712216</v>
          </cell>
          <cell r="G308">
            <v>458010</v>
          </cell>
          <cell r="H308">
            <v>44000</v>
          </cell>
          <cell r="I308">
            <v>8611400</v>
          </cell>
          <cell r="J308">
            <v>23.5</v>
          </cell>
        </row>
        <row r="309">
          <cell r="C309">
            <v>51203</v>
          </cell>
          <cell r="D309">
            <v>0</v>
          </cell>
          <cell r="E309">
            <v>-510000</v>
          </cell>
          <cell r="F309">
            <v>4204190.6671191165</v>
          </cell>
          <cell r="G309">
            <v>458010</v>
          </cell>
          <cell r="H309">
            <v>44000</v>
          </cell>
          <cell r="I309">
            <v>3702200</v>
          </cell>
          <cell r="J309">
            <v>16</v>
          </cell>
        </row>
        <row r="310">
          <cell r="C310">
            <v>51569</v>
          </cell>
          <cell r="D310">
            <v>0</v>
          </cell>
          <cell r="E310">
            <v>0</v>
          </cell>
          <cell r="F310">
            <v>8412806.2372842394</v>
          </cell>
          <cell r="G310">
            <v>458010</v>
          </cell>
          <cell r="H310">
            <v>44000</v>
          </cell>
          <cell r="I310">
            <v>7910800</v>
          </cell>
          <cell r="J310">
            <v>22.5</v>
          </cell>
        </row>
        <row r="311">
          <cell r="C311">
            <v>51601</v>
          </cell>
          <cell r="D311">
            <v>0</v>
          </cell>
          <cell r="E311">
            <v>0</v>
          </cell>
          <cell r="F311">
            <v>7013331.5525719533</v>
          </cell>
          <cell r="G311">
            <v>458010</v>
          </cell>
          <cell r="H311">
            <v>44000</v>
          </cell>
          <cell r="I311">
            <v>6511300</v>
          </cell>
          <cell r="J311">
            <v>23.4</v>
          </cell>
        </row>
        <row r="312">
          <cell r="C312">
            <v>51710</v>
          </cell>
          <cell r="D312">
            <v>0</v>
          </cell>
          <cell r="E312">
            <v>0</v>
          </cell>
          <cell r="F312">
            <v>3798233.3546357737</v>
          </cell>
          <cell r="G312">
            <v>458010</v>
          </cell>
          <cell r="H312">
            <v>44000</v>
          </cell>
          <cell r="I312">
            <v>3296200</v>
          </cell>
          <cell r="J312">
            <v>11.5</v>
          </cell>
        </row>
        <row r="313">
          <cell r="C313">
            <v>51732</v>
          </cell>
          <cell r="D313">
            <v>0</v>
          </cell>
          <cell r="E313">
            <v>-425000</v>
          </cell>
          <cell r="F313">
            <v>3324031.9380521462</v>
          </cell>
          <cell r="G313">
            <v>458010</v>
          </cell>
          <cell r="H313">
            <v>44000</v>
          </cell>
          <cell r="I313">
            <v>2822000</v>
          </cell>
          <cell r="J313">
            <v>13.5</v>
          </cell>
        </row>
        <row r="314">
          <cell r="C314">
            <v>51756</v>
          </cell>
          <cell r="E314">
            <v>0</v>
          </cell>
          <cell r="F314">
            <v>6661075.8559058513</v>
          </cell>
          <cell r="G314">
            <v>458010</v>
          </cell>
          <cell r="H314">
            <v>44000</v>
          </cell>
          <cell r="I314">
            <v>6159100</v>
          </cell>
          <cell r="J314">
            <v>23.35</v>
          </cell>
        </row>
        <row r="315">
          <cell r="C315">
            <v>51985</v>
          </cell>
          <cell r="E315">
            <v>0</v>
          </cell>
          <cell r="F315">
            <v>5739403.5824485905</v>
          </cell>
          <cell r="G315"/>
          <cell r="H315">
            <v>0</v>
          </cell>
          <cell r="I315">
            <v>5739400</v>
          </cell>
          <cell r="J315">
            <v>22.5</v>
          </cell>
        </row>
        <row r="316">
          <cell r="C316">
            <v>50312</v>
          </cell>
          <cell r="E316">
            <v>0</v>
          </cell>
          <cell r="F316">
            <v>6794521.444444444</v>
          </cell>
          <cell r="G316">
            <v>458010</v>
          </cell>
          <cell r="H316">
            <v>44000</v>
          </cell>
          <cell r="I316">
            <v>6292500</v>
          </cell>
          <cell r="J316">
            <v>20.5</v>
          </cell>
        </row>
        <row r="317">
          <cell r="C317">
            <v>50658</v>
          </cell>
          <cell r="E317">
            <v>0</v>
          </cell>
          <cell r="F317">
            <v>7865627.538461539</v>
          </cell>
          <cell r="G317">
            <v>458010</v>
          </cell>
          <cell r="H317">
            <v>44000</v>
          </cell>
          <cell r="I317">
            <v>7363600</v>
          </cell>
          <cell r="J317">
            <v>22.5</v>
          </cell>
        </row>
        <row r="318">
          <cell r="C318">
            <v>50761</v>
          </cell>
          <cell r="E318">
            <v>0</v>
          </cell>
          <cell r="F318">
            <v>10645731.640491456</v>
          </cell>
          <cell r="G318">
            <v>458010</v>
          </cell>
          <cell r="H318">
            <v>44000</v>
          </cell>
          <cell r="I318">
            <v>10143700</v>
          </cell>
          <cell r="J318">
            <v>21.5</v>
          </cell>
        </row>
        <row r="319">
          <cell r="C319">
            <v>51342</v>
          </cell>
          <cell r="E319">
            <v>0</v>
          </cell>
          <cell r="F319">
            <v>9628085.25</v>
          </cell>
          <cell r="G319">
            <v>458010</v>
          </cell>
          <cell r="H319">
            <v>44000</v>
          </cell>
          <cell r="I319">
            <v>9126100</v>
          </cell>
          <cell r="J319">
            <v>22.5</v>
          </cell>
        </row>
        <row r="320">
          <cell r="C320">
            <v>51421</v>
          </cell>
          <cell r="E320">
            <v>0</v>
          </cell>
          <cell r="F320">
            <v>7702168.058760684</v>
          </cell>
          <cell r="G320">
            <v>458010</v>
          </cell>
          <cell r="H320">
            <v>44000</v>
          </cell>
          <cell r="I320">
            <v>7200200</v>
          </cell>
          <cell r="J320">
            <v>21.5</v>
          </cell>
        </row>
        <row r="321">
          <cell r="C321">
            <v>51684</v>
          </cell>
          <cell r="E321">
            <v>0</v>
          </cell>
          <cell r="F321">
            <v>6431196.2040598281</v>
          </cell>
          <cell r="G321">
            <v>458010</v>
          </cell>
          <cell r="H321">
            <v>44000</v>
          </cell>
          <cell r="I321">
            <v>5929200</v>
          </cell>
          <cell r="J321">
            <v>20.5</v>
          </cell>
        </row>
        <row r="322">
          <cell r="C322">
            <v>51685</v>
          </cell>
          <cell r="E322">
            <v>0</v>
          </cell>
          <cell r="F322">
            <v>10171089.68803419</v>
          </cell>
          <cell r="G322">
            <v>458010</v>
          </cell>
          <cell r="H322">
            <v>44000</v>
          </cell>
          <cell r="I322">
            <v>9669100</v>
          </cell>
          <cell r="J322">
            <v>22</v>
          </cell>
        </row>
        <row r="323">
          <cell r="C323">
            <v>51698</v>
          </cell>
          <cell r="E323">
            <v>0</v>
          </cell>
          <cell r="F323">
            <v>7765567.097222222</v>
          </cell>
          <cell r="G323">
            <v>458010</v>
          </cell>
          <cell r="H323">
            <v>44000</v>
          </cell>
          <cell r="I323">
            <v>7263600</v>
          </cell>
          <cell r="J323">
            <v>21.5</v>
          </cell>
        </row>
        <row r="324">
          <cell r="C324">
            <v>51760</v>
          </cell>
          <cell r="E324">
            <v>0</v>
          </cell>
          <cell r="F324">
            <v>7948436.9716880359</v>
          </cell>
          <cell r="G324">
            <v>458010</v>
          </cell>
          <cell r="H324">
            <v>44000</v>
          </cell>
          <cell r="I324">
            <v>7446400</v>
          </cell>
          <cell r="J324">
            <v>22</v>
          </cell>
        </row>
        <row r="325">
          <cell r="C325">
            <v>51761</v>
          </cell>
          <cell r="E325">
            <v>0</v>
          </cell>
          <cell r="F325">
            <v>7447438.519230769</v>
          </cell>
          <cell r="G325">
            <v>458010</v>
          </cell>
          <cell r="H325">
            <v>44000</v>
          </cell>
          <cell r="I325">
            <v>6945400</v>
          </cell>
          <cell r="J325">
            <v>22.5</v>
          </cell>
        </row>
        <row r="326">
          <cell r="C326">
            <v>51763</v>
          </cell>
          <cell r="E326">
            <v>0</v>
          </cell>
          <cell r="F326">
            <v>7583775.2307692301</v>
          </cell>
          <cell r="G326">
            <v>458010</v>
          </cell>
          <cell r="H326">
            <v>44000</v>
          </cell>
          <cell r="I326">
            <v>7081800</v>
          </cell>
          <cell r="J326">
            <v>22.5</v>
          </cell>
        </row>
        <row r="327">
          <cell r="C327">
            <v>51764</v>
          </cell>
          <cell r="E327">
            <v>0</v>
          </cell>
          <cell r="F327">
            <v>7160619.288461538</v>
          </cell>
          <cell r="G327">
            <v>458010</v>
          </cell>
          <cell r="H327">
            <v>44000</v>
          </cell>
          <cell r="I327">
            <v>6658600</v>
          </cell>
          <cell r="J327">
            <v>22.5</v>
          </cell>
        </row>
        <row r="328">
          <cell r="C328">
            <v>51846</v>
          </cell>
          <cell r="E328">
            <v>0</v>
          </cell>
          <cell r="F328">
            <v>7246006.7606837619</v>
          </cell>
          <cell r="G328">
            <v>458010</v>
          </cell>
          <cell r="H328">
            <v>44000</v>
          </cell>
          <cell r="I328">
            <v>6744000</v>
          </cell>
          <cell r="J328">
            <v>21.5</v>
          </cell>
        </row>
        <row r="329">
          <cell r="C329">
            <v>51848</v>
          </cell>
          <cell r="E329">
            <v>0</v>
          </cell>
          <cell r="F329">
            <v>7015461.32051282</v>
          </cell>
          <cell r="G329">
            <v>458010</v>
          </cell>
          <cell r="H329">
            <v>44000</v>
          </cell>
          <cell r="I329">
            <v>6513500</v>
          </cell>
          <cell r="J329">
            <v>19.5</v>
          </cell>
        </row>
        <row r="330">
          <cell r="C330">
            <v>51947</v>
          </cell>
          <cell r="E330">
            <v>0</v>
          </cell>
          <cell r="F330">
            <v>9914504.8579059821</v>
          </cell>
          <cell r="G330">
            <v>458010</v>
          </cell>
          <cell r="H330">
            <v>44000</v>
          </cell>
          <cell r="I330">
            <v>9412500</v>
          </cell>
          <cell r="J330">
            <v>20.5</v>
          </cell>
        </row>
        <row r="331">
          <cell r="C331">
            <v>50467</v>
          </cell>
          <cell r="E331">
            <v>0</v>
          </cell>
          <cell r="F331">
            <v>7999472.3793103453</v>
          </cell>
          <cell r="G331">
            <v>458010</v>
          </cell>
          <cell r="H331">
            <v>44000</v>
          </cell>
          <cell r="I331">
            <v>7497500</v>
          </cell>
          <cell r="J331">
            <v>22.5</v>
          </cell>
        </row>
        <row r="332">
          <cell r="C332">
            <v>50584</v>
          </cell>
          <cell r="E332">
            <v>0</v>
          </cell>
          <cell r="F332">
            <v>7813676.3947368413</v>
          </cell>
          <cell r="G332">
            <v>482265</v>
          </cell>
          <cell r="H332">
            <v>44000</v>
          </cell>
          <cell r="I332">
            <v>7287400</v>
          </cell>
          <cell r="J332">
            <v>22.5</v>
          </cell>
        </row>
        <row r="333">
          <cell r="C333">
            <v>50124</v>
          </cell>
          <cell r="E333">
            <v>0</v>
          </cell>
          <cell r="F333">
            <v>6544690.7273855899</v>
          </cell>
          <cell r="G333">
            <v>458010</v>
          </cell>
          <cell r="H333">
            <v>44000</v>
          </cell>
          <cell r="I333">
            <v>6042700</v>
          </cell>
          <cell r="J333">
            <v>20.958333333333332</v>
          </cell>
        </row>
        <row r="334">
          <cell r="C334">
            <v>51632</v>
          </cell>
          <cell r="E334">
            <v>0</v>
          </cell>
          <cell r="F334">
            <v>6283745.6861168053</v>
          </cell>
          <cell r="G334">
            <v>458010</v>
          </cell>
          <cell r="H334">
            <v>44000</v>
          </cell>
          <cell r="I334">
            <v>5781700</v>
          </cell>
          <cell r="J334">
            <v>19.370833333333334</v>
          </cell>
        </row>
        <row r="335">
          <cell r="C335">
            <v>51653</v>
          </cell>
          <cell r="D335">
            <v>0</v>
          </cell>
          <cell r="E335">
            <v>0</v>
          </cell>
          <cell r="F335">
            <v>7106111.6612205673</v>
          </cell>
          <cell r="G335">
            <v>458010</v>
          </cell>
          <cell r="H335">
            <v>44000</v>
          </cell>
          <cell r="I335">
            <v>6604100</v>
          </cell>
          <cell r="J335">
            <v>21</v>
          </cell>
        </row>
        <row r="336">
          <cell r="C336">
            <v>51820</v>
          </cell>
          <cell r="D336">
            <v>0</v>
          </cell>
          <cell r="E336">
            <v>0</v>
          </cell>
          <cell r="F336">
            <v>8269250.0030838968</v>
          </cell>
          <cell r="G336">
            <v>458010</v>
          </cell>
          <cell r="H336">
            <v>44000</v>
          </cell>
          <cell r="I336">
            <v>7767200</v>
          </cell>
          <cell r="J336">
            <v>23.34375</v>
          </cell>
        </row>
        <row r="337">
          <cell r="C337">
            <v>51843</v>
          </cell>
          <cell r="D337">
            <v>0</v>
          </cell>
          <cell r="E337">
            <v>0</v>
          </cell>
          <cell r="F337">
            <v>7512408.2250489239</v>
          </cell>
          <cell r="G337">
            <v>458010</v>
          </cell>
          <cell r="H337">
            <v>44000</v>
          </cell>
          <cell r="I337">
            <v>7010400</v>
          </cell>
          <cell r="J337">
            <v>21.5</v>
          </cell>
        </row>
        <row r="338">
          <cell r="C338">
            <v>50145</v>
          </cell>
          <cell r="D338">
            <v>0</v>
          </cell>
          <cell r="E338">
            <v>0</v>
          </cell>
          <cell r="F338">
            <v>7781443.689050856</v>
          </cell>
          <cell r="G338">
            <v>458010</v>
          </cell>
          <cell r="H338">
            <v>44000</v>
          </cell>
          <cell r="I338">
            <v>7279400</v>
          </cell>
          <cell r="J338">
            <v>21.5</v>
          </cell>
        </row>
        <row r="339">
          <cell r="C339">
            <v>50220</v>
          </cell>
          <cell r="D339">
            <v>0</v>
          </cell>
          <cell r="E339">
            <v>0</v>
          </cell>
          <cell r="F339">
            <v>8181596.657718122</v>
          </cell>
          <cell r="G339">
            <v>458010</v>
          </cell>
          <cell r="H339">
            <v>44000</v>
          </cell>
          <cell r="I339">
            <v>7679600</v>
          </cell>
          <cell r="J339">
            <v>22.5</v>
          </cell>
        </row>
        <row r="340">
          <cell r="C340">
            <v>50460</v>
          </cell>
          <cell r="D340">
            <v>0</v>
          </cell>
          <cell r="E340">
            <v>0</v>
          </cell>
          <cell r="F340">
            <v>7230260.9015955273</v>
          </cell>
          <cell r="G340">
            <v>458010</v>
          </cell>
          <cell r="H340">
            <v>44000</v>
          </cell>
          <cell r="I340">
            <v>6728300</v>
          </cell>
          <cell r="J340">
            <v>22.385416666666668</v>
          </cell>
        </row>
        <row r="341">
          <cell r="C341">
            <v>50723</v>
          </cell>
          <cell r="D341">
            <v>0</v>
          </cell>
          <cell r="E341">
            <v>0</v>
          </cell>
          <cell r="F341">
            <v>7452538.2711278936</v>
          </cell>
          <cell r="G341">
            <v>458010</v>
          </cell>
          <cell r="H341">
            <v>44000</v>
          </cell>
          <cell r="I341">
            <v>6950500</v>
          </cell>
          <cell r="J341">
            <v>22.96875</v>
          </cell>
        </row>
        <row r="342">
          <cell r="C342">
            <v>50639</v>
          </cell>
          <cell r="D342">
            <v>0</v>
          </cell>
          <cell r="E342">
            <v>0</v>
          </cell>
          <cell r="F342">
            <v>8533195.1181090008</v>
          </cell>
          <cell r="G342">
            <v>458010</v>
          </cell>
          <cell r="H342">
            <v>44000</v>
          </cell>
          <cell r="I342">
            <v>8031200</v>
          </cell>
          <cell r="J342">
            <v>22.4375</v>
          </cell>
        </row>
        <row r="343">
          <cell r="C343">
            <v>51463</v>
          </cell>
          <cell r="D343">
            <v>0</v>
          </cell>
          <cell r="E343">
            <v>0</v>
          </cell>
          <cell r="F343">
            <v>7639024.5592371272</v>
          </cell>
          <cell r="G343">
            <v>458010</v>
          </cell>
          <cell r="H343">
            <v>44000</v>
          </cell>
          <cell r="I343">
            <v>7137000</v>
          </cell>
          <cell r="J343">
            <v>22.114583333333332</v>
          </cell>
        </row>
        <row r="344">
          <cell r="C344">
            <v>51775</v>
          </cell>
          <cell r="D344">
            <v>0</v>
          </cell>
          <cell r="E344">
            <v>0</v>
          </cell>
          <cell r="F344">
            <v>7109311.9188194834</v>
          </cell>
          <cell r="G344">
            <v>458010</v>
          </cell>
          <cell r="H344">
            <v>44000</v>
          </cell>
          <cell r="I344">
            <v>6607300</v>
          </cell>
          <cell r="J344">
            <v>21</v>
          </cell>
        </row>
        <row r="345">
          <cell r="C345">
            <v>50047</v>
          </cell>
          <cell r="D345">
            <v>0</v>
          </cell>
          <cell r="E345">
            <v>0</v>
          </cell>
          <cell r="F345">
            <v>8015824.1205585925</v>
          </cell>
          <cell r="G345">
            <v>458010</v>
          </cell>
          <cell r="H345">
            <v>44000</v>
          </cell>
          <cell r="I345">
            <v>7513800</v>
          </cell>
          <cell r="J345">
            <v>23.5</v>
          </cell>
        </row>
        <row r="346">
          <cell r="C346">
            <v>50168</v>
          </cell>
          <cell r="E346">
            <v>-229500</v>
          </cell>
          <cell r="F346">
            <v>5934364.6819628254</v>
          </cell>
          <cell r="G346">
            <v>458010</v>
          </cell>
          <cell r="H346">
            <v>44000</v>
          </cell>
          <cell r="I346">
            <v>5432400</v>
          </cell>
          <cell r="J346">
            <v>23.5</v>
          </cell>
        </row>
        <row r="347">
          <cell r="C347">
            <v>50288</v>
          </cell>
          <cell r="D347">
            <v>0</v>
          </cell>
          <cell r="E347">
            <v>-229500</v>
          </cell>
          <cell r="F347">
            <v>10407991.480085731</v>
          </cell>
          <cell r="G347">
            <v>530985</v>
          </cell>
          <cell r="H347">
            <v>44000</v>
          </cell>
          <cell r="I347">
            <v>9833000</v>
          </cell>
          <cell r="J347">
            <v>23.5</v>
          </cell>
        </row>
        <row r="348">
          <cell r="C348">
            <v>50446</v>
          </cell>
          <cell r="E348">
            <v>-205912.5</v>
          </cell>
          <cell r="F348">
            <v>5258613.5370723754</v>
          </cell>
          <cell r="G348">
            <v>458010</v>
          </cell>
          <cell r="H348">
            <v>44000</v>
          </cell>
          <cell r="I348">
            <v>4756600</v>
          </cell>
          <cell r="J348">
            <v>21.1875</v>
          </cell>
        </row>
        <row r="349">
          <cell r="C349">
            <v>50564</v>
          </cell>
          <cell r="D349">
            <v>0</v>
          </cell>
          <cell r="E349">
            <v>0</v>
          </cell>
          <cell r="F349">
            <v>8027977.7784887878</v>
          </cell>
          <cell r="G349">
            <v>458010</v>
          </cell>
          <cell r="H349">
            <v>44000</v>
          </cell>
          <cell r="I349">
            <v>7526000</v>
          </cell>
          <cell r="J349">
            <v>23.5</v>
          </cell>
        </row>
        <row r="350">
          <cell r="C350">
            <v>50781</v>
          </cell>
          <cell r="D350">
            <v>0</v>
          </cell>
          <cell r="E350">
            <v>-707979.16666666674</v>
          </cell>
          <cell r="F350">
            <v>6213646.154675764</v>
          </cell>
          <cell r="G350">
            <v>458010</v>
          </cell>
          <cell r="H350">
            <v>44000</v>
          </cell>
          <cell r="I350">
            <v>5711600</v>
          </cell>
          <cell r="J350">
            <v>21.822916666666668</v>
          </cell>
        </row>
        <row r="351">
          <cell r="C351">
            <v>50849</v>
          </cell>
          <cell r="D351">
            <v>0</v>
          </cell>
          <cell r="E351">
            <v>0</v>
          </cell>
          <cell r="F351">
            <v>7624505.7214513132</v>
          </cell>
          <cell r="G351">
            <v>458010</v>
          </cell>
          <cell r="H351">
            <v>44000</v>
          </cell>
          <cell r="I351">
            <v>7122500</v>
          </cell>
          <cell r="J351">
            <v>23.5</v>
          </cell>
        </row>
        <row r="352">
          <cell r="C352">
            <v>50961</v>
          </cell>
          <cell r="E352">
            <v>0</v>
          </cell>
          <cell r="F352">
            <v>5716392.2445379319</v>
          </cell>
          <cell r="G352">
            <v>458010</v>
          </cell>
          <cell r="H352">
            <v>44000</v>
          </cell>
          <cell r="I352">
            <v>5214400</v>
          </cell>
          <cell r="J352">
            <v>19.5</v>
          </cell>
        </row>
        <row r="353">
          <cell r="C353">
            <v>51452</v>
          </cell>
          <cell r="D353">
            <v>0</v>
          </cell>
          <cell r="E353">
            <v>-209100</v>
          </cell>
          <cell r="F353">
            <v>6623574.7279409282</v>
          </cell>
          <cell r="G353">
            <v>458010</v>
          </cell>
          <cell r="H353">
            <v>44000</v>
          </cell>
          <cell r="I353">
            <v>6121600</v>
          </cell>
          <cell r="J353">
            <v>21.5</v>
          </cell>
        </row>
        <row r="354">
          <cell r="C354">
            <v>51654</v>
          </cell>
          <cell r="D354">
            <v>0</v>
          </cell>
          <cell r="E354">
            <v>0</v>
          </cell>
          <cell r="F354">
            <v>7568799.4765854431</v>
          </cell>
          <cell r="G354">
            <v>458010</v>
          </cell>
          <cell r="H354">
            <v>44000</v>
          </cell>
          <cell r="I354">
            <v>7066800</v>
          </cell>
          <cell r="J354">
            <v>23.4375</v>
          </cell>
        </row>
        <row r="355">
          <cell r="C355">
            <v>51726</v>
          </cell>
          <cell r="D355">
            <v>0</v>
          </cell>
          <cell r="E355">
            <v>0</v>
          </cell>
          <cell r="F355">
            <v>7567765.5975961052</v>
          </cell>
          <cell r="G355">
            <v>458010</v>
          </cell>
          <cell r="H355">
            <v>44000</v>
          </cell>
          <cell r="I355">
            <v>7065800</v>
          </cell>
          <cell r="J355">
            <v>23.354166666666668</v>
          </cell>
        </row>
        <row r="356">
          <cell r="C356">
            <v>51934</v>
          </cell>
          <cell r="D356">
            <v>0</v>
          </cell>
          <cell r="E356">
            <v>-730645.83333333326</v>
          </cell>
          <cell r="F356">
            <v>6208184.2713808734</v>
          </cell>
          <cell r="G356">
            <v>458010</v>
          </cell>
          <cell r="H356">
            <v>44000</v>
          </cell>
          <cell r="I356">
            <v>5706200</v>
          </cell>
          <cell r="J356">
            <v>22.489583333333332</v>
          </cell>
        </row>
        <row r="357">
          <cell r="C357">
            <v>50547</v>
          </cell>
          <cell r="F357">
            <v>7550607.1110946313</v>
          </cell>
          <cell r="G357">
            <v>458010</v>
          </cell>
          <cell r="H357">
            <v>44000</v>
          </cell>
          <cell r="I357">
            <v>7048600</v>
          </cell>
          <cell r="J357">
            <v>22.5</v>
          </cell>
        </row>
        <row r="358">
          <cell r="C358" t="str">
            <v>Q.trị 3</v>
          </cell>
          <cell r="F358">
            <v>24531980.769230768</v>
          </cell>
          <cell r="G358">
            <v>1514205</v>
          </cell>
          <cell r="H358">
            <v>41778</v>
          </cell>
          <cell r="I358">
            <v>22946000</v>
          </cell>
          <cell r="J358">
            <v>22.5</v>
          </cell>
        </row>
        <row r="359">
          <cell r="C359">
            <v>80261</v>
          </cell>
          <cell r="F359">
            <v>16661980.76923077</v>
          </cell>
          <cell r="G359">
            <v>749805</v>
          </cell>
          <cell r="H359">
            <v>71400</v>
          </cell>
          <cell r="I359">
            <v>15840800</v>
          </cell>
          <cell r="J359">
            <v>23.5</v>
          </cell>
        </row>
        <row r="360">
          <cell r="C360">
            <v>50888</v>
          </cell>
          <cell r="F360">
            <v>14162211.538461538</v>
          </cell>
          <cell r="G360">
            <v>603335</v>
          </cell>
          <cell r="H360">
            <v>53300</v>
          </cell>
          <cell r="I360">
            <v>13505600</v>
          </cell>
          <cell r="J360">
            <v>22.5</v>
          </cell>
        </row>
        <row r="361">
          <cell r="C361">
            <v>51241</v>
          </cell>
          <cell r="E361">
            <v>0</v>
          </cell>
          <cell r="F361">
            <v>824909.29684327007</v>
          </cell>
          <cell r="G361">
            <v>0</v>
          </cell>
          <cell r="I361">
            <v>824900</v>
          </cell>
          <cell r="J361">
            <v>2.5</v>
          </cell>
        </row>
        <row r="362">
          <cell r="C362">
            <v>51244</v>
          </cell>
          <cell r="E362">
            <v>0</v>
          </cell>
          <cell r="F362">
            <v>1072544.3328277934</v>
          </cell>
          <cell r="G362">
            <v>0</v>
          </cell>
          <cell r="I362">
            <v>1072500</v>
          </cell>
          <cell r="J362">
            <v>5.5</v>
          </cell>
        </row>
        <row r="363">
          <cell r="C363">
            <v>52038</v>
          </cell>
          <cell r="E363">
            <v>0</v>
          </cell>
          <cell r="F363">
            <v>912489.38288288296</v>
          </cell>
          <cell r="G363">
            <v>0</v>
          </cell>
          <cell r="I363">
            <v>912500</v>
          </cell>
          <cell r="J363">
            <v>6.5</v>
          </cell>
        </row>
        <row r="364">
          <cell r="C364">
            <v>51560</v>
          </cell>
          <cell r="E364">
            <v>0</v>
          </cell>
          <cell r="F364">
            <v>2373853.0333454283</v>
          </cell>
          <cell r="G364">
            <v>0</v>
          </cell>
          <cell r="I364">
            <v>2373900</v>
          </cell>
          <cell r="J364">
            <v>9.5</v>
          </cell>
        </row>
        <row r="365">
          <cell r="C365">
            <v>50287</v>
          </cell>
          <cell r="E365">
            <v>0</v>
          </cell>
          <cell r="F365">
            <v>877441.25985942991</v>
          </cell>
          <cell r="G365">
            <v>0</v>
          </cell>
          <cell r="I365">
            <v>877400</v>
          </cell>
          <cell r="J365">
            <v>3.5</v>
          </cell>
        </row>
        <row r="366">
          <cell r="C366">
            <v>50238</v>
          </cell>
          <cell r="E366">
            <v>0</v>
          </cell>
          <cell r="F366">
            <v>709289.16601898335</v>
          </cell>
          <cell r="G366">
            <v>0</v>
          </cell>
          <cell r="I366">
            <v>709300</v>
          </cell>
          <cell r="J366">
            <v>1.5</v>
          </cell>
        </row>
        <row r="367">
          <cell r="C367">
            <v>10139</v>
          </cell>
          <cell r="E367">
            <v>0</v>
          </cell>
          <cell r="F367">
            <v>437152.16101934877</v>
          </cell>
          <cell r="G367">
            <v>0</v>
          </cell>
          <cell r="I367">
            <v>437200</v>
          </cell>
          <cell r="J367">
            <v>3</v>
          </cell>
        </row>
        <row r="368">
          <cell r="C368">
            <v>50035</v>
          </cell>
          <cell r="D368">
            <v>0</v>
          </cell>
          <cell r="E368">
            <v>0</v>
          </cell>
          <cell r="F368">
            <v>7409228.0386390351</v>
          </cell>
          <cell r="G368">
            <v>458010</v>
          </cell>
          <cell r="H368">
            <v>44000</v>
          </cell>
          <cell r="I368">
            <v>6907200</v>
          </cell>
          <cell r="J368">
            <v>22.916666666666668</v>
          </cell>
        </row>
        <row r="369">
          <cell r="C369">
            <v>50247</v>
          </cell>
          <cell r="D369">
            <v>0</v>
          </cell>
          <cell r="E369">
            <v>0</v>
          </cell>
          <cell r="F369">
            <v>8663512.5761966296</v>
          </cell>
          <cell r="G369">
            <v>458010</v>
          </cell>
          <cell r="H369">
            <v>44000</v>
          </cell>
          <cell r="I369">
            <v>8161500</v>
          </cell>
          <cell r="J369">
            <v>23</v>
          </cell>
        </row>
        <row r="370">
          <cell r="C370">
            <v>50274</v>
          </cell>
          <cell r="D370">
            <v>0</v>
          </cell>
          <cell r="E370">
            <v>0</v>
          </cell>
          <cell r="F370">
            <v>7345254.1788799241</v>
          </cell>
          <cell r="G370">
            <v>458010</v>
          </cell>
          <cell r="H370">
            <v>44000</v>
          </cell>
          <cell r="I370">
            <v>6843200</v>
          </cell>
          <cell r="J370">
            <v>22.427083333333332</v>
          </cell>
        </row>
        <row r="371">
          <cell r="C371">
            <v>50329</v>
          </cell>
          <cell r="D371">
            <v>0</v>
          </cell>
          <cell r="E371">
            <v>0</v>
          </cell>
          <cell r="F371">
            <v>8535872.2311840244</v>
          </cell>
          <cell r="G371">
            <v>458010</v>
          </cell>
          <cell r="H371">
            <v>44000</v>
          </cell>
          <cell r="I371">
            <v>8033900</v>
          </cell>
          <cell r="J371">
            <v>22.5</v>
          </cell>
        </row>
        <row r="372">
          <cell r="C372">
            <v>50615</v>
          </cell>
          <cell r="D372">
            <v>0</v>
          </cell>
          <cell r="E372">
            <v>0</v>
          </cell>
          <cell r="F372">
            <v>7054522.4757795278</v>
          </cell>
          <cell r="G372">
            <v>458010</v>
          </cell>
          <cell r="H372">
            <v>44000</v>
          </cell>
          <cell r="I372">
            <v>6552500</v>
          </cell>
          <cell r="J372">
            <v>21.5</v>
          </cell>
        </row>
        <row r="373">
          <cell r="C373">
            <v>50773</v>
          </cell>
          <cell r="D373">
            <v>0</v>
          </cell>
          <cell r="E373">
            <v>0</v>
          </cell>
          <cell r="F373">
            <v>8190400.4149874672</v>
          </cell>
          <cell r="G373">
            <v>458010</v>
          </cell>
          <cell r="H373">
            <v>44000</v>
          </cell>
          <cell r="I373">
            <v>7688400</v>
          </cell>
          <cell r="J373">
            <v>22.5</v>
          </cell>
        </row>
        <row r="374">
          <cell r="C374">
            <v>50878</v>
          </cell>
          <cell r="D374">
            <v>0</v>
          </cell>
          <cell r="E374">
            <v>0</v>
          </cell>
          <cell r="F374">
            <v>7603071.9574880237</v>
          </cell>
          <cell r="G374">
            <v>458010</v>
          </cell>
          <cell r="H374">
            <v>44000</v>
          </cell>
          <cell r="I374">
            <v>7101100</v>
          </cell>
          <cell r="J374">
            <v>22.5</v>
          </cell>
        </row>
        <row r="375">
          <cell r="C375">
            <v>50907</v>
          </cell>
          <cell r="D375">
            <v>0</v>
          </cell>
          <cell r="E375">
            <v>0</v>
          </cell>
          <cell r="F375">
            <v>9790573.4378414955</v>
          </cell>
          <cell r="G375">
            <v>458010</v>
          </cell>
          <cell r="H375">
            <v>44000</v>
          </cell>
          <cell r="I375">
            <v>9288600</v>
          </cell>
          <cell r="J375">
            <v>22</v>
          </cell>
        </row>
        <row r="376">
          <cell r="C376">
            <v>51118</v>
          </cell>
          <cell r="D376">
            <v>0</v>
          </cell>
          <cell r="E376">
            <v>0</v>
          </cell>
          <cell r="F376">
            <v>7429298.8634953266</v>
          </cell>
          <cell r="G376">
            <v>458010</v>
          </cell>
          <cell r="H376">
            <v>44000</v>
          </cell>
          <cell r="I376">
            <v>6927300</v>
          </cell>
          <cell r="J376">
            <v>22.5</v>
          </cell>
        </row>
        <row r="377">
          <cell r="C377">
            <v>51120</v>
          </cell>
          <cell r="D377">
            <v>0</v>
          </cell>
          <cell r="E377">
            <v>0</v>
          </cell>
          <cell r="F377">
            <v>7771104.831043792</v>
          </cell>
          <cell r="G377">
            <v>458010</v>
          </cell>
          <cell r="H377">
            <v>44000</v>
          </cell>
          <cell r="I377">
            <v>7269100</v>
          </cell>
          <cell r="J377">
            <v>23</v>
          </cell>
        </row>
        <row r="378">
          <cell r="C378">
            <v>51258</v>
          </cell>
          <cell r="E378">
            <v>0</v>
          </cell>
          <cell r="F378">
            <v>6660739.7693424067</v>
          </cell>
          <cell r="G378">
            <v>458010</v>
          </cell>
          <cell r="H378">
            <v>44000</v>
          </cell>
          <cell r="I378">
            <v>6158700</v>
          </cell>
          <cell r="J378">
            <v>22.5</v>
          </cell>
        </row>
        <row r="379">
          <cell r="C379">
            <v>51456</v>
          </cell>
          <cell r="D379">
            <v>0</v>
          </cell>
          <cell r="E379">
            <v>0</v>
          </cell>
          <cell r="F379">
            <v>7403460.5745284287</v>
          </cell>
          <cell r="G379">
            <v>458010</v>
          </cell>
          <cell r="H379">
            <v>44000</v>
          </cell>
          <cell r="I379">
            <v>6901500</v>
          </cell>
          <cell r="J379">
            <v>22.5</v>
          </cell>
        </row>
        <row r="380">
          <cell r="C380">
            <v>51483</v>
          </cell>
          <cell r="E380">
            <v>0</v>
          </cell>
          <cell r="F380">
            <v>6451638.4810807277</v>
          </cell>
          <cell r="G380">
            <v>458010</v>
          </cell>
          <cell r="H380">
            <v>44000</v>
          </cell>
          <cell r="I380">
            <v>5949600</v>
          </cell>
          <cell r="J380">
            <v>22.5</v>
          </cell>
        </row>
        <row r="381">
          <cell r="C381">
            <v>51636</v>
          </cell>
          <cell r="D381">
            <v>0</v>
          </cell>
          <cell r="E381">
            <v>0</v>
          </cell>
          <cell r="F381">
            <v>8768953.0844596531</v>
          </cell>
          <cell r="G381">
            <v>458010</v>
          </cell>
          <cell r="H381">
            <v>44000</v>
          </cell>
          <cell r="I381">
            <v>8266900</v>
          </cell>
          <cell r="J381">
            <v>22</v>
          </cell>
        </row>
        <row r="382">
          <cell r="C382">
            <v>50014</v>
          </cell>
          <cell r="D382">
            <v>0</v>
          </cell>
          <cell r="E382">
            <v>0</v>
          </cell>
          <cell r="F382">
            <v>6786337.7826395817</v>
          </cell>
          <cell r="G382">
            <v>458010</v>
          </cell>
          <cell r="H382">
            <v>44000</v>
          </cell>
          <cell r="I382">
            <v>6284300</v>
          </cell>
          <cell r="J382">
            <v>21.5</v>
          </cell>
        </row>
        <row r="383">
          <cell r="C383">
            <v>50139</v>
          </cell>
          <cell r="D383">
            <v>0</v>
          </cell>
          <cell r="E383">
            <v>0</v>
          </cell>
          <cell r="F383">
            <v>6875858.1269380497</v>
          </cell>
          <cell r="G383">
            <v>458010</v>
          </cell>
          <cell r="H383">
            <v>44000</v>
          </cell>
          <cell r="I383">
            <v>6373800</v>
          </cell>
          <cell r="J383">
            <v>22.5</v>
          </cell>
        </row>
        <row r="384">
          <cell r="C384">
            <v>50148</v>
          </cell>
          <cell r="D384">
            <v>0</v>
          </cell>
          <cell r="E384">
            <v>0</v>
          </cell>
          <cell r="F384">
            <v>6910720.0380091462</v>
          </cell>
          <cell r="G384">
            <v>458010</v>
          </cell>
          <cell r="H384">
            <v>44000</v>
          </cell>
          <cell r="I384">
            <v>6408700</v>
          </cell>
          <cell r="J384">
            <v>23</v>
          </cell>
        </row>
        <row r="385">
          <cell r="C385">
            <v>50787</v>
          </cell>
          <cell r="D385">
            <v>0</v>
          </cell>
          <cell r="E385">
            <v>0</v>
          </cell>
          <cell r="F385">
            <v>6968837.3205015566</v>
          </cell>
          <cell r="G385">
            <v>458010</v>
          </cell>
          <cell r="H385">
            <v>44000</v>
          </cell>
          <cell r="I385">
            <v>6466800</v>
          </cell>
          <cell r="J385">
            <v>21.5</v>
          </cell>
        </row>
        <row r="386">
          <cell r="C386">
            <v>50883</v>
          </cell>
          <cell r="D386">
            <v>0</v>
          </cell>
          <cell r="E386">
            <v>0</v>
          </cell>
          <cell r="F386">
            <v>6856120.3696253719</v>
          </cell>
          <cell r="G386">
            <v>458010</v>
          </cell>
          <cell r="H386">
            <v>44000</v>
          </cell>
          <cell r="I386">
            <v>6354100</v>
          </cell>
          <cell r="J386">
            <v>22.5</v>
          </cell>
        </row>
        <row r="387">
          <cell r="C387">
            <v>50892</v>
          </cell>
          <cell r="D387">
            <v>0</v>
          </cell>
          <cell r="E387">
            <v>0</v>
          </cell>
          <cell r="F387">
            <v>7852242.2279642411</v>
          </cell>
          <cell r="G387">
            <v>458010</v>
          </cell>
          <cell r="H387">
            <v>44000</v>
          </cell>
          <cell r="I387">
            <v>7350200</v>
          </cell>
          <cell r="J387">
            <v>22.5</v>
          </cell>
        </row>
        <row r="388">
          <cell r="C388">
            <v>51152</v>
          </cell>
          <cell r="D388">
            <v>0</v>
          </cell>
          <cell r="E388">
            <v>-219300</v>
          </cell>
          <cell r="F388">
            <v>5982102.076141078</v>
          </cell>
          <cell r="G388">
            <v>458010</v>
          </cell>
          <cell r="H388">
            <v>44000</v>
          </cell>
          <cell r="I388">
            <v>5480100</v>
          </cell>
          <cell r="J388">
            <v>21.5</v>
          </cell>
        </row>
        <row r="389">
          <cell r="C389">
            <v>51223</v>
          </cell>
          <cell r="D389">
            <v>128892.83007148025</v>
          </cell>
          <cell r="E389">
            <v>0</v>
          </cell>
          <cell r="F389">
            <v>6317249.15069775</v>
          </cell>
          <cell r="G389">
            <v>458010</v>
          </cell>
          <cell r="H389">
            <v>44000</v>
          </cell>
          <cell r="I389">
            <v>5815200</v>
          </cell>
          <cell r="J389">
            <v>22.5</v>
          </cell>
        </row>
        <row r="390">
          <cell r="C390">
            <v>51330</v>
          </cell>
          <cell r="E390">
            <v>0</v>
          </cell>
          <cell r="F390">
            <v>6796611.7732463274</v>
          </cell>
          <cell r="G390">
            <v>458010</v>
          </cell>
          <cell r="H390">
            <v>44000</v>
          </cell>
          <cell r="I390">
            <v>6294600</v>
          </cell>
          <cell r="J390">
            <v>22</v>
          </cell>
        </row>
        <row r="391">
          <cell r="C391">
            <v>51334</v>
          </cell>
          <cell r="D391">
            <v>0</v>
          </cell>
          <cell r="E391">
            <v>0</v>
          </cell>
          <cell r="F391">
            <v>7173298.5938430745</v>
          </cell>
          <cell r="G391">
            <v>458010</v>
          </cell>
          <cell r="H391">
            <v>44000</v>
          </cell>
          <cell r="I391">
            <v>6671300</v>
          </cell>
          <cell r="J391">
            <v>22.5</v>
          </cell>
        </row>
        <row r="392">
          <cell r="C392">
            <v>51364</v>
          </cell>
          <cell r="D392">
            <v>0</v>
          </cell>
          <cell r="E392">
            <v>0</v>
          </cell>
          <cell r="F392">
            <v>6525039.2633354934</v>
          </cell>
          <cell r="G392">
            <v>458010</v>
          </cell>
          <cell r="H392">
            <v>44000</v>
          </cell>
          <cell r="I392">
            <v>6023000</v>
          </cell>
          <cell r="J392">
            <v>22.5</v>
          </cell>
        </row>
        <row r="393">
          <cell r="C393">
            <v>51402</v>
          </cell>
          <cell r="E393">
            <v>0</v>
          </cell>
          <cell r="F393">
            <v>5602702.1106967665</v>
          </cell>
          <cell r="G393">
            <v>458010</v>
          </cell>
          <cell r="H393">
            <v>44000</v>
          </cell>
          <cell r="I393">
            <v>5100700</v>
          </cell>
          <cell r="J393">
            <v>21.5</v>
          </cell>
        </row>
        <row r="394">
          <cell r="C394">
            <v>51668</v>
          </cell>
          <cell r="D394">
            <v>0</v>
          </cell>
          <cell r="E394">
            <v>0</v>
          </cell>
          <cell r="F394">
            <v>9171619.4288870674</v>
          </cell>
          <cell r="G394">
            <v>458010</v>
          </cell>
          <cell r="H394">
            <v>44000</v>
          </cell>
          <cell r="I394">
            <v>8669600</v>
          </cell>
          <cell r="J394">
            <v>22.5</v>
          </cell>
        </row>
        <row r="395">
          <cell r="C395">
            <v>51941</v>
          </cell>
          <cell r="D395">
            <v>0</v>
          </cell>
          <cell r="E395">
            <v>0</v>
          </cell>
          <cell r="F395">
            <v>6406703.6103894329</v>
          </cell>
          <cell r="G395">
            <v>458010</v>
          </cell>
          <cell r="H395">
            <v>44000</v>
          </cell>
          <cell r="I395">
            <v>5904700</v>
          </cell>
          <cell r="J395">
            <v>22.5</v>
          </cell>
        </row>
        <row r="396">
          <cell r="C396">
            <v>51962</v>
          </cell>
          <cell r="D396">
            <v>319303.39166029543</v>
          </cell>
          <cell r="E396">
            <v>0</v>
          </cell>
          <cell r="F396">
            <v>6101971.6275704745</v>
          </cell>
          <cell r="G396">
            <v>458010</v>
          </cell>
          <cell r="H396">
            <v>44000</v>
          </cell>
          <cell r="I396">
            <v>5600000</v>
          </cell>
          <cell r="J396">
            <v>23</v>
          </cell>
        </row>
        <row r="397">
          <cell r="C397">
            <v>50046</v>
          </cell>
          <cell r="D397">
            <v>0</v>
          </cell>
          <cell r="E397">
            <v>0</v>
          </cell>
          <cell r="F397">
            <v>7973566.9185824506</v>
          </cell>
          <cell r="G397">
            <v>458010</v>
          </cell>
          <cell r="H397">
            <v>44000</v>
          </cell>
          <cell r="I397">
            <v>7471600</v>
          </cell>
          <cell r="J397">
            <v>22</v>
          </cell>
        </row>
        <row r="398">
          <cell r="C398">
            <v>50138</v>
          </cell>
          <cell r="D398">
            <v>0</v>
          </cell>
          <cell r="E398">
            <v>0</v>
          </cell>
          <cell r="F398">
            <v>7927286.6962797279</v>
          </cell>
          <cell r="G398">
            <v>458010</v>
          </cell>
          <cell r="H398">
            <v>44000</v>
          </cell>
          <cell r="I398">
            <v>7425300</v>
          </cell>
          <cell r="J398">
            <v>23.5</v>
          </cell>
        </row>
        <row r="399">
          <cell r="C399">
            <v>50394</v>
          </cell>
          <cell r="D399">
            <v>0</v>
          </cell>
          <cell r="E399">
            <v>0</v>
          </cell>
          <cell r="F399">
            <v>8799466.908828523</v>
          </cell>
          <cell r="G399">
            <v>458010</v>
          </cell>
          <cell r="H399">
            <v>44000</v>
          </cell>
          <cell r="I399">
            <v>8297500</v>
          </cell>
          <cell r="J399">
            <v>22.5</v>
          </cell>
        </row>
        <row r="400">
          <cell r="C400">
            <v>50628</v>
          </cell>
          <cell r="D400">
            <v>0</v>
          </cell>
          <cell r="E400">
            <v>0</v>
          </cell>
          <cell r="F400">
            <v>7569226.0019006664</v>
          </cell>
          <cell r="G400">
            <v>458010</v>
          </cell>
          <cell r="H400">
            <v>44000</v>
          </cell>
          <cell r="I400">
            <v>7067200</v>
          </cell>
          <cell r="J400">
            <v>21.34375</v>
          </cell>
        </row>
        <row r="401">
          <cell r="C401">
            <v>50863</v>
          </cell>
          <cell r="D401">
            <v>0</v>
          </cell>
          <cell r="E401">
            <v>0</v>
          </cell>
          <cell r="F401">
            <v>7268495.3695856845</v>
          </cell>
          <cell r="G401">
            <v>458010</v>
          </cell>
          <cell r="H401">
            <v>44000</v>
          </cell>
          <cell r="I401">
            <v>6766500</v>
          </cell>
          <cell r="J401">
            <v>21.5</v>
          </cell>
        </row>
        <row r="402">
          <cell r="C402">
            <v>50998</v>
          </cell>
          <cell r="D402">
            <v>0</v>
          </cell>
          <cell r="E402">
            <v>0</v>
          </cell>
          <cell r="F402">
            <v>8489275.1034968831</v>
          </cell>
          <cell r="G402">
            <v>458010</v>
          </cell>
          <cell r="H402">
            <v>44000</v>
          </cell>
          <cell r="I402">
            <v>7987300</v>
          </cell>
          <cell r="J402">
            <v>22.5</v>
          </cell>
        </row>
        <row r="403">
          <cell r="C403">
            <v>51264</v>
          </cell>
          <cell r="D403">
            <v>308408.46252994903</v>
          </cell>
          <cell r="E403">
            <v>-193800</v>
          </cell>
          <cell r="F403">
            <v>5483763.912470052</v>
          </cell>
          <cell r="G403">
            <v>458010</v>
          </cell>
          <cell r="H403">
            <v>44000</v>
          </cell>
          <cell r="I403">
            <v>4981800</v>
          </cell>
          <cell r="J403">
            <v>19</v>
          </cell>
        </row>
        <row r="404">
          <cell r="C404">
            <v>51293</v>
          </cell>
          <cell r="D404">
            <v>0</v>
          </cell>
          <cell r="E404">
            <v>0</v>
          </cell>
          <cell r="F404">
            <v>7806835.7411739938</v>
          </cell>
          <cell r="G404">
            <v>458010</v>
          </cell>
          <cell r="H404">
            <v>44000</v>
          </cell>
          <cell r="I404">
            <v>7304800</v>
          </cell>
          <cell r="J404">
            <v>22</v>
          </cell>
        </row>
        <row r="405">
          <cell r="C405">
            <v>51380</v>
          </cell>
          <cell r="D405">
            <v>0</v>
          </cell>
          <cell r="E405">
            <v>-544000</v>
          </cell>
          <cell r="F405">
            <v>5123842.9454652667</v>
          </cell>
          <cell r="G405">
            <v>458010</v>
          </cell>
          <cell r="H405">
            <v>44000</v>
          </cell>
          <cell r="I405">
            <v>4621800</v>
          </cell>
          <cell r="J405">
            <v>16.5</v>
          </cell>
        </row>
        <row r="406">
          <cell r="C406">
            <v>51440</v>
          </cell>
          <cell r="D406">
            <v>0</v>
          </cell>
          <cell r="E406">
            <v>0</v>
          </cell>
          <cell r="F406">
            <v>8831766.991863329</v>
          </cell>
          <cell r="G406">
            <v>458010</v>
          </cell>
          <cell r="H406">
            <v>44000</v>
          </cell>
          <cell r="I406">
            <v>8329800</v>
          </cell>
          <cell r="J406">
            <v>22.5</v>
          </cell>
        </row>
        <row r="407">
          <cell r="C407">
            <v>51586</v>
          </cell>
          <cell r="E407">
            <v>0</v>
          </cell>
          <cell r="F407">
            <v>6652425.8461001003</v>
          </cell>
          <cell r="G407">
            <v>458010</v>
          </cell>
          <cell r="H407">
            <v>44000</v>
          </cell>
          <cell r="I407">
            <v>6150400</v>
          </cell>
          <cell r="J407">
            <v>22</v>
          </cell>
        </row>
        <row r="408">
          <cell r="C408">
            <v>51589</v>
          </cell>
          <cell r="D408">
            <v>0</v>
          </cell>
          <cell r="E408">
            <v>0</v>
          </cell>
          <cell r="F408">
            <v>7495661.217755015</v>
          </cell>
          <cell r="G408">
            <v>458010</v>
          </cell>
          <cell r="H408">
            <v>44000</v>
          </cell>
          <cell r="I408">
            <v>6993700</v>
          </cell>
          <cell r="J408">
            <v>22.5</v>
          </cell>
        </row>
        <row r="409">
          <cell r="C409">
            <v>51590</v>
          </cell>
          <cell r="D409">
            <v>0</v>
          </cell>
          <cell r="E409">
            <v>0</v>
          </cell>
          <cell r="F409">
            <v>7340408.0142129688</v>
          </cell>
          <cell r="G409">
            <v>458010</v>
          </cell>
          <cell r="H409">
            <v>44000</v>
          </cell>
          <cell r="I409">
            <v>6838400</v>
          </cell>
          <cell r="J409">
            <v>21.90625</v>
          </cell>
        </row>
        <row r="410">
          <cell r="C410">
            <v>51675</v>
          </cell>
          <cell r="D410">
            <v>0</v>
          </cell>
          <cell r="E410">
            <v>0</v>
          </cell>
          <cell r="F410">
            <v>5978882.8161561424</v>
          </cell>
          <cell r="G410">
            <v>458010</v>
          </cell>
          <cell r="H410">
            <v>44000</v>
          </cell>
          <cell r="I410">
            <v>5476900</v>
          </cell>
          <cell r="J410">
            <v>21.5</v>
          </cell>
        </row>
        <row r="411">
          <cell r="C411">
            <v>51742</v>
          </cell>
          <cell r="D411">
            <v>0</v>
          </cell>
          <cell r="E411">
            <v>0</v>
          </cell>
          <cell r="F411">
            <v>7728782.8371534422</v>
          </cell>
          <cell r="H411">
            <v>0</v>
          </cell>
          <cell r="I411">
            <v>7728800</v>
          </cell>
          <cell r="J411">
            <v>22.208333333333332</v>
          </cell>
        </row>
        <row r="412">
          <cell r="C412">
            <v>51062</v>
          </cell>
          <cell r="E412">
            <v>0</v>
          </cell>
          <cell r="F412">
            <v>2617936.3549744855</v>
          </cell>
          <cell r="G412">
            <v>0</v>
          </cell>
          <cell r="H412">
            <v>44000</v>
          </cell>
          <cell r="I412">
            <v>2573900</v>
          </cell>
          <cell r="J412">
            <v>8.5</v>
          </cell>
        </row>
        <row r="413">
          <cell r="C413">
            <v>51926</v>
          </cell>
          <cell r="E413">
            <v>-391000</v>
          </cell>
          <cell r="F413">
            <v>2617034.2619690094</v>
          </cell>
          <cell r="G413">
            <v>0</v>
          </cell>
          <cell r="H413">
            <v>44000</v>
          </cell>
          <cell r="I413">
            <v>2573000</v>
          </cell>
          <cell r="J413">
            <v>11.5</v>
          </cell>
        </row>
        <row r="414">
          <cell r="C414">
            <v>51963</v>
          </cell>
          <cell r="D414">
            <v>373085.49398107035</v>
          </cell>
          <cell r="E414">
            <v>0</v>
          </cell>
          <cell r="F414">
            <v>6019988.2175573912</v>
          </cell>
          <cell r="G414">
            <v>458010</v>
          </cell>
          <cell r="H414">
            <v>44000</v>
          </cell>
          <cell r="I414">
            <v>5518000</v>
          </cell>
          <cell r="J414">
            <v>22.5</v>
          </cell>
        </row>
        <row r="415">
          <cell r="C415">
            <v>51974</v>
          </cell>
          <cell r="E415">
            <v>0</v>
          </cell>
          <cell r="F415">
            <v>6766891.1678966815</v>
          </cell>
          <cell r="H415">
            <v>0</v>
          </cell>
          <cell r="I415">
            <v>6766900</v>
          </cell>
          <cell r="J415">
            <v>21.5</v>
          </cell>
        </row>
        <row r="416">
          <cell r="C416">
            <v>51978</v>
          </cell>
          <cell r="D416">
            <v>146818.66952615767</v>
          </cell>
          <cell r="E416">
            <v>0</v>
          </cell>
          <cell r="F416">
            <v>6533363.7782061622</v>
          </cell>
          <cell r="G416">
            <v>458010</v>
          </cell>
          <cell r="H416">
            <v>44000</v>
          </cell>
          <cell r="I416">
            <v>6031400</v>
          </cell>
          <cell r="J416">
            <v>22.5</v>
          </cell>
        </row>
        <row r="417">
          <cell r="C417">
            <v>52000</v>
          </cell>
          <cell r="E417">
            <v>0</v>
          </cell>
          <cell r="F417">
            <v>6534670.2128628073</v>
          </cell>
          <cell r="G417">
            <v>458010</v>
          </cell>
          <cell r="H417">
            <v>44000</v>
          </cell>
          <cell r="I417">
            <v>6032700</v>
          </cell>
          <cell r="J417">
            <v>22.5</v>
          </cell>
        </row>
        <row r="418">
          <cell r="C418">
            <v>52009</v>
          </cell>
          <cell r="D418">
            <v>0</v>
          </cell>
          <cell r="E418">
            <v>-377400</v>
          </cell>
          <cell r="F418">
            <v>5857151.280905637</v>
          </cell>
          <cell r="G418">
            <v>458010</v>
          </cell>
          <cell r="H418">
            <v>44000</v>
          </cell>
          <cell r="I418">
            <v>5355100</v>
          </cell>
          <cell r="J418">
            <v>18.5</v>
          </cell>
        </row>
        <row r="419">
          <cell r="C419">
            <v>10127</v>
          </cell>
          <cell r="D419">
            <v>0</v>
          </cell>
          <cell r="E419">
            <v>0</v>
          </cell>
          <cell r="F419">
            <v>6717963.8276889483</v>
          </cell>
          <cell r="H419">
            <v>0</v>
          </cell>
          <cell r="I419">
            <v>6718000</v>
          </cell>
          <cell r="J419">
            <v>22.6875</v>
          </cell>
        </row>
        <row r="420">
          <cell r="C420">
            <v>50063</v>
          </cell>
          <cell r="D420">
            <v>0</v>
          </cell>
          <cell r="E420">
            <v>0</v>
          </cell>
          <cell r="F420">
            <v>7992375.8249489674</v>
          </cell>
          <cell r="G420">
            <v>458010</v>
          </cell>
          <cell r="H420">
            <v>44000</v>
          </cell>
          <cell r="I420">
            <v>7490400</v>
          </cell>
          <cell r="J420">
            <v>22.5</v>
          </cell>
        </row>
        <row r="421">
          <cell r="C421">
            <v>50089</v>
          </cell>
          <cell r="D421">
            <v>297606.7643103149</v>
          </cell>
          <cell r="E421">
            <v>0</v>
          </cell>
          <cell r="F421">
            <v>5945836.1876127627</v>
          </cell>
          <cell r="G421">
            <v>458010</v>
          </cell>
          <cell r="H421">
            <v>44000</v>
          </cell>
          <cell r="I421">
            <v>5443800</v>
          </cell>
          <cell r="J421">
            <v>21.5</v>
          </cell>
        </row>
        <row r="422">
          <cell r="C422">
            <v>51222</v>
          </cell>
          <cell r="E422">
            <v>0</v>
          </cell>
          <cell r="F422">
            <v>6167112.5971512096</v>
          </cell>
          <cell r="G422">
            <v>458010</v>
          </cell>
          <cell r="H422">
            <v>44000</v>
          </cell>
          <cell r="I422">
            <v>5665100</v>
          </cell>
          <cell r="J422">
            <v>23.5</v>
          </cell>
        </row>
        <row r="423">
          <cell r="C423">
            <v>51624</v>
          </cell>
          <cell r="D423">
            <v>0</v>
          </cell>
          <cell r="E423">
            <v>0</v>
          </cell>
          <cell r="F423">
            <v>7060574.2406243961</v>
          </cell>
          <cell r="G423">
            <v>458010</v>
          </cell>
          <cell r="H423">
            <v>44000</v>
          </cell>
          <cell r="I423">
            <v>6558600</v>
          </cell>
          <cell r="J423">
            <v>23.5</v>
          </cell>
        </row>
        <row r="424">
          <cell r="C424">
            <v>51874</v>
          </cell>
          <cell r="E424">
            <v>0</v>
          </cell>
          <cell r="F424">
            <v>6134987.5768372454</v>
          </cell>
          <cell r="G424">
            <v>458010</v>
          </cell>
          <cell r="H424">
            <v>44000</v>
          </cell>
          <cell r="I424">
            <v>5633000</v>
          </cell>
          <cell r="J424">
            <v>21.770833333333332</v>
          </cell>
        </row>
        <row r="425">
          <cell r="C425">
            <v>51907</v>
          </cell>
          <cell r="D425">
            <v>142346.35336549859</v>
          </cell>
          <cell r="E425">
            <v>0</v>
          </cell>
          <cell r="F425">
            <v>5811374.7139421944</v>
          </cell>
          <cell r="G425">
            <v>458010</v>
          </cell>
          <cell r="H425">
            <v>44000</v>
          </cell>
          <cell r="I425">
            <v>5309400</v>
          </cell>
          <cell r="J425">
            <v>22.5</v>
          </cell>
        </row>
        <row r="426">
          <cell r="C426">
            <v>52005</v>
          </cell>
          <cell r="E426">
            <v>0</v>
          </cell>
          <cell r="F426">
            <v>5429906.434810441</v>
          </cell>
          <cell r="G426">
            <v>458010</v>
          </cell>
          <cell r="H426">
            <v>44000</v>
          </cell>
          <cell r="I426">
            <v>4927900</v>
          </cell>
          <cell r="J426">
            <v>22.5</v>
          </cell>
        </row>
        <row r="427">
          <cell r="C427">
            <v>50616</v>
          </cell>
          <cell r="D427">
            <v>120262.54060839745</v>
          </cell>
          <cell r="E427">
            <v>0</v>
          </cell>
          <cell r="F427">
            <v>6431547.9497762183</v>
          </cell>
          <cell r="G427">
            <v>458010</v>
          </cell>
          <cell r="H427">
            <v>44000</v>
          </cell>
          <cell r="I427">
            <v>5929500</v>
          </cell>
          <cell r="J427">
            <v>22.5</v>
          </cell>
        </row>
        <row r="428">
          <cell r="C428">
            <v>50872</v>
          </cell>
          <cell r="D428">
            <v>0</v>
          </cell>
          <cell r="E428">
            <v>0</v>
          </cell>
          <cell r="F428">
            <v>6964313.3475240115</v>
          </cell>
          <cell r="G428">
            <v>458010</v>
          </cell>
          <cell r="H428">
            <v>44000</v>
          </cell>
          <cell r="I428">
            <v>6462300</v>
          </cell>
          <cell r="J428">
            <v>23.5</v>
          </cell>
        </row>
        <row r="429">
          <cell r="C429">
            <v>51349</v>
          </cell>
          <cell r="D429">
            <v>0</v>
          </cell>
          <cell r="E429">
            <v>-229500</v>
          </cell>
          <cell r="F429">
            <v>6132369.3932347661</v>
          </cell>
          <cell r="G429">
            <v>458010</v>
          </cell>
          <cell r="H429">
            <v>44000</v>
          </cell>
          <cell r="I429">
            <v>5630400</v>
          </cell>
          <cell r="J429">
            <v>22.5</v>
          </cell>
        </row>
        <row r="430">
          <cell r="C430">
            <v>51655</v>
          </cell>
          <cell r="D430">
            <v>0</v>
          </cell>
          <cell r="E430">
            <v>0</v>
          </cell>
          <cell r="F430">
            <v>6769214.9228960723</v>
          </cell>
          <cell r="G430">
            <v>458010</v>
          </cell>
          <cell r="H430">
            <v>44000</v>
          </cell>
          <cell r="I430">
            <v>6267200</v>
          </cell>
          <cell r="J430">
            <v>22</v>
          </cell>
        </row>
        <row r="431">
          <cell r="C431">
            <v>51704</v>
          </cell>
          <cell r="E431">
            <v>-206656.25</v>
          </cell>
          <cell r="F431">
            <v>5195998.7638832964</v>
          </cell>
          <cell r="G431">
            <v>458010</v>
          </cell>
          <cell r="H431">
            <v>44000</v>
          </cell>
          <cell r="I431">
            <v>4694000</v>
          </cell>
          <cell r="J431">
            <v>20.260416666666668</v>
          </cell>
        </row>
        <row r="432">
          <cell r="C432">
            <v>51911</v>
          </cell>
          <cell r="D432">
            <v>0</v>
          </cell>
          <cell r="E432">
            <v>0</v>
          </cell>
          <cell r="F432">
            <v>6394671.8198650274</v>
          </cell>
          <cell r="G432">
            <v>458010</v>
          </cell>
          <cell r="H432">
            <v>44000</v>
          </cell>
          <cell r="I432">
            <v>5892700</v>
          </cell>
          <cell r="J432">
            <v>21.5</v>
          </cell>
        </row>
        <row r="433">
          <cell r="C433">
            <v>51968</v>
          </cell>
          <cell r="E433">
            <v>0</v>
          </cell>
          <cell r="F433">
            <v>5388146.3390645375</v>
          </cell>
          <cell r="G433">
            <v>458010</v>
          </cell>
          <cell r="H433">
            <v>44000</v>
          </cell>
          <cell r="I433">
            <v>4886100</v>
          </cell>
          <cell r="J433">
            <v>20.5</v>
          </cell>
        </row>
        <row r="434">
          <cell r="C434">
            <v>51982</v>
          </cell>
          <cell r="E434">
            <v>0</v>
          </cell>
          <cell r="F434">
            <v>6654231.7167233415</v>
          </cell>
          <cell r="G434">
            <v>458010</v>
          </cell>
          <cell r="H434">
            <v>44000</v>
          </cell>
          <cell r="I434">
            <v>6152200</v>
          </cell>
          <cell r="J434">
            <v>22.427083333333332</v>
          </cell>
        </row>
        <row r="435">
          <cell r="C435">
            <v>52035</v>
          </cell>
          <cell r="D435">
            <v>308149.27236052905</v>
          </cell>
          <cell r="E435">
            <v>0</v>
          </cell>
          <cell r="F435">
            <v>5858080.7949471632</v>
          </cell>
          <cell r="G435">
            <v>458010</v>
          </cell>
          <cell r="H435">
            <v>44000</v>
          </cell>
          <cell r="I435">
            <v>5356100</v>
          </cell>
          <cell r="J435">
            <v>21.895833333333332</v>
          </cell>
        </row>
        <row r="436">
          <cell r="C436">
            <v>10163</v>
          </cell>
          <cell r="D436">
            <v>0</v>
          </cell>
          <cell r="E436">
            <v>0</v>
          </cell>
          <cell r="F436">
            <v>7068914.6824587248</v>
          </cell>
          <cell r="G436"/>
          <cell r="H436">
            <v>0</v>
          </cell>
          <cell r="I436">
            <v>7068900</v>
          </cell>
          <cell r="J436">
            <v>22.739583333333332</v>
          </cell>
        </row>
        <row r="437">
          <cell r="C437">
            <v>50034</v>
          </cell>
          <cell r="E437">
            <v>0</v>
          </cell>
          <cell r="F437">
            <v>6836961.8755639615</v>
          </cell>
          <cell r="G437">
            <v>458010</v>
          </cell>
          <cell r="H437">
            <v>44000</v>
          </cell>
          <cell r="I437">
            <v>6335000</v>
          </cell>
          <cell r="J437">
            <v>22.370833333333334</v>
          </cell>
        </row>
        <row r="438">
          <cell r="C438">
            <v>50258</v>
          </cell>
          <cell r="D438">
            <v>0</v>
          </cell>
          <cell r="E438">
            <v>0</v>
          </cell>
          <cell r="F438">
            <v>6728609.7106896956</v>
          </cell>
          <cell r="G438">
            <v>458010</v>
          </cell>
          <cell r="H438">
            <v>44000</v>
          </cell>
          <cell r="I438">
            <v>6226600</v>
          </cell>
          <cell r="J438">
            <v>22.5</v>
          </cell>
        </row>
        <row r="439">
          <cell r="C439">
            <v>50697</v>
          </cell>
          <cell r="D439">
            <v>0</v>
          </cell>
          <cell r="E439">
            <v>0</v>
          </cell>
          <cell r="F439">
            <v>7015852.7336277887</v>
          </cell>
          <cell r="G439">
            <v>458010</v>
          </cell>
          <cell r="H439">
            <v>44000</v>
          </cell>
          <cell r="I439">
            <v>6513800</v>
          </cell>
          <cell r="J439">
            <v>22.364583333333332</v>
          </cell>
        </row>
        <row r="440">
          <cell r="C440">
            <v>50783</v>
          </cell>
          <cell r="D440">
            <v>284930.92917888553</v>
          </cell>
          <cell r="E440">
            <v>0</v>
          </cell>
          <cell r="F440">
            <v>6449814.1765903449</v>
          </cell>
          <cell r="G440">
            <v>458010</v>
          </cell>
          <cell r="H440">
            <v>44000</v>
          </cell>
          <cell r="I440">
            <v>5947800</v>
          </cell>
          <cell r="J440">
            <v>22.5</v>
          </cell>
        </row>
        <row r="441">
          <cell r="C441">
            <v>51343</v>
          </cell>
          <cell r="D441">
            <v>0</v>
          </cell>
          <cell r="E441">
            <v>0</v>
          </cell>
          <cell r="F441">
            <v>6826007.9714998966</v>
          </cell>
          <cell r="G441">
            <v>458010</v>
          </cell>
          <cell r="H441">
            <v>44000</v>
          </cell>
          <cell r="I441">
            <v>6324000</v>
          </cell>
          <cell r="J441">
            <v>22.5</v>
          </cell>
        </row>
        <row r="442">
          <cell r="C442">
            <v>51581</v>
          </cell>
          <cell r="E442">
            <v>-219300</v>
          </cell>
          <cell r="F442">
            <v>5995125.450952311</v>
          </cell>
          <cell r="G442">
            <v>458010</v>
          </cell>
          <cell r="H442">
            <v>44000</v>
          </cell>
          <cell r="I442">
            <v>5493100</v>
          </cell>
          <cell r="J442">
            <v>21.5</v>
          </cell>
        </row>
        <row r="443">
          <cell r="C443">
            <v>51592</v>
          </cell>
          <cell r="D443">
            <v>247730.23024209391</v>
          </cell>
          <cell r="E443">
            <v>0</v>
          </cell>
          <cell r="F443">
            <v>6494354.7793732909</v>
          </cell>
          <cell r="G443">
            <v>458010</v>
          </cell>
          <cell r="H443">
            <v>44000</v>
          </cell>
          <cell r="I443">
            <v>5992300</v>
          </cell>
          <cell r="J443">
            <v>22.5</v>
          </cell>
        </row>
        <row r="444">
          <cell r="C444">
            <v>52018</v>
          </cell>
          <cell r="D444">
            <v>0</v>
          </cell>
          <cell r="E444">
            <v>0</v>
          </cell>
          <cell r="F444">
            <v>7099815.9976628013</v>
          </cell>
          <cell r="G444"/>
          <cell r="H444">
            <v>0</v>
          </cell>
          <cell r="I444">
            <v>7099800</v>
          </cell>
          <cell r="J444">
            <v>22</v>
          </cell>
        </row>
        <row r="445">
          <cell r="C445">
            <v>50011</v>
          </cell>
          <cell r="E445">
            <v>0</v>
          </cell>
          <cell r="F445">
            <v>6349658.1143176649</v>
          </cell>
          <cell r="G445">
            <v>458010</v>
          </cell>
          <cell r="H445">
            <v>44000</v>
          </cell>
          <cell r="I445">
            <v>5847600</v>
          </cell>
          <cell r="J445">
            <v>20.21875</v>
          </cell>
        </row>
        <row r="446">
          <cell r="C446">
            <v>50255</v>
          </cell>
          <cell r="D446">
            <v>203877.31589131686</v>
          </cell>
          <cell r="E446">
            <v>0</v>
          </cell>
          <cell r="F446">
            <v>6401138.7033394538</v>
          </cell>
          <cell r="G446">
            <v>458010</v>
          </cell>
          <cell r="H446">
            <v>44000</v>
          </cell>
          <cell r="I446">
            <v>5899100</v>
          </cell>
          <cell r="J446">
            <v>22.5</v>
          </cell>
        </row>
        <row r="447">
          <cell r="C447">
            <v>50834</v>
          </cell>
          <cell r="D447">
            <v>0</v>
          </cell>
          <cell r="E447">
            <v>0</v>
          </cell>
          <cell r="F447">
            <v>7057331.0055762334</v>
          </cell>
          <cell r="G447">
            <v>458010</v>
          </cell>
          <cell r="H447">
            <v>44000</v>
          </cell>
          <cell r="I447">
            <v>6555300</v>
          </cell>
          <cell r="J447">
            <v>22.5</v>
          </cell>
        </row>
        <row r="448">
          <cell r="C448">
            <v>50871</v>
          </cell>
          <cell r="E448">
            <v>-563479.16666666674</v>
          </cell>
          <cell r="F448">
            <v>3987832.7294884128</v>
          </cell>
          <cell r="G448">
            <v>458010</v>
          </cell>
          <cell r="H448">
            <v>44000</v>
          </cell>
          <cell r="I448">
            <v>3485800</v>
          </cell>
          <cell r="J448">
            <v>16.572916666666668</v>
          </cell>
        </row>
        <row r="449">
          <cell r="C449">
            <v>50952</v>
          </cell>
          <cell r="E449">
            <v>0</v>
          </cell>
          <cell r="F449">
            <v>6470150.0734658111</v>
          </cell>
          <cell r="G449">
            <v>458010</v>
          </cell>
          <cell r="H449">
            <v>44000</v>
          </cell>
          <cell r="I449">
            <v>5968100</v>
          </cell>
          <cell r="J449">
            <v>22.5</v>
          </cell>
        </row>
        <row r="450">
          <cell r="C450">
            <v>51031</v>
          </cell>
          <cell r="D450">
            <v>0</v>
          </cell>
          <cell r="E450">
            <v>0</v>
          </cell>
          <cell r="F450">
            <v>6700079.6752772834</v>
          </cell>
          <cell r="G450">
            <v>458010</v>
          </cell>
          <cell r="H450">
            <v>44000</v>
          </cell>
          <cell r="I450">
            <v>6198100</v>
          </cell>
          <cell r="J450">
            <v>22</v>
          </cell>
        </row>
        <row r="451">
          <cell r="C451">
            <v>51140</v>
          </cell>
          <cell r="D451">
            <v>0</v>
          </cell>
          <cell r="E451">
            <v>0</v>
          </cell>
          <cell r="F451">
            <v>7942873.2879648432</v>
          </cell>
          <cell r="G451">
            <v>458010</v>
          </cell>
          <cell r="H451">
            <v>44000</v>
          </cell>
          <cell r="I451">
            <v>7440900</v>
          </cell>
          <cell r="J451">
            <v>22</v>
          </cell>
        </row>
        <row r="452">
          <cell r="C452">
            <v>51166</v>
          </cell>
          <cell r="E452">
            <v>0</v>
          </cell>
          <cell r="F452">
            <v>6529083.384991291</v>
          </cell>
          <cell r="G452">
            <v>458010</v>
          </cell>
          <cell r="H452">
            <v>44000</v>
          </cell>
          <cell r="I452">
            <v>6027100</v>
          </cell>
          <cell r="J452">
            <v>22.5</v>
          </cell>
        </row>
        <row r="453">
          <cell r="C453">
            <v>51208</v>
          </cell>
          <cell r="D453">
            <v>241515.41191468434</v>
          </cell>
          <cell r="E453">
            <v>-510000</v>
          </cell>
          <cell r="F453">
            <v>3572285.3380853157</v>
          </cell>
          <cell r="G453">
            <v>458010</v>
          </cell>
          <cell r="H453">
            <v>44000</v>
          </cell>
          <cell r="I453">
            <v>3070300</v>
          </cell>
          <cell r="J453">
            <v>15</v>
          </cell>
        </row>
        <row r="454">
          <cell r="C454">
            <v>51230</v>
          </cell>
          <cell r="D454">
            <v>0</v>
          </cell>
          <cell r="E454">
            <v>0</v>
          </cell>
          <cell r="F454">
            <v>7665396.0470886044</v>
          </cell>
          <cell r="G454">
            <v>458010</v>
          </cell>
          <cell r="H454">
            <v>44000</v>
          </cell>
          <cell r="I454">
            <v>7163400</v>
          </cell>
          <cell r="J454">
            <v>23.5</v>
          </cell>
        </row>
        <row r="455">
          <cell r="C455">
            <v>51324</v>
          </cell>
          <cell r="D455">
            <v>0</v>
          </cell>
          <cell r="E455">
            <v>0</v>
          </cell>
          <cell r="F455">
            <v>6990628.758939703</v>
          </cell>
          <cell r="G455">
            <v>458010</v>
          </cell>
          <cell r="H455">
            <v>44000</v>
          </cell>
          <cell r="I455">
            <v>6488600</v>
          </cell>
          <cell r="J455">
            <v>21.260416666666668</v>
          </cell>
        </row>
        <row r="456">
          <cell r="C456">
            <v>51441</v>
          </cell>
          <cell r="D456">
            <v>0</v>
          </cell>
          <cell r="E456">
            <v>0</v>
          </cell>
          <cell r="F456">
            <v>6654253.5514082089</v>
          </cell>
          <cell r="G456">
            <v>458010</v>
          </cell>
          <cell r="H456">
            <v>44000</v>
          </cell>
          <cell r="I456">
            <v>6152200</v>
          </cell>
          <cell r="J456">
            <v>19.5</v>
          </cell>
        </row>
        <row r="457">
          <cell r="C457">
            <v>51613</v>
          </cell>
          <cell r="D457">
            <v>0</v>
          </cell>
          <cell r="E457">
            <v>0</v>
          </cell>
          <cell r="F457">
            <v>7627360.3270287365</v>
          </cell>
          <cell r="G457">
            <v>458010</v>
          </cell>
          <cell r="H457">
            <v>44000</v>
          </cell>
          <cell r="I457">
            <v>7125400</v>
          </cell>
          <cell r="J457">
            <v>21.760416666666668</v>
          </cell>
        </row>
        <row r="458">
          <cell r="C458">
            <v>51753</v>
          </cell>
          <cell r="D458">
            <v>0</v>
          </cell>
          <cell r="E458">
            <v>-372229.16666666663</v>
          </cell>
          <cell r="F458">
            <v>4945191.8139260309</v>
          </cell>
          <cell r="G458">
            <v>0</v>
          </cell>
          <cell r="H458">
            <v>44000</v>
          </cell>
          <cell r="I458">
            <v>4901200</v>
          </cell>
          <cell r="J458">
            <v>10.947916666666666</v>
          </cell>
        </row>
        <row r="459">
          <cell r="C459">
            <v>51784</v>
          </cell>
          <cell r="D459">
            <v>0</v>
          </cell>
          <cell r="E459">
            <v>0</v>
          </cell>
          <cell r="F459">
            <v>6683523.2871873742</v>
          </cell>
          <cell r="G459">
            <v>458010</v>
          </cell>
          <cell r="H459">
            <v>44000</v>
          </cell>
          <cell r="I459">
            <v>6181500</v>
          </cell>
          <cell r="J459">
            <v>22.5</v>
          </cell>
        </row>
        <row r="460">
          <cell r="C460">
            <v>52027</v>
          </cell>
          <cell r="D460">
            <v>0</v>
          </cell>
          <cell r="E460">
            <v>0</v>
          </cell>
          <cell r="F460">
            <v>4736875.9049732387</v>
          </cell>
          <cell r="G460"/>
          <cell r="H460">
            <v>0</v>
          </cell>
          <cell r="I460">
            <v>4736900</v>
          </cell>
          <cell r="J460">
            <v>19.5</v>
          </cell>
        </row>
        <row r="461">
          <cell r="C461">
            <v>10081</v>
          </cell>
          <cell r="D461"/>
          <cell r="E461">
            <v>0</v>
          </cell>
          <cell r="F461">
            <v>5825748.6067516319</v>
          </cell>
          <cell r="G461"/>
          <cell r="H461">
            <v>0</v>
          </cell>
          <cell r="I461">
            <v>5825700</v>
          </cell>
          <cell r="J461">
            <v>22.5</v>
          </cell>
        </row>
        <row r="462">
          <cell r="C462">
            <v>50364</v>
          </cell>
          <cell r="D462"/>
          <cell r="E462">
            <v>0</v>
          </cell>
          <cell r="F462">
            <v>6628161.9849334974</v>
          </cell>
          <cell r="G462">
            <v>458010</v>
          </cell>
          <cell r="H462">
            <v>44000</v>
          </cell>
          <cell r="I462">
            <v>6126200</v>
          </cell>
          <cell r="J462">
            <v>22.5</v>
          </cell>
        </row>
        <row r="463">
          <cell r="C463">
            <v>50427</v>
          </cell>
          <cell r="D463">
            <v>109288.66439782793</v>
          </cell>
          <cell r="E463">
            <v>0</v>
          </cell>
          <cell r="F463">
            <v>6538950.4317560187</v>
          </cell>
          <cell r="G463">
            <v>458010</v>
          </cell>
          <cell r="H463">
            <v>44000</v>
          </cell>
          <cell r="I463">
            <v>6036900</v>
          </cell>
          <cell r="J463">
            <v>22.5</v>
          </cell>
        </row>
        <row r="464">
          <cell r="C464">
            <v>50522</v>
          </cell>
          <cell r="D464">
            <v>0</v>
          </cell>
          <cell r="E464">
            <v>0</v>
          </cell>
          <cell r="F464">
            <v>6954133.6681781886</v>
          </cell>
          <cell r="G464">
            <v>458010</v>
          </cell>
          <cell r="H464">
            <v>44000</v>
          </cell>
          <cell r="I464">
            <v>6452100</v>
          </cell>
          <cell r="J464">
            <v>22.5</v>
          </cell>
        </row>
        <row r="465">
          <cell r="C465">
            <v>50757</v>
          </cell>
          <cell r="D465">
            <v>0</v>
          </cell>
          <cell r="E465">
            <v>0</v>
          </cell>
          <cell r="F465">
            <v>6287769.2805765988</v>
          </cell>
          <cell r="G465">
            <v>458010</v>
          </cell>
          <cell r="H465">
            <v>44000</v>
          </cell>
          <cell r="I465">
            <v>5785800</v>
          </cell>
          <cell r="J465">
            <v>20.5</v>
          </cell>
        </row>
        <row r="466">
          <cell r="C466">
            <v>50777</v>
          </cell>
          <cell r="D466">
            <v>225220.3343235323</v>
          </cell>
          <cell r="E466">
            <v>0</v>
          </cell>
          <cell r="F466">
            <v>5771450.2618303141</v>
          </cell>
          <cell r="G466">
            <v>458010</v>
          </cell>
          <cell r="H466">
            <v>44000</v>
          </cell>
          <cell r="I466">
            <v>5269400</v>
          </cell>
          <cell r="J466">
            <v>21.441666666666666</v>
          </cell>
        </row>
        <row r="467">
          <cell r="C467">
            <v>50786</v>
          </cell>
          <cell r="D467">
            <v>0</v>
          </cell>
          <cell r="E467">
            <v>0</v>
          </cell>
          <cell r="F467">
            <v>7170986.9205604028</v>
          </cell>
          <cell r="G467">
            <v>458010</v>
          </cell>
          <cell r="H467">
            <v>44000</v>
          </cell>
          <cell r="I467">
            <v>6669000</v>
          </cell>
          <cell r="J467">
            <v>21.5</v>
          </cell>
        </row>
        <row r="468">
          <cell r="C468">
            <v>51338</v>
          </cell>
          <cell r="D468">
            <v>205958.09608409111</v>
          </cell>
          <cell r="E468">
            <v>-595000</v>
          </cell>
          <cell r="F468">
            <v>4008839.4135312932</v>
          </cell>
          <cell r="G468">
            <v>458010</v>
          </cell>
          <cell r="H468">
            <v>44000</v>
          </cell>
          <cell r="I468">
            <v>3506800</v>
          </cell>
          <cell r="J468">
            <v>17.5</v>
          </cell>
        </row>
        <row r="469">
          <cell r="C469">
            <v>51340</v>
          </cell>
          <cell r="D469">
            <v>123096.88954697479</v>
          </cell>
          <cell r="E469">
            <v>0</v>
          </cell>
          <cell r="F469">
            <v>6536676.3412222564</v>
          </cell>
          <cell r="G469">
            <v>458010</v>
          </cell>
          <cell r="H469">
            <v>44000</v>
          </cell>
          <cell r="I469">
            <v>6034700</v>
          </cell>
          <cell r="J469">
            <v>22.5</v>
          </cell>
        </row>
        <row r="470">
          <cell r="C470">
            <v>51373</v>
          </cell>
          <cell r="D470">
            <v>0</v>
          </cell>
          <cell r="E470">
            <v>0</v>
          </cell>
          <cell r="F470">
            <v>7838034.8031588653</v>
          </cell>
          <cell r="G470">
            <v>458010</v>
          </cell>
          <cell r="H470">
            <v>44000</v>
          </cell>
          <cell r="I470">
            <v>7336000</v>
          </cell>
          <cell r="J470">
            <v>22.5</v>
          </cell>
        </row>
        <row r="471">
          <cell r="C471">
            <v>51374</v>
          </cell>
          <cell r="D471">
            <v>0</v>
          </cell>
          <cell r="E471">
            <v>0</v>
          </cell>
          <cell r="F471">
            <v>6985877.9819073603</v>
          </cell>
          <cell r="G471">
            <v>458010</v>
          </cell>
          <cell r="H471">
            <v>44000</v>
          </cell>
          <cell r="I471">
            <v>6483900</v>
          </cell>
          <cell r="J471">
            <v>22.5</v>
          </cell>
        </row>
        <row r="472">
          <cell r="C472">
            <v>51414</v>
          </cell>
          <cell r="D472">
            <v>0</v>
          </cell>
          <cell r="E472">
            <v>0</v>
          </cell>
          <cell r="F472">
            <v>6507417.6968800882</v>
          </cell>
          <cell r="G472">
            <v>458010</v>
          </cell>
          <cell r="H472">
            <v>44000</v>
          </cell>
          <cell r="I472">
            <v>6005400</v>
          </cell>
          <cell r="J472">
            <v>21.5</v>
          </cell>
        </row>
        <row r="473">
          <cell r="C473">
            <v>51423</v>
          </cell>
          <cell r="E473">
            <v>-193481.25</v>
          </cell>
          <cell r="F473">
            <v>7234081.829138861</v>
          </cell>
          <cell r="G473">
            <v>458010</v>
          </cell>
          <cell r="H473">
            <v>44000</v>
          </cell>
          <cell r="I473">
            <v>6732100</v>
          </cell>
          <cell r="J473">
            <v>18.96875</v>
          </cell>
        </row>
        <row r="474">
          <cell r="C474">
            <v>51426</v>
          </cell>
          <cell r="D474">
            <v>0</v>
          </cell>
          <cell r="E474">
            <v>0</v>
          </cell>
          <cell r="F474">
            <v>7595738.2007439435</v>
          </cell>
          <cell r="G474">
            <v>458010</v>
          </cell>
          <cell r="H474">
            <v>44000</v>
          </cell>
          <cell r="I474">
            <v>7093700</v>
          </cell>
          <cell r="J474">
            <v>22.5</v>
          </cell>
        </row>
        <row r="475">
          <cell r="C475">
            <v>51438</v>
          </cell>
          <cell r="D475">
            <v>283292.30094175867</v>
          </cell>
          <cell r="E475">
            <v>0</v>
          </cell>
          <cell r="F475">
            <v>5530808.3529043952</v>
          </cell>
          <cell r="G475">
            <v>458010</v>
          </cell>
          <cell r="H475">
            <v>44000</v>
          </cell>
          <cell r="I475">
            <v>5028800</v>
          </cell>
          <cell r="J475">
            <v>20.5</v>
          </cell>
        </row>
        <row r="476">
          <cell r="C476">
            <v>51467</v>
          </cell>
          <cell r="D476">
            <v>0</v>
          </cell>
          <cell r="E476">
            <v>0</v>
          </cell>
          <cell r="F476">
            <v>8283756.8338604039</v>
          </cell>
          <cell r="G476">
            <v>458010</v>
          </cell>
          <cell r="H476">
            <v>44000</v>
          </cell>
          <cell r="I476">
            <v>7781700</v>
          </cell>
          <cell r="J476">
            <v>21.5</v>
          </cell>
        </row>
        <row r="477">
          <cell r="C477">
            <v>51493</v>
          </cell>
          <cell r="D477">
            <v>0</v>
          </cell>
          <cell r="E477">
            <v>0</v>
          </cell>
          <cell r="F477">
            <v>8203088.9120096406</v>
          </cell>
          <cell r="G477">
            <v>458010</v>
          </cell>
          <cell r="H477">
            <v>44000</v>
          </cell>
          <cell r="I477">
            <v>7701100</v>
          </cell>
          <cell r="J477">
            <v>22.5</v>
          </cell>
        </row>
        <row r="478">
          <cell r="C478">
            <v>51526</v>
          </cell>
          <cell r="D478">
            <v>0</v>
          </cell>
          <cell r="E478">
            <v>0</v>
          </cell>
          <cell r="F478">
            <v>6747233.8733074265</v>
          </cell>
          <cell r="G478">
            <v>458010</v>
          </cell>
          <cell r="H478">
            <v>44000</v>
          </cell>
          <cell r="I478">
            <v>6245200</v>
          </cell>
          <cell r="J478">
            <v>21.5</v>
          </cell>
        </row>
        <row r="479">
          <cell r="C479">
            <v>51662</v>
          </cell>
          <cell r="D479">
            <v>264663.78882041771</v>
          </cell>
          <cell r="E479">
            <v>0</v>
          </cell>
          <cell r="F479">
            <v>6318040.4515641974</v>
          </cell>
          <cell r="G479">
            <v>458010</v>
          </cell>
          <cell r="H479">
            <v>44000</v>
          </cell>
          <cell r="I479">
            <v>5816000</v>
          </cell>
          <cell r="J479">
            <v>22.5</v>
          </cell>
        </row>
        <row r="480">
          <cell r="C480">
            <v>51694</v>
          </cell>
          <cell r="D480">
            <v>186785.47146736423</v>
          </cell>
          <cell r="E480">
            <v>0</v>
          </cell>
          <cell r="F480">
            <v>6312490.9900710974</v>
          </cell>
          <cell r="G480">
            <v>458010</v>
          </cell>
          <cell r="H480">
            <v>44000</v>
          </cell>
          <cell r="I480">
            <v>5810500</v>
          </cell>
          <cell r="J480">
            <v>22</v>
          </cell>
        </row>
        <row r="481">
          <cell r="C481">
            <v>50101</v>
          </cell>
          <cell r="E481">
            <v>0</v>
          </cell>
          <cell r="F481">
            <v>6947688.1395988613</v>
          </cell>
          <cell r="G481">
            <v>458010</v>
          </cell>
          <cell r="H481">
            <v>44000</v>
          </cell>
          <cell r="I481">
            <v>6445700</v>
          </cell>
          <cell r="J481">
            <v>23</v>
          </cell>
        </row>
        <row r="482">
          <cell r="C482">
            <v>50289</v>
          </cell>
          <cell r="D482">
            <v>0</v>
          </cell>
          <cell r="E482">
            <v>0</v>
          </cell>
          <cell r="F482">
            <v>7341472.6701431079</v>
          </cell>
          <cell r="G482">
            <v>458010</v>
          </cell>
          <cell r="H482">
            <v>44000</v>
          </cell>
          <cell r="I482">
            <v>6839500</v>
          </cell>
          <cell r="J482">
            <v>23.4375</v>
          </cell>
        </row>
        <row r="483">
          <cell r="C483">
            <v>50404</v>
          </cell>
          <cell r="D483">
            <v>184506.61646896834</v>
          </cell>
          <cell r="E483">
            <v>0</v>
          </cell>
          <cell r="F483">
            <v>6095686.8162233382</v>
          </cell>
          <cell r="G483">
            <v>458010</v>
          </cell>
          <cell r="H483">
            <v>44000</v>
          </cell>
          <cell r="I483">
            <v>5593700</v>
          </cell>
          <cell r="J483">
            <v>22.402083333333334</v>
          </cell>
        </row>
        <row r="484">
          <cell r="C484">
            <v>50528</v>
          </cell>
          <cell r="D484">
            <v>0</v>
          </cell>
          <cell r="E484">
            <v>0</v>
          </cell>
          <cell r="F484">
            <v>6892412.4905063938</v>
          </cell>
          <cell r="G484">
            <v>458010</v>
          </cell>
          <cell r="H484">
            <v>44000</v>
          </cell>
          <cell r="I484">
            <v>6390400</v>
          </cell>
          <cell r="J484">
            <v>23</v>
          </cell>
        </row>
        <row r="485">
          <cell r="C485">
            <v>50703</v>
          </cell>
          <cell r="D485">
            <v>0</v>
          </cell>
          <cell r="E485">
            <v>0</v>
          </cell>
          <cell r="F485">
            <v>6560165.4923848361</v>
          </cell>
          <cell r="G485">
            <v>458010</v>
          </cell>
          <cell r="H485">
            <v>44000</v>
          </cell>
          <cell r="I485">
            <v>6058200</v>
          </cell>
          <cell r="J485">
            <v>22.5</v>
          </cell>
        </row>
        <row r="486">
          <cell r="C486">
            <v>50882</v>
          </cell>
          <cell r="D486">
            <v>0</v>
          </cell>
          <cell r="E486">
            <v>0</v>
          </cell>
          <cell r="F486">
            <v>6614638.3156938627</v>
          </cell>
          <cell r="G486">
            <v>458010</v>
          </cell>
          <cell r="H486">
            <v>44000</v>
          </cell>
          <cell r="I486">
            <v>6112600</v>
          </cell>
          <cell r="J486">
            <v>23.5</v>
          </cell>
        </row>
        <row r="487">
          <cell r="C487">
            <v>51051</v>
          </cell>
          <cell r="E487">
            <v>0</v>
          </cell>
          <cell r="F487">
            <v>6949351.7394766062</v>
          </cell>
          <cell r="G487">
            <v>458010</v>
          </cell>
          <cell r="H487">
            <v>44000</v>
          </cell>
          <cell r="I487">
            <v>6447300</v>
          </cell>
          <cell r="J487">
            <v>22.5</v>
          </cell>
        </row>
        <row r="488">
          <cell r="C488">
            <v>51141</v>
          </cell>
          <cell r="D488">
            <v>0</v>
          </cell>
          <cell r="E488">
            <v>0</v>
          </cell>
          <cell r="F488">
            <v>7787595.2891097032</v>
          </cell>
          <cell r="G488">
            <v>458010</v>
          </cell>
          <cell r="H488">
            <v>44000</v>
          </cell>
          <cell r="I488">
            <v>7285600</v>
          </cell>
          <cell r="J488">
            <v>23.25</v>
          </cell>
        </row>
        <row r="489">
          <cell r="C489">
            <v>51239</v>
          </cell>
          <cell r="D489">
            <v>0</v>
          </cell>
          <cell r="E489">
            <v>0</v>
          </cell>
          <cell r="F489">
            <v>7539420.5072730128</v>
          </cell>
          <cell r="G489">
            <v>458010</v>
          </cell>
          <cell r="H489">
            <v>44000</v>
          </cell>
          <cell r="I489">
            <v>7037400</v>
          </cell>
          <cell r="J489">
            <v>23</v>
          </cell>
        </row>
        <row r="490">
          <cell r="C490">
            <v>51280</v>
          </cell>
          <cell r="D490">
            <v>186316.2098040178</v>
          </cell>
          <cell r="E490">
            <v>0</v>
          </cell>
          <cell r="F490">
            <v>6877758.8177618813</v>
          </cell>
          <cell r="G490">
            <v>458010</v>
          </cell>
          <cell r="H490">
            <v>44000</v>
          </cell>
          <cell r="I490">
            <v>6375700</v>
          </cell>
          <cell r="J490">
            <v>22.5</v>
          </cell>
        </row>
        <row r="491">
          <cell r="C491">
            <v>51288</v>
          </cell>
          <cell r="D491">
            <v>0</v>
          </cell>
          <cell r="E491">
            <v>0</v>
          </cell>
          <cell r="F491">
            <v>7697618.1265047016</v>
          </cell>
          <cell r="G491">
            <v>458010</v>
          </cell>
          <cell r="H491">
            <v>44000</v>
          </cell>
          <cell r="I491">
            <v>7195600</v>
          </cell>
          <cell r="J491">
            <v>23.5</v>
          </cell>
        </row>
        <row r="492">
          <cell r="C492">
            <v>51302</v>
          </cell>
          <cell r="D492">
            <v>0</v>
          </cell>
          <cell r="E492">
            <v>0</v>
          </cell>
          <cell r="F492">
            <v>7142336.8142336663</v>
          </cell>
          <cell r="G492">
            <v>458010</v>
          </cell>
          <cell r="H492">
            <v>44000</v>
          </cell>
          <cell r="I492">
            <v>6640300</v>
          </cell>
          <cell r="J492">
            <v>22.75</v>
          </cell>
        </row>
        <row r="493">
          <cell r="C493">
            <v>51317</v>
          </cell>
          <cell r="E493">
            <v>0</v>
          </cell>
          <cell r="F493">
            <v>7413614.5070319641</v>
          </cell>
          <cell r="G493">
            <v>458010</v>
          </cell>
          <cell r="H493">
            <v>44000</v>
          </cell>
          <cell r="I493">
            <v>6911600</v>
          </cell>
          <cell r="J493">
            <v>22.5</v>
          </cell>
        </row>
        <row r="494">
          <cell r="C494">
            <v>51336</v>
          </cell>
          <cell r="D494">
            <v>0</v>
          </cell>
          <cell r="E494">
            <v>0</v>
          </cell>
          <cell r="F494">
            <v>6378650.7208337467</v>
          </cell>
          <cell r="G494">
            <v>458010</v>
          </cell>
          <cell r="H494">
            <v>44000</v>
          </cell>
          <cell r="I494">
            <v>5876600</v>
          </cell>
          <cell r="J494">
            <v>20</v>
          </cell>
        </row>
        <row r="495">
          <cell r="C495">
            <v>50062</v>
          </cell>
          <cell r="D495">
            <v>0</v>
          </cell>
          <cell r="E495">
            <v>0</v>
          </cell>
          <cell r="F495">
            <v>6566924.2101071812</v>
          </cell>
          <cell r="G495">
            <v>458010</v>
          </cell>
          <cell r="H495">
            <v>44000</v>
          </cell>
          <cell r="I495">
            <v>6064900</v>
          </cell>
          <cell r="J495">
            <v>22.427083333333332</v>
          </cell>
        </row>
        <row r="496">
          <cell r="C496">
            <v>50136</v>
          </cell>
          <cell r="E496">
            <v>0</v>
          </cell>
          <cell r="F496">
            <v>7253303.9269306185</v>
          </cell>
          <cell r="G496">
            <v>458010</v>
          </cell>
          <cell r="H496">
            <v>44000</v>
          </cell>
          <cell r="I496">
            <v>6751300</v>
          </cell>
          <cell r="J496">
            <v>23.4</v>
          </cell>
        </row>
        <row r="497">
          <cell r="C497">
            <v>50252</v>
          </cell>
          <cell r="D497">
            <v>0</v>
          </cell>
          <cell r="E497">
            <v>0</v>
          </cell>
          <cell r="F497">
            <v>7960866.7229751125</v>
          </cell>
          <cell r="G497">
            <v>458010</v>
          </cell>
          <cell r="H497">
            <v>44000</v>
          </cell>
          <cell r="I497">
            <v>7458900</v>
          </cell>
          <cell r="J497">
            <v>22</v>
          </cell>
        </row>
        <row r="498">
          <cell r="C498">
            <v>50263</v>
          </cell>
          <cell r="E498">
            <v>0</v>
          </cell>
          <cell r="F498">
            <v>7124923.9440838853</v>
          </cell>
          <cell r="G498">
            <v>458010</v>
          </cell>
          <cell r="H498">
            <v>44000</v>
          </cell>
          <cell r="I498">
            <v>6622900</v>
          </cell>
          <cell r="J498">
            <v>22.5</v>
          </cell>
        </row>
        <row r="499">
          <cell r="C499">
            <v>50265</v>
          </cell>
          <cell r="D499">
            <v>0</v>
          </cell>
          <cell r="E499">
            <v>0</v>
          </cell>
          <cell r="F499">
            <v>6959053.0151526816</v>
          </cell>
          <cell r="G499">
            <v>458010</v>
          </cell>
          <cell r="H499">
            <v>44000</v>
          </cell>
          <cell r="I499">
            <v>6457000</v>
          </cell>
          <cell r="J499">
            <v>22</v>
          </cell>
        </row>
        <row r="500">
          <cell r="C500">
            <v>50290</v>
          </cell>
          <cell r="D500">
            <v>0</v>
          </cell>
          <cell r="E500">
            <v>0</v>
          </cell>
          <cell r="F500">
            <v>6504171.1840101155</v>
          </cell>
          <cell r="G500">
            <v>458010</v>
          </cell>
          <cell r="H500">
            <v>44000</v>
          </cell>
          <cell r="I500">
            <v>6002200</v>
          </cell>
          <cell r="J500">
            <v>21.4375</v>
          </cell>
        </row>
        <row r="501">
          <cell r="C501">
            <v>50292</v>
          </cell>
          <cell r="D501">
            <v>0</v>
          </cell>
          <cell r="E501">
            <v>0</v>
          </cell>
          <cell r="F501">
            <v>7123741.1917963931</v>
          </cell>
          <cell r="G501">
            <v>458010</v>
          </cell>
          <cell r="H501">
            <v>44000</v>
          </cell>
          <cell r="I501">
            <v>6621700</v>
          </cell>
          <cell r="J501">
            <v>22.4375</v>
          </cell>
        </row>
        <row r="502">
          <cell r="C502">
            <v>50313</v>
          </cell>
          <cell r="D502">
            <v>0</v>
          </cell>
          <cell r="E502">
            <v>0</v>
          </cell>
          <cell r="F502">
            <v>7011017.5923557626</v>
          </cell>
          <cell r="G502">
            <v>458010</v>
          </cell>
          <cell r="H502">
            <v>44000</v>
          </cell>
          <cell r="I502">
            <v>6509000</v>
          </cell>
          <cell r="J502">
            <v>22.5</v>
          </cell>
        </row>
        <row r="503">
          <cell r="C503">
            <v>50454</v>
          </cell>
          <cell r="E503">
            <v>0</v>
          </cell>
          <cell r="F503">
            <v>6430359.2099840064</v>
          </cell>
          <cell r="G503">
            <v>458010</v>
          </cell>
          <cell r="H503">
            <v>44000</v>
          </cell>
          <cell r="I503">
            <v>5928300</v>
          </cell>
          <cell r="J503">
            <v>22.302083333333332</v>
          </cell>
        </row>
        <row r="504">
          <cell r="C504">
            <v>50948</v>
          </cell>
          <cell r="E504">
            <v>0</v>
          </cell>
          <cell r="F504">
            <v>8993027.1683928668</v>
          </cell>
          <cell r="G504">
            <v>458010</v>
          </cell>
          <cell r="H504">
            <v>44000</v>
          </cell>
          <cell r="I504">
            <v>8491000</v>
          </cell>
          <cell r="J504">
            <v>22.5</v>
          </cell>
        </row>
        <row r="505">
          <cell r="C505">
            <v>51040</v>
          </cell>
          <cell r="E505">
            <v>0</v>
          </cell>
          <cell r="F505">
            <v>6985208.0248857997</v>
          </cell>
          <cell r="G505">
            <v>458010</v>
          </cell>
          <cell r="H505">
            <v>44000</v>
          </cell>
          <cell r="I505">
            <v>6483200</v>
          </cell>
          <cell r="J505">
            <v>22.5</v>
          </cell>
        </row>
        <row r="506">
          <cell r="C506">
            <v>51237</v>
          </cell>
          <cell r="D506">
            <v>0</v>
          </cell>
          <cell r="E506">
            <v>0</v>
          </cell>
          <cell r="F506">
            <v>6259025.6091341935</v>
          </cell>
          <cell r="G506">
            <v>458010</v>
          </cell>
          <cell r="H506">
            <v>44000</v>
          </cell>
          <cell r="I506">
            <v>5757000</v>
          </cell>
          <cell r="J506">
            <v>21.5</v>
          </cell>
        </row>
        <row r="507">
          <cell r="C507">
            <v>51238</v>
          </cell>
          <cell r="E507">
            <v>0</v>
          </cell>
          <cell r="F507">
            <v>6487947.7469788576</v>
          </cell>
          <cell r="G507">
            <v>458010</v>
          </cell>
          <cell r="H507">
            <v>44000</v>
          </cell>
          <cell r="I507">
            <v>5985900</v>
          </cell>
          <cell r="J507">
            <v>23</v>
          </cell>
        </row>
        <row r="508">
          <cell r="C508">
            <v>51547</v>
          </cell>
          <cell r="E508">
            <v>0</v>
          </cell>
          <cell r="F508">
            <v>6189392.808978389</v>
          </cell>
          <cell r="G508">
            <v>458010</v>
          </cell>
          <cell r="H508">
            <v>44000</v>
          </cell>
          <cell r="I508">
            <v>5687400</v>
          </cell>
          <cell r="J508">
            <v>21.5</v>
          </cell>
        </row>
        <row r="509">
          <cell r="C509">
            <v>51555</v>
          </cell>
          <cell r="E509">
            <v>0</v>
          </cell>
          <cell r="F509">
            <v>6270798.0780281825</v>
          </cell>
          <cell r="G509">
            <v>458010</v>
          </cell>
          <cell r="H509">
            <v>44000</v>
          </cell>
          <cell r="I509">
            <v>5768800</v>
          </cell>
          <cell r="J509">
            <v>22.447916666666668</v>
          </cell>
        </row>
        <row r="510">
          <cell r="C510">
            <v>51603</v>
          </cell>
          <cell r="D510">
            <v>0</v>
          </cell>
          <cell r="E510">
            <v>0</v>
          </cell>
          <cell r="F510">
            <v>6538843.9765076544</v>
          </cell>
          <cell r="G510">
            <v>458010</v>
          </cell>
          <cell r="H510">
            <v>44000</v>
          </cell>
          <cell r="I510">
            <v>6036800</v>
          </cell>
          <cell r="J510">
            <v>22</v>
          </cell>
        </row>
        <row r="511">
          <cell r="C511">
            <v>51777</v>
          </cell>
          <cell r="D511">
            <v>143226.80352730036</v>
          </cell>
          <cell r="E511">
            <v>0</v>
          </cell>
          <cell r="F511">
            <v>6329653.3983957767</v>
          </cell>
          <cell r="G511">
            <v>458010</v>
          </cell>
          <cell r="H511">
            <v>44000</v>
          </cell>
          <cell r="I511">
            <v>5827600</v>
          </cell>
          <cell r="J511">
            <v>22.5</v>
          </cell>
        </row>
        <row r="512">
          <cell r="C512">
            <v>50284</v>
          </cell>
          <cell r="D512">
            <v>0</v>
          </cell>
          <cell r="E512">
            <v>0</v>
          </cell>
          <cell r="F512">
            <v>7261992.4920464503</v>
          </cell>
          <cell r="G512">
            <v>458010</v>
          </cell>
          <cell r="H512">
            <v>44000</v>
          </cell>
          <cell r="I512">
            <v>6760000</v>
          </cell>
          <cell r="J512">
            <v>23.339583333333334</v>
          </cell>
        </row>
        <row r="513">
          <cell r="C513">
            <v>50832</v>
          </cell>
          <cell r="D513">
            <v>0</v>
          </cell>
          <cell r="E513">
            <v>0</v>
          </cell>
          <cell r="F513">
            <v>6395386.7670661882</v>
          </cell>
          <cell r="G513">
            <v>458010</v>
          </cell>
          <cell r="H513">
            <v>44000</v>
          </cell>
          <cell r="I513">
            <v>5893400</v>
          </cell>
          <cell r="J513">
            <v>21.5</v>
          </cell>
        </row>
        <row r="514">
          <cell r="C514">
            <v>51066</v>
          </cell>
          <cell r="D514">
            <v>0</v>
          </cell>
          <cell r="E514">
            <v>-314854.16666666663</v>
          </cell>
          <cell r="F514">
            <v>2849138.1241369289</v>
          </cell>
          <cell r="G514">
            <v>0</v>
          </cell>
          <cell r="I514">
            <v>2849100</v>
          </cell>
          <cell r="J514">
            <v>9.2604166666666661</v>
          </cell>
        </row>
        <row r="515">
          <cell r="C515">
            <v>51068</v>
          </cell>
          <cell r="D515">
            <v>162071.10322253115</v>
          </cell>
          <cell r="E515">
            <v>0</v>
          </cell>
          <cell r="F515">
            <v>6105119.4352390077</v>
          </cell>
          <cell r="G515">
            <v>458010</v>
          </cell>
          <cell r="H515">
            <v>44000</v>
          </cell>
          <cell r="I515">
            <v>5603100</v>
          </cell>
          <cell r="J515">
            <v>22.5</v>
          </cell>
        </row>
        <row r="516">
          <cell r="C516">
            <v>51125</v>
          </cell>
          <cell r="D516">
            <v>0</v>
          </cell>
          <cell r="E516">
            <v>0</v>
          </cell>
          <cell r="F516">
            <v>6534601.4509148039</v>
          </cell>
          <cell r="G516">
            <v>458010</v>
          </cell>
          <cell r="H516">
            <v>44000</v>
          </cell>
          <cell r="I516">
            <v>6032600</v>
          </cell>
          <cell r="J516">
            <v>22.5</v>
          </cell>
        </row>
        <row r="517">
          <cell r="C517">
            <v>51156</v>
          </cell>
          <cell r="E517">
            <v>0</v>
          </cell>
          <cell r="F517">
            <v>6175347.7826022683</v>
          </cell>
          <cell r="G517">
            <v>458010</v>
          </cell>
          <cell r="H517">
            <v>44000</v>
          </cell>
          <cell r="I517">
            <v>5673300</v>
          </cell>
          <cell r="J517">
            <v>22.5</v>
          </cell>
        </row>
        <row r="518">
          <cell r="C518">
            <v>51354</v>
          </cell>
          <cell r="D518">
            <v>103885.152211776</v>
          </cell>
          <cell r="E518">
            <v>0</v>
          </cell>
          <cell r="F518">
            <v>5273457.386249762</v>
          </cell>
          <cell r="G518">
            <v>458010</v>
          </cell>
          <cell r="H518">
            <v>44000</v>
          </cell>
          <cell r="I518">
            <v>4771400</v>
          </cell>
          <cell r="J518">
            <v>17.731249999999999</v>
          </cell>
        </row>
        <row r="519">
          <cell r="C519">
            <v>51473</v>
          </cell>
          <cell r="D519">
            <v>0</v>
          </cell>
          <cell r="E519">
            <v>0</v>
          </cell>
          <cell r="F519">
            <v>8292881.4420941388</v>
          </cell>
          <cell r="G519">
            <v>458010</v>
          </cell>
          <cell r="H519">
            <v>44000</v>
          </cell>
          <cell r="I519">
            <v>7790900</v>
          </cell>
          <cell r="J519">
            <v>21.8125</v>
          </cell>
        </row>
        <row r="520">
          <cell r="C520">
            <v>51522</v>
          </cell>
          <cell r="D520">
            <v>0</v>
          </cell>
          <cell r="E520">
            <v>-85000</v>
          </cell>
          <cell r="F520">
            <v>1109447.2302493204</v>
          </cell>
          <cell r="G520">
            <v>0</v>
          </cell>
          <cell r="I520">
            <v>1109400</v>
          </cell>
          <cell r="J520">
            <v>2.5</v>
          </cell>
        </row>
        <row r="521">
          <cell r="C521">
            <v>51780</v>
          </cell>
          <cell r="D521">
            <v>0</v>
          </cell>
          <cell r="E521">
            <v>0</v>
          </cell>
          <cell r="F521">
            <v>6338503.5502142757</v>
          </cell>
          <cell r="G521">
            <v>458010</v>
          </cell>
          <cell r="H521">
            <v>44000</v>
          </cell>
          <cell r="I521">
            <v>5836500</v>
          </cell>
          <cell r="J521">
            <v>22.28125</v>
          </cell>
        </row>
        <row r="522">
          <cell r="C522">
            <v>51902</v>
          </cell>
          <cell r="D522">
            <v>0</v>
          </cell>
          <cell r="E522">
            <v>-191377.5</v>
          </cell>
          <cell r="F522">
            <v>6522172.8053089213</v>
          </cell>
          <cell r="G522">
            <v>458010</v>
          </cell>
          <cell r="H522">
            <v>44000</v>
          </cell>
          <cell r="I522">
            <v>6020200</v>
          </cell>
          <cell r="J522">
            <v>18.762499999999999</v>
          </cell>
        </row>
        <row r="523">
          <cell r="C523">
            <v>52053</v>
          </cell>
          <cell r="D523">
            <v>0</v>
          </cell>
          <cell r="E523">
            <v>0</v>
          </cell>
          <cell r="F523">
            <v>6478345.0707934257</v>
          </cell>
          <cell r="H523">
            <v>0</v>
          </cell>
          <cell r="I523">
            <v>6478300</v>
          </cell>
          <cell r="J523">
            <v>22.827083333333334</v>
          </cell>
        </row>
        <row r="524">
          <cell r="C524">
            <v>50024</v>
          </cell>
          <cell r="F524">
            <v>11622746.943640545</v>
          </cell>
          <cell r="G524">
            <v>530985</v>
          </cell>
          <cell r="H524">
            <v>44000</v>
          </cell>
          <cell r="I524">
            <v>11047800</v>
          </cell>
          <cell r="J524">
            <v>23.5</v>
          </cell>
        </row>
        <row r="525">
          <cell r="C525">
            <v>50581</v>
          </cell>
          <cell r="F525">
            <v>10215096.898935108</v>
          </cell>
          <cell r="G525">
            <v>506625</v>
          </cell>
          <cell r="H525">
            <v>44000</v>
          </cell>
          <cell r="I525">
            <v>9664500</v>
          </cell>
          <cell r="J525">
            <v>23.5</v>
          </cell>
        </row>
        <row r="526">
          <cell r="C526">
            <v>50877</v>
          </cell>
          <cell r="F526">
            <v>11847695.037403811</v>
          </cell>
          <cell r="G526">
            <v>530985</v>
          </cell>
          <cell r="H526">
            <v>44000</v>
          </cell>
          <cell r="I526">
            <v>11272700</v>
          </cell>
          <cell r="J526">
            <v>23.5</v>
          </cell>
        </row>
        <row r="527">
          <cell r="C527">
            <v>50894</v>
          </cell>
          <cell r="F527">
            <v>10191470.846943974</v>
          </cell>
          <cell r="G527">
            <v>458010</v>
          </cell>
          <cell r="H527">
            <v>44000</v>
          </cell>
          <cell r="I527">
            <v>9689500</v>
          </cell>
          <cell r="J527">
            <v>23.15625</v>
          </cell>
        </row>
        <row r="528">
          <cell r="C528">
            <v>50918</v>
          </cell>
          <cell r="F528">
            <v>9681297.5949242469</v>
          </cell>
          <cell r="G528">
            <v>458010</v>
          </cell>
          <cell r="H528">
            <v>44000</v>
          </cell>
          <cell r="I528">
            <v>9179300</v>
          </cell>
          <cell r="J528">
            <v>23.5</v>
          </cell>
        </row>
        <row r="529">
          <cell r="C529">
            <v>51130</v>
          </cell>
          <cell r="F529">
            <v>11820558.125090139</v>
          </cell>
          <cell r="G529">
            <v>506625</v>
          </cell>
          <cell r="H529">
            <v>44000</v>
          </cell>
          <cell r="I529">
            <v>11269900</v>
          </cell>
          <cell r="J529">
            <v>23</v>
          </cell>
        </row>
        <row r="530">
          <cell r="C530">
            <v>51652</v>
          </cell>
          <cell r="F530">
            <v>11665313.197661983</v>
          </cell>
          <cell r="G530">
            <v>506625</v>
          </cell>
          <cell r="H530">
            <v>44000</v>
          </cell>
          <cell r="I530">
            <v>11114700</v>
          </cell>
          <cell r="J530">
            <v>23</v>
          </cell>
        </row>
        <row r="531">
          <cell r="C531">
            <v>51948</v>
          </cell>
          <cell r="F531">
            <v>10982290.564812863</v>
          </cell>
          <cell r="G531">
            <v>458010</v>
          </cell>
          <cell r="H531">
            <v>44000</v>
          </cell>
          <cell r="I531">
            <v>10480300</v>
          </cell>
          <cell r="J531">
            <v>22.3125</v>
          </cell>
        </row>
        <row r="532">
          <cell r="C532">
            <v>50928</v>
          </cell>
          <cell r="E532">
            <v>0</v>
          </cell>
          <cell r="F532">
            <v>7904931.7683523651</v>
          </cell>
          <cell r="G532">
            <v>458010</v>
          </cell>
          <cell r="H532">
            <v>44000</v>
          </cell>
          <cell r="I532">
            <v>7402900</v>
          </cell>
          <cell r="J532">
            <v>21.5</v>
          </cell>
        </row>
        <row r="533">
          <cell r="C533">
            <v>51394</v>
          </cell>
          <cell r="E533">
            <v>0</v>
          </cell>
          <cell r="F533">
            <v>8038769.5862593725</v>
          </cell>
          <cell r="G533">
            <v>458010</v>
          </cell>
          <cell r="H533">
            <v>44000</v>
          </cell>
          <cell r="I533">
            <v>7536800</v>
          </cell>
          <cell r="J533">
            <v>22.5</v>
          </cell>
        </row>
        <row r="534">
          <cell r="C534">
            <v>51905</v>
          </cell>
          <cell r="E534">
            <v>0</v>
          </cell>
          <cell r="F534">
            <v>7305275.5143874222</v>
          </cell>
          <cell r="G534">
            <v>458010</v>
          </cell>
          <cell r="H534">
            <v>44000</v>
          </cell>
          <cell r="I534">
            <v>6803300</v>
          </cell>
          <cell r="J534">
            <v>22.5</v>
          </cell>
        </row>
        <row r="535">
          <cell r="C535">
            <v>51869</v>
          </cell>
          <cell r="J535"/>
        </row>
        <row r="536">
          <cell r="C536">
            <v>51910</v>
          </cell>
          <cell r="E536">
            <v>0</v>
          </cell>
          <cell r="F536">
            <v>7253665.057692308</v>
          </cell>
          <cell r="G536">
            <v>458010</v>
          </cell>
          <cell r="H536">
            <v>44000</v>
          </cell>
          <cell r="I536">
            <v>6751700</v>
          </cell>
          <cell r="J536">
            <v>22.5</v>
          </cell>
        </row>
        <row r="537">
          <cell r="C537">
            <v>52044</v>
          </cell>
          <cell r="F537">
            <v>5563809.1280324515</v>
          </cell>
          <cell r="I537">
            <v>5563800</v>
          </cell>
          <cell r="J537">
            <v>21.395833333333332</v>
          </cell>
        </row>
        <row r="538">
          <cell r="D538">
            <v>0</v>
          </cell>
          <cell r="E538">
            <v>0</v>
          </cell>
          <cell r="F538">
            <v>45992999.999999993</v>
          </cell>
          <cell r="G538">
            <v>0</v>
          </cell>
          <cell r="H538">
            <v>0</v>
          </cell>
          <cell r="I538">
            <v>45993100</v>
          </cell>
          <cell r="J538">
            <v>218</v>
          </cell>
        </row>
        <row r="539">
          <cell r="J539"/>
        </row>
        <row r="540">
          <cell r="F540"/>
          <cell r="J540"/>
        </row>
        <row r="541">
          <cell r="F541"/>
          <cell r="J541"/>
        </row>
        <row r="542">
          <cell r="J542"/>
        </row>
        <row r="543">
          <cell r="C543"/>
          <cell r="D543"/>
          <cell r="E543"/>
          <cell r="G543"/>
          <cell r="H543"/>
          <cell r="I543"/>
          <cell r="J543"/>
        </row>
        <row r="544">
          <cell r="C544"/>
          <cell r="D544"/>
          <cell r="E544"/>
          <cell r="G544"/>
          <cell r="H544"/>
          <cell r="I544"/>
          <cell r="J544"/>
        </row>
        <row r="545">
          <cell r="C545"/>
          <cell r="D545"/>
          <cell r="E545"/>
          <cell r="G545"/>
          <cell r="H545"/>
          <cell r="I545"/>
          <cell r="J545"/>
        </row>
        <row r="546">
          <cell r="C546"/>
          <cell r="D546"/>
          <cell r="E546"/>
          <cell r="G546"/>
          <cell r="H546"/>
          <cell r="I546"/>
          <cell r="J546"/>
        </row>
        <row r="547">
          <cell r="C547"/>
          <cell r="D547"/>
          <cell r="E547"/>
          <cell r="F547"/>
          <cell r="G547"/>
          <cell r="H547"/>
          <cell r="I547"/>
          <cell r="J547"/>
        </row>
        <row r="548">
          <cell r="C548"/>
          <cell r="D548"/>
          <cell r="E548"/>
          <cell r="F548"/>
          <cell r="G548"/>
          <cell r="H548"/>
          <cell r="I548"/>
          <cell r="J548"/>
        </row>
        <row r="549">
          <cell r="C549"/>
          <cell r="D549"/>
          <cell r="E549"/>
          <cell r="F549"/>
          <cell r="G549"/>
          <cell r="H549"/>
          <cell r="I549"/>
          <cell r="J549"/>
        </row>
        <row r="550">
          <cell r="C550"/>
          <cell r="D550"/>
          <cell r="E550"/>
          <cell r="F550"/>
          <cell r="G550"/>
          <cell r="H550"/>
          <cell r="I550"/>
          <cell r="J550"/>
        </row>
        <row r="551">
          <cell r="C551"/>
          <cell r="D551"/>
          <cell r="E551"/>
          <cell r="F551"/>
          <cell r="G551"/>
          <cell r="H551"/>
          <cell r="I551"/>
          <cell r="J551"/>
        </row>
        <row r="552">
          <cell r="F552"/>
          <cell r="J552"/>
        </row>
        <row r="553">
          <cell r="J553"/>
        </row>
        <row r="554">
          <cell r="J554"/>
        </row>
        <row r="555">
          <cell r="J555"/>
        </row>
        <row r="556">
          <cell r="J556"/>
        </row>
        <row r="557">
          <cell r="F557"/>
          <cell r="G557"/>
          <cell r="J557"/>
        </row>
        <row r="558">
          <cell r="F558"/>
          <cell r="G558"/>
          <cell r="I558"/>
          <cell r="J558"/>
        </row>
        <row r="559">
          <cell r="F559"/>
          <cell r="J559"/>
        </row>
        <row r="560">
          <cell r="F560"/>
          <cell r="G560"/>
          <cell r="J560"/>
        </row>
        <row r="561">
          <cell r="F561"/>
          <cell r="G561"/>
          <cell r="J561"/>
        </row>
        <row r="562">
          <cell r="J562"/>
        </row>
        <row r="563">
          <cell r="F563"/>
          <cell r="G563"/>
          <cell r="J563"/>
        </row>
        <row r="564">
          <cell r="J564"/>
        </row>
        <row r="565">
          <cell r="J565"/>
        </row>
        <row r="566">
          <cell r="J566"/>
        </row>
        <row r="567">
          <cell r="F567"/>
          <cell r="G567"/>
          <cell r="J567"/>
        </row>
        <row r="568">
          <cell r="J568"/>
        </row>
        <row r="569">
          <cell r="F569"/>
          <cell r="G569"/>
          <cell r="J569"/>
        </row>
        <row r="570">
          <cell r="J570"/>
        </row>
        <row r="571">
          <cell r="J571"/>
        </row>
        <row r="572">
          <cell r="J572"/>
        </row>
        <row r="573">
          <cell r="I573"/>
          <cell r="J573"/>
        </row>
        <row r="574">
          <cell r="F574"/>
          <cell r="J574"/>
        </row>
        <row r="575">
          <cell r="F575"/>
          <cell r="G575"/>
          <cell r="H575"/>
          <cell r="J575"/>
        </row>
        <row r="576">
          <cell r="J576"/>
        </row>
        <row r="577">
          <cell r="F577"/>
          <cell r="G577"/>
          <cell r="H577"/>
          <cell r="J577"/>
        </row>
        <row r="578">
          <cell r="F578"/>
          <cell r="G578"/>
          <cell r="H578"/>
          <cell r="I578"/>
          <cell r="J578"/>
        </row>
        <row r="579">
          <cell r="J579"/>
        </row>
        <row r="580">
          <cell r="J580"/>
        </row>
        <row r="581">
          <cell r="F581"/>
          <cell r="G581"/>
          <cell r="J581"/>
        </row>
        <row r="582">
          <cell r="J582"/>
        </row>
        <row r="584">
          <cell r="J584"/>
        </row>
        <row r="585">
          <cell r="F585"/>
          <cell r="J585"/>
        </row>
        <row r="586">
          <cell r="J586"/>
        </row>
        <row r="587">
          <cell r="J587"/>
        </row>
        <row r="588">
          <cell r="F588"/>
          <cell r="G588"/>
          <cell r="J588"/>
        </row>
        <row r="589">
          <cell r="F589"/>
          <cell r="G589"/>
          <cell r="H589"/>
          <cell r="J589"/>
        </row>
        <row r="590">
          <cell r="F590"/>
          <cell r="G590"/>
          <cell r="H590"/>
          <cell r="I590"/>
          <cell r="J590"/>
        </row>
        <row r="591">
          <cell r="J591"/>
        </row>
        <row r="592">
          <cell r="F592"/>
          <cell r="J592"/>
        </row>
        <row r="593">
          <cell r="J593"/>
        </row>
        <row r="594">
          <cell r="F594"/>
          <cell r="J594"/>
        </row>
        <row r="595">
          <cell r="F595"/>
          <cell r="J595"/>
        </row>
        <row r="596">
          <cell r="F596"/>
          <cell r="J596"/>
        </row>
        <row r="597">
          <cell r="F597"/>
          <cell r="G597"/>
          <cell r="J597"/>
        </row>
        <row r="598">
          <cell r="F598"/>
          <cell r="G598"/>
          <cell r="J598"/>
        </row>
        <row r="599">
          <cell r="J599"/>
        </row>
        <row r="600">
          <cell r="F600"/>
          <cell r="G600"/>
          <cell r="J600"/>
        </row>
        <row r="601">
          <cell r="F601"/>
          <cell r="G601"/>
          <cell r="J601"/>
        </row>
        <row r="602">
          <cell r="F602"/>
          <cell r="J602"/>
        </row>
        <row r="603">
          <cell r="J603"/>
        </row>
        <row r="604">
          <cell r="J604"/>
        </row>
        <row r="605">
          <cell r="F605"/>
          <cell r="G605"/>
          <cell r="H605"/>
          <cell r="J605"/>
        </row>
        <row r="606">
          <cell r="F606"/>
          <cell r="G606"/>
          <cell r="H606"/>
          <cell r="J606"/>
        </row>
        <row r="607">
          <cell r="F607"/>
          <cell r="G607"/>
          <cell r="J607"/>
        </row>
        <row r="608">
          <cell r="F608"/>
          <cell r="G608"/>
          <cell r="J608"/>
        </row>
        <row r="609">
          <cell r="F609"/>
          <cell r="G609"/>
          <cell r="H609"/>
          <cell r="I609"/>
          <cell r="J609"/>
        </row>
        <row r="610">
          <cell r="F610"/>
          <cell r="G610"/>
          <cell r="H610"/>
          <cell r="I610"/>
          <cell r="J610"/>
        </row>
        <row r="611">
          <cell r="F611"/>
          <cell r="G611"/>
          <cell r="H611"/>
          <cell r="J611"/>
        </row>
        <row r="612">
          <cell r="F612"/>
          <cell r="G612"/>
          <cell r="H612"/>
          <cell r="J612"/>
        </row>
        <row r="613">
          <cell r="F613"/>
          <cell r="G613"/>
          <cell r="J613"/>
        </row>
        <row r="614">
          <cell r="F614"/>
          <cell r="G614"/>
          <cell r="J614"/>
        </row>
        <row r="615">
          <cell r="F615"/>
          <cell r="G615"/>
          <cell r="J615"/>
        </row>
        <row r="616">
          <cell r="F616"/>
          <cell r="G616"/>
          <cell r="H616"/>
          <cell r="I616"/>
          <cell r="J616"/>
        </row>
        <row r="617">
          <cell r="F617"/>
          <cell r="G617"/>
          <cell r="H617"/>
          <cell r="J617"/>
        </row>
        <row r="618">
          <cell r="F618"/>
          <cell r="J618"/>
        </row>
        <row r="619">
          <cell r="J619"/>
        </row>
        <row r="620">
          <cell r="F620"/>
          <cell r="G620"/>
          <cell r="J620"/>
        </row>
        <row r="621">
          <cell r="J621"/>
        </row>
        <row r="622">
          <cell r="J622"/>
        </row>
        <row r="623">
          <cell r="J623"/>
        </row>
        <row r="624">
          <cell r="J624"/>
        </row>
        <row r="625">
          <cell r="F625"/>
          <cell r="G625"/>
          <cell r="J625"/>
        </row>
        <row r="626">
          <cell r="J626"/>
        </row>
        <row r="627">
          <cell r="F627"/>
          <cell r="G627"/>
          <cell r="J627"/>
        </row>
        <row r="628">
          <cell r="J628"/>
        </row>
        <row r="629">
          <cell r="J629"/>
        </row>
        <row r="630">
          <cell r="F630"/>
          <cell r="G630"/>
          <cell r="J630"/>
        </row>
        <row r="631">
          <cell r="F631"/>
          <cell r="G631"/>
          <cell r="H631"/>
          <cell r="J631"/>
        </row>
        <row r="632">
          <cell r="F632"/>
          <cell r="G632"/>
          <cell r="J632"/>
        </row>
        <row r="633">
          <cell r="J633"/>
        </row>
        <row r="634">
          <cell r="J634"/>
        </row>
        <row r="635">
          <cell r="F635"/>
          <cell r="G635"/>
          <cell r="H635"/>
          <cell r="J635"/>
        </row>
        <row r="636">
          <cell r="F636"/>
          <cell r="G636"/>
          <cell r="J636"/>
        </row>
        <row r="637">
          <cell r="F637"/>
          <cell r="G637"/>
          <cell r="H637"/>
          <cell r="J637"/>
        </row>
        <row r="638">
          <cell r="F638"/>
          <cell r="G638"/>
          <cell r="J638"/>
        </row>
        <row r="639">
          <cell r="F639"/>
          <cell r="G639"/>
          <cell r="J639"/>
        </row>
        <row r="640">
          <cell r="F640"/>
          <cell r="G640"/>
          <cell r="H640"/>
          <cell r="I640"/>
          <cell r="J640"/>
        </row>
        <row r="641">
          <cell r="F641"/>
          <cell r="G641"/>
          <cell r="H641"/>
          <cell r="I641"/>
          <cell r="J641"/>
        </row>
        <row r="642">
          <cell r="F642"/>
          <cell r="G642"/>
          <cell r="H642"/>
          <cell r="J642"/>
        </row>
        <row r="643">
          <cell r="F643"/>
          <cell r="G643"/>
          <cell r="H643"/>
          <cell r="I643"/>
          <cell r="J643"/>
        </row>
        <row r="644">
          <cell r="F644"/>
          <cell r="G644"/>
          <cell r="J644"/>
        </row>
        <row r="645">
          <cell r="F645"/>
          <cell r="G645"/>
          <cell r="J645"/>
        </row>
        <row r="646">
          <cell r="F646"/>
          <cell r="G646"/>
          <cell r="H646"/>
          <cell r="J646"/>
        </row>
        <row r="647">
          <cell r="F647"/>
          <cell r="G647"/>
          <cell r="J647"/>
        </row>
        <row r="648">
          <cell r="F648"/>
          <cell r="G648"/>
          <cell r="J648"/>
        </row>
        <row r="649">
          <cell r="F649"/>
          <cell r="G649"/>
          <cell r="J649"/>
        </row>
        <row r="650">
          <cell r="F650"/>
          <cell r="G650"/>
          <cell r="H650"/>
          <cell r="J650"/>
        </row>
        <row r="651">
          <cell r="J651"/>
        </row>
        <row r="652">
          <cell r="J652"/>
        </row>
        <row r="653">
          <cell r="F653"/>
          <cell r="J653"/>
        </row>
        <row r="654">
          <cell r="J654"/>
        </row>
        <row r="655">
          <cell r="J655"/>
        </row>
        <row r="656">
          <cell r="F656"/>
          <cell r="G656"/>
          <cell r="J656"/>
        </row>
        <row r="657">
          <cell r="J657"/>
        </row>
        <row r="658">
          <cell r="J658"/>
        </row>
        <row r="659">
          <cell r="J659"/>
        </row>
        <row r="660">
          <cell r="F660"/>
          <cell r="J660"/>
        </row>
        <row r="661">
          <cell r="J661"/>
        </row>
        <row r="662">
          <cell r="F662"/>
          <cell r="G662"/>
          <cell r="J662"/>
        </row>
        <row r="663">
          <cell r="J663"/>
        </row>
        <row r="664">
          <cell r="F664"/>
          <cell r="J664"/>
        </row>
        <row r="665">
          <cell r="F665"/>
          <cell r="J665"/>
        </row>
        <row r="666">
          <cell r="F666"/>
          <cell r="G666"/>
          <cell r="J666"/>
        </row>
        <row r="667">
          <cell r="J667"/>
        </row>
        <row r="668">
          <cell r="J668"/>
        </row>
        <row r="669">
          <cell r="J669"/>
        </row>
        <row r="670">
          <cell r="J670"/>
        </row>
        <row r="671">
          <cell r="F671"/>
          <cell r="G671"/>
          <cell r="H671"/>
          <cell r="J671"/>
        </row>
        <row r="672">
          <cell r="J672"/>
        </row>
        <row r="673">
          <cell r="J673"/>
        </row>
        <row r="674">
          <cell r="J674"/>
        </row>
        <row r="675">
          <cell r="J675"/>
        </row>
        <row r="676">
          <cell r="J676"/>
        </row>
        <row r="677">
          <cell r="J677"/>
        </row>
        <row r="678">
          <cell r="J678"/>
        </row>
        <row r="679">
          <cell r="J679"/>
        </row>
        <row r="680">
          <cell r="J680"/>
        </row>
        <row r="681">
          <cell r="F681"/>
          <cell r="J681"/>
        </row>
        <row r="682">
          <cell r="F682"/>
          <cell r="J682"/>
        </row>
        <row r="683">
          <cell r="J683"/>
        </row>
        <row r="684">
          <cell r="J684"/>
        </row>
        <row r="685">
          <cell r="F685"/>
          <cell r="J685"/>
        </row>
        <row r="686">
          <cell r="J686"/>
        </row>
        <row r="687">
          <cell r="F687"/>
          <cell r="G687"/>
          <cell r="J687"/>
        </row>
        <row r="688">
          <cell r="F688"/>
          <cell r="J688"/>
        </row>
        <row r="689">
          <cell r="F689"/>
          <cell r="J689"/>
        </row>
        <row r="690">
          <cell r="I690"/>
          <cell r="J690"/>
        </row>
        <row r="691">
          <cell r="J691"/>
        </row>
        <row r="692">
          <cell r="J692"/>
        </row>
        <row r="693">
          <cell r="F693"/>
          <cell r="G693"/>
          <cell r="J693"/>
        </row>
        <row r="694">
          <cell r="J694"/>
        </row>
        <row r="695">
          <cell r="J695"/>
        </row>
        <row r="696">
          <cell r="J696"/>
        </row>
        <row r="697">
          <cell r="J697"/>
        </row>
        <row r="698">
          <cell r="J698"/>
        </row>
        <row r="699">
          <cell r="J699"/>
        </row>
        <row r="700">
          <cell r="J700"/>
        </row>
        <row r="701">
          <cell r="J701"/>
        </row>
        <row r="702">
          <cell r="J702"/>
        </row>
        <row r="703">
          <cell r="J703"/>
        </row>
        <row r="704">
          <cell r="J704"/>
        </row>
        <row r="705">
          <cell r="J705"/>
        </row>
        <row r="706">
          <cell r="F706"/>
          <cell r="G706"/>
          <cell r="J706"/>
        </row>
        <row r="707">
          <cell r="F707"/>
          <cell r="G707"/>
          <cell r="I707"/>
          <cell r="J707"/>
        </row>
        <row r="708">
          <cell r="F708"/>
          <cell r="G708"/>
          <cell r="J708"/>
        </row>
        <row r="709">
          <cell r="F709"/>
          <cell r="J709"/>
        </row>
        <row r="710">
          <cell r="J710"/>
        </row>
        <row r="711">
          <cell r="J711"/>
        </row>
        <row r="712">
          <cell r="J712"/>
        </row>
        <row r="713">
          <cell r="J713"/>
        </row>
        <row r="714">
          <cell r="F714"/>
          <cell r="G714"/>
          <cell r="J714"/>
        </row>
        <row r="715">
          <cell r="F715"/>
          <cell r="G715"/>
          <cell r="H715"/>
          <cell r="J715"/>
        </row>
        <row r="716">
          <cell r="J716"/>
        </row>
        <row r="717">
          <cell r="J717"/>
        </row>
        <row r="718">
          <cell r="F718"/>
          <cell r="G718"/>
          <cell r="H718"/>
          <cell r="J718"/>
        </row>
        <row r="719">
          <cell r="F719"/>
          <cell r="G719"/>
          <cell r="J719"/>
        </row>
        <row r="720">
          <cell r="J720"/>
        </row>
        <row r="721">
          <cell r="J721"/>
        </row>
        <row r="722">
          <cell r="J722"/>
        </row>
        <row r="723">
          <cell r="J723"/>
        </row>
        <row r="724">
          <cell r="F724"/>
          <cell r="G724"/>
          <cell r="J724"/>
        </row>
        <row r="725">
          <cell r="J725"/>
        </row>
        <row r="726">
          <cell r="J726"/>
        </row>
        <row r="727">
          <cell r="J727"/>
        </row>
        <row r="728">
          <cell r="F728"/>
          <cell r="J728"/>
        </row>
        <row r="729">
          <cell r="F729"/>
          <cell r="J729"/>
        </row>
        <row r="730">
          <cell r="F730"/>
          <cell r="G730"/>
          <cell r="J730"/>
        </row>
        <row r="731">
          <cell r="J731"/>
        </row>
        <row r="732">
          <cell r="F732"/>
          <cell r="J732"/>
        </row>
        <row r="733">
          <cell r="J733"/>
        </row>
        <row r="734">
          <cell r="J734"/>
        </row>
        <row r="735">
          <cell r="F735"/>
          <cell r="G735"/>
          <cell r="J735"/>
        </row>
        <row r="736">
          <cell r="J736"/>
        </row>
        <row r="737">
          <cell r="J737"/>
        </row>
        <row r="738">
          <cell r="J738"/>
        </row>
        <row r="739">
          <cell r="F739"/>
          <cell r="J739"/>
        </row>
        <row r="740">
          <cell r="F740"/>
          <cell r="J740"/>
        </row>
        <row r="741">
          <cell r="F741"/>
          <cell r="J741"/>
        </row>
        <row r="742">
          <cell r="F742"/>
          <cell r="J742"/>
        </row>
        <row r="743">
          <cell r="F743"/>
          <cell r="J743"/>
        </row>
        <row r="744">
          <cell r="F744"/>
          <cell r="G744"/>
          <cell r="J744"/>
        </row>
        <row r="745">
          <cell r="F745"/>
          <cell r="J745"/>
        </row>
        <row r="746">
          <cell r="J746"/>
        </row>
        <row r="747">
          <cell r="D747"/>
          <cell r="E747"/>
          <cell r="F747"/>
          <cell r="G747"/>
          <cell r="H747"/>
          <cell r="J747"/>
        </row>
        <row r="748">
          <cell r="J748"/>
        </row>
        <row r="749">
          <cell r="F749"/>
          <cell r="J749"/>
        </row>
        <row r="750">
          <cell r="F750"/>
          <cell r="J750"/>
        </row>
        <row r="751">
          <cell r="F751"/>
          <cell r="G751"/>
          <cell r="J751"/>
        </row>
        <row r="752">
          <cell r="F752"/>
          <cell r="G752"/>
          <cell r="J752"/>
        </row>
        <row r="753">
          <cell r="D753"/>
          <cell r="E753"/>
          <cell r="J753"/>
        </row>
        <row r="754">
          <cell r="D754"/>
          <cell r="E754"/>
          <cell r="J754"/>
        </row>
        <row r="755">
          <cell r="D755"/>
          <cell r="E755"/>
          <cell r="J755"/>
        </row>
        <row r="756">
          <cell r="D756"/>
          <cell r="E756"/>
          <cell r="J756"/>
        </row>
        <row r="757">
          <cell r="J757"/>
        </row>
        <row r="758">
          <cell r="J758"/>
        </row>
        <row r="759">
          <cell r="J759"/>
        </row>
        <row r="760">
          <cell r="J760"/>
        </row>
        <row r="761">
          <cell r="J761"/>
        </row>
        <row r="762">
          <cell r="J762"/>
        </row>
        <row r="763">
          <cell r="J763"/>
        </row>
        <row r="764">
          <cell r="J764"/>
        </row>
        <row r="765">
          <cell r="J765"/>
        </row>
        <row r="766">
          <cell r="J766"/>
        </row>
        <row r="767">
          <cell r="J767"/>
        </row>
        <row r="768">
          <cell r="J768"/>
        </row>
        <row r="769">
          <cell r="J769"/>
        </row>
        <row r="770">
          <cell r="F770"/>
          <cell r="G770"/>
          <cell r="H770"/>
          <cell r="J770"/>
        </row>
        <row r="771">
          <cell r="J771"/>
        </row>
        <row r="772">
          <cell r="J772"/>
        </row>
        <row r="773">
          <cell r="J773"/>
        </row>
        <row r="774">
          <cell r="F774"/>
          <cell r="J774"/>
        </row>
        <row r="775">
          <cell r="J775"/>
        </row>
        <row r="776">
          <cell r="J776"/>
        </row>
        <row r="777">
          <cell r="J777"/>
        </row>
        <row r="778">
          <cell r="J778"/>
        </row>
        <row r="779">
          <cell r="J779"/>
        </row>
        <row r="780">
          <cell r="F780"/>
          <cell r="G780"/>
          <cell r="J780"/>
        </row>
        <row r="781">
          <cell r="F781"/>
          <cell r="J781"/>
        </row>
        <row r="782">
          <cell r="F782"/>
          <cell r="J782"/>
        </row>
        <row r="783">
          <cell r="F783"/>
          <cell r="J783"/>
        </row>
        <row r="784">
          <cell r="J784"/>
        </row>
        <row r="785">
          <cell r="F785"/>
          <cell r="J785"/>
        </row>
        <row r="786">
          <cell r="J786"/>
        </row>
        <row r="787">
          <cell r="F787"/>
          <cell r="G787"/>
          <cell r="H787"/>
          <cell r="J787"/>
        </row>
        <row r="788">
          <cell r="F788"/>
          <cell r="G788"/>
          <cell r="H788"/>
          <cell r="J788"/>
        </row>
        <row r="789">
          <cell r="F789"/>
          <cell r="G789"/>
          <cell r="H789"/>
          <cell r="I789"/>
          <cell r="J789"/>
        </row>
        <row r="790">
          <cell r="F790"/>
          <cell r="G790"/>
          <cell r="J790"/>
        </row>
        <row r="791">
          <cell r="F791"/>
          <cell r="G791"/>
          <cell r="H791"/>
          <cell r="I791"/>
          <cell r="J791"/>
        </row>
        <row r="792">
          <cell r="F792"/>
          <cell r="G792"/>
          <cell r="J792"/>
        </row>
        <row r="793">
          <cell r="F793"/>
          <cell r="G793"/>
          <cell r="J793"/>
        </row>
        <row r="794">
          <cell r="F794"/>
          <cell r="G794"/>
          <cell r="H794"/>
          <cell r="I794"/>
          <cell r="J794"/>
        </row>
        <row r="795">
          <cell r="F795"/>
          <cell r="G795"/>
          <cell r="H795"/>
          <cell r="J795"/>
        </row>
        <row r="796">
          <cell r="F796"/>
          <cell r="G796"/>
          <cell r="H796"/>
          <cell r="J796"/>
        </row>
        <row r="797">
          <cell r="F797"/>
          <cell r="G797"/>
          <cell r="H797"/>
          <cell r="I797"/>
          <cell r="J797"/>
        </row>
        <row r="798">
          <cell r="F798"/>
          <cell r="G798"/>
          <cell r="J798"/>
        </row>
        <row r="799">
          <cell r="F799"/>
          <cell r="G799"/>
          <cell r="J799"/>
        </row>
        <row r="800">
          <cell r="F800"/>
          <cell r="G800"/>
          <cell r="J800"/>
        </row>
        <row r="801">
          <cell r="F801"/>
          <cell r="G801"/>
          <cell r="J801"/>
        </row>
        <row r="802">
          <cell r="F802"/>
          <cell r="G802"/>
          <cell r="H802"/>
          <cell r="J802"/>
        </row>
        <row r="803">
          <cell r="F803"/>
          <cell r="G803"/>
          <cell r="J803"/>
        </row>
        <row r="804">
          <cell r="F804"/>
          <cell r="G804"/>
          <cell r="J804"/>
        </row>
        <row r="805">
          <cell r="F805"/>
          <cell r="G805"/>
          <cell r="H805"/>
          <cell r="J805"/>
        </row>
        <row r="806">
          <cell r="F806"/>
          <cell r="G806"/>
          <cell r="H806"/>
          <cell r="J806"/>
        </row>
        <row r="807">
          <cell r="F807"/>
          <cell r="G807"/>
          <cell r="H807"/>
          <cell r="I807"/>
          <cell r="J807"/>
        </row>
        <row r="808">
          <cell r="F808"/>
          <cell r="G808"/>
          <cell r="J808"/>
        </row>
        <row r="809">
          <cell r="F809"/>
          <cell r="G809"/>
          <cell r="J809"/>
        </row>
        <row r="810">
          <cell r="F810"/>
          <cell r="G810"/>
          <cell r="J810"/>
        </row>
        <row r="811">
          <cell r="F811"/>
          <cell r="G811"/>
          <cell r="H811"/>
          <cell r="I811"/>
          <cell r="J811"/>
        </row>
        <row r="812">
          <cell r="F812"/>
          <cell r="G812"/>
          <cell r="H812"/>
          <cell r="I812"/>
          <cell r="J812"/>
        </row>
        <row r="813">
          <cell r="F813"/>
          <cell r="G813"/>
          <cell r="J813"/>
        </row>
        <row r="814">
          <cell r="F814"/>
          <cell r="G814"/>
          <cell r="H814"/>
          <cell r="J814"/>
        </row>
        <row r="815">
          <cell r="F815"/>
          <cell r="G815"/>
          <cell r="J815"/>
        </row>
        <row r="816">
          <cell r="F816"/>
          <cell r="G816"/>
          <cell r="J816"/>
        </row>
        <row r="817">
          <cell r="F817"/>
          <cell r="G817"/>
          <cell r="J817"/>
        </row>
        <row r="818">
          <cell r="F818"/>
          <cell r="G818"/>
          <cell r="H818"/>
          <cell r="I818"/>
          <cell r="J818"/>
        </row>
        <row r="819">
          <cell r="F819"/>
          <cell r="G819"/>
          <cell r="J819"/>
        </row>
        <row r="820">
          <cell r="F820"/>
          <cell r="G820"/>
          <cell r="H820"/>
          <cell r="J820"/>
        </row>
        <row r="821">
          <cell r="F821"/>
          <cell r="G821"/>
          <cell r="J821"/>
        </row>
        <row r="822">
          <cell r="F822"/>
          <cell r="G822"/>
          <cell r="J822"/>
        </row>
        <row r="823">
          <cell r="F823"/>
          <cell r="G823"/>
          <cell r="J823"/>
        </row>
        <row r="824">
          <cell r="F824"/>
          <cell r="G824"/>
          <cell r="J824"/>
        </row>
        <row r="825">
          <cell r="F825"/>
          <cell r="G825"/>
          <cell r="J825"/>
        </row>
        <row r="826">
          <cell r="J826"/>
        </row>
        <row r="827">
          <cell r="J827"/>
        </row>
        <row r="828">
          <cell r="J828"/>
        </row>
        <row r="829">
          <cell r="J829"/>
        </row>
        <row r="830">
          <cell r="F830"/>
          <cell r="J830"/>
        </row>
        <row r="831">
          <cell r="F831"/>
          <cell r="J831"/>
        </row>
        <row r="832">
          <cell r="F832"/>
          <cell r="G832"/>
          <cell r="J832"/>
        </row>
        <row r="833">
          <cell r="J833"/>
        </row>
        <row r="834">
          <cell r="J834"/>
        </row>
        <row r="835">
          <cell r="J835"/>
        </row>
        <row r="836">
          <cell r="J836"/>
        </row>
        <row r="837">
          <cell r="F837"/>
          <cell r="G837"/>
          <cell r="J837"/>
        </row>
        <row r="838">
          <cell r="J838"/>
        </row>
        <row r="839">
          <cell r="J839"/>
        </row>
        <row r="840">
          <cell r="J840"/>
        </row>
        <row r="841">
          <cell r="J841"/>
        </row>
        <row r="842">
          <cell r="J842"/>
        </row>
        <row r="843">
          <cell r="F843"/>
          <cell r="G843"/>
          <cell r="J843"/>
        </row>
        <row r="844">
          <cell r="F844"/>
          <cell r="G844"/>
          <cell r="I844"/>
          <cell r="J844"/>
        </row>
        <row r="845">
          <cell r="F845"/>
          <cell r="J845"/>
        </row>
        <row r="846">
          <cell r="F846"/>
          <cell r="G846"/>
          <cell r="J846"/>
        </row>
        <row r="847">
          <cell r="F847"/>
          <cell r="J847"/>
        </row>
        <row r="848">
          <cell r="I848"/>
          <cell r="J848"/>
        </row>
        <row r="849">
          <cell r="J849"/>
        </row>
        <row r="850">
          <cell r="J850"/>
        </row>
        <row r="851">
          <cell r="F851"/>
          <cell r="J851"/>
        </row>
        <row r="852">
          <cell r="F852"/>
          <cell r="J852"/>
        </row>
        <row r="854">
          <cell r="J854"/>
        </row>
        <row r="855">
          <cell r="J855"/>
        </row>
        <row r="856">
          <cell r="J856"/>
        </row>
        <row r="857">
          <cell r="F857"/>
          <cell r="J857"/>
        </row>
        <row r="858">
          <cell r="F858"/>
          <cell r="G858"/>
          <cell r="J858"/>
        </row>
        <row r="859">
          <cell r="F859"/>
          <cell r="J859"/>
        </row>
        <row r="860">
          <cell r="J860"/>
        </row>
        <row r="861">
          <cell r="F861"/>
          <cell r="J861"/>
        </row>
        <row r="862">
          <cell r="J862"/>
        </row>
        <row r="863">
          <cell r="J863"/>
        </row>
        <row r="864">
          <cell r="J864"/>
        </row>
        <row r="865">
          <cell r="J865"/>
        </row>
        <row r="866">
          <cell r="F866"/>
          <cell r="G866"/>
          <cell r="J866"/>
        </row>
        <row r="867">
          <cell r="J867"/>
        </row>
        <row r="868">
          <cell r="J868"/>
        </row>
        <row r="869">
          <cell r="J869"/>
        </row>
        <row r="870">
          <cell r="F870"/>
          <cell r="J870"/>
        </row>
        <row r="871">
          <cell r="F871"/>
          <cell r="J871"/>
        </row>
        <row r="872">
          <cell r="J872"/>
        </row>
        <row r="873">
          <cell r="J873"/>
        </row>
        <row r="874">
          <cell r="J874"/>
        </row>
        <row r="875">
          <cell r="F875"/>
          <cell r="J875"/>
        </row>
        <row r="876">
          <cell r="F876"/>
          <cell r="J876"/>
        </row>
        <row r="877">
          <cell r="F877"/>
          <cell r="J877"/>
        </row>
        <row r="878">
          <cell r="J878"/>
        </row>
        <row r="879">
          <cell r="J879"/>
        </row>
        <row r="880">
          <cell r="J880"/>
        </row>
        <row r="881">
          <cell r="F881"/>
          <cell r="J881"/>
        </row>
        <row r="882">
          <cell r="J882"/>
        </row>
        <row r="883">
          <cell r="F883"/>
          <cell r="G883"/>
          <cell r="H883"/>
          <cell r="J883"/>
        </row>
        <row r="884">
          <cell r="F884"/>
          <cell r="J884"/>
        </row>
        <row r="885">
          <cell r="F885"/>
          <cell r="J885"/>
        </row>
        <row r="886">
          <cell r="F886"/>
          <cell r="J886"/>
        </row>
        <row r="887">
          <cell r="F887"/>
          <cell r="J887"/>
        </row>
        <row r="888">
          <cell r="F888"/>
          <cell r="J888"/>
        </row>
        <row r="889">
          <cell r="J889"/>
        </row>
        <row r="890">
          <cell r="F890"/>
          <cell r="G890"/>
          <cell r="J890"/>
        </row>
        <row r="891">
          <cell r="F891"/>
          <cell r="G891"/>
          <cell r="H891"/>
          <cell r="J891"/>
        </row>
        <row r="892">
          <cell r="F892"/>
          <cell r="J892"/>
        </row>
        <row r="893">
          <cell r="J893"/>
        </row>
        <row r="894">
          <cell r="F894"/>
          <cell r="J894"/>
        </row>
        <row r="895">
          <cell r="F895"/>
          <cell r="J895"/>
        </row>
        <row r="896">
          <cell r="J896"/>
        </row>
        <row r="897">
          <cell r="J897"/>
        </row>
        <row r="898">
          <cell r="F898"/>
          <cell r="G898"/>
          <cell r="J898"/>
        </row>
        <row r="899">
          <cell r="J899"/>
        </row>
        <row r="900">
          <cell r="J900"/>
        </row>
        <row r="901">
          <cell r="J901"/>
        </row>
        <row r="902">
          <cell r="F902"/>
          <cell r="G902"/>
          <cell r="J902"/>
        </row>
        <row r="903">
          <cell r="F903"/>
          <cell r="G903"/>
          <cell r="J903"/>
        </row>
        <row r="904">
          <cell r="J904"/>
        </row>
        <row r="905">
          <cell r="F905"/>
          <cell r="G905"/>
          <cell r="J905"/>
        </row>
        <row r="906">
          <cell r="J906"/>
        </row>
        <row r="907">
          <cell r="F907"/>
          <cell r="G907"/>
          <cell r="J907"/>
        </row>
        <row r="908">
          <cell r="J908"/>
        </row>
        <row r="909">
          <cell r="J909"/>
        </row>
        <row r="910">
          <cell r="F910"/>
          <cell r="J910"/>
        </row>
        <row r="911">
          <cell r="F911"/>
          <cell r="G911"/>
          <cell r="H911"/>
          <cell r="J911"/>
        </row>
        <row r="912">
          <cell r="F912"/>
          <cell r="G912"/>
          <cell r="J912"/>
        </row>
        <row r="913">
          <cell r="J913"/>
        </row>
        <row r="914">
          <cell r="J914"/>
        </row>
        <row r="915">
          <cell r="F915"/>
          <cell r="J915"/>
        </row>
        <row r="916">
          <cell r="J916"/>
        </row>
        <row r="917">
          <cell r="J917"/>
        </row>
        <row r="918">
          <cell r="J918"/>
        </row>
        <row r="919">
          <cell r="J919"/>
        </row>
        <row r="920">
          <cell r="J920"/>
        </row>
        <row r="921">
          <cell r="J921"/>
        </row>
        <row r="922">
          <cell r="F922"/>
          <cell r="J922"/>
        </row>
        <row r="923">
          <cell r="J923"/>
        </row>
        <row r="924">
          <cell r="J924"/>
        </row>
        <row r="925">
          <cell r="J925"/>
        </row>
        <row r="926">
          <cell r="F926"/>
          <cell r="J926"/>
        </row>
        <row r="927">
          <cell r="F927"/>
          <cell r="J927"/>
        </row>
        <row r="928">
          <cell r="F928"/>
          <cell r="J928"/>
        </row>
        <row r="929">
          <cell r="J929"/>
        </row>
        <row r="930">
          <cell r="D930"/>
          <cell r="E930"/>
          <cell r="F930"/>
          <cell r="G930"/>
          <cell r="H930"/>
          <cell r="J930"/>
        </row>
        <row r="931">
          <cell r="J931"/>
        </row>
        <row r="932">
          <cell r="J932"/>
        </row>
        <row r="933">
          <cell r="J933"/>
        </row>
        <row r="934">
          <cell r="J934"/>
        </row>
        <row r="935">
          <cell r="J935"/>
        </row>
        <row r="936">
          <cell r="F936"/>
          <cell r="G936"/>
          <cell r="J936"/>
        </row>
        <row r="937">
          <cell r="F937"/>
          <cell r="G937"/>
          <cell r="J937"/>
        </row>
        <row r="938">
          <cell r="F938"/>
          <cell r="J938"/>
        </row>
        <row r="939">
          <cell r="F939"/>
          <cell r="J939"/>
        </row>
        <row r="940">
          <cell r="F940"/>
          <cell r="J940"/>
        </row>
        <row r="941">
          <cell r="F941"/>
          <cell r="J941"/>
        </row>
        <row r="942">
          <cell r="F942"/>
          <cell r="J942"/>
        </row>
        <row r="943">
          <cell r="I943"/>
          <cell r="J943"/>
        </row>
        <row r="944">
          <cell r="J944"/>
        </row>
        <row r="945">
          <cell r="J945"/>
        </row>
        <row r="946">
          <cell r="D946"/>
          <cell r="E946"/>
          <cell r="F946"/>
          <cell r="G946"/>
          <cell r="H946"/>
          <cell r="J946"/>
        </row>
        <row r="947">
          <cell r="J947"/>
        </row>
        <row r="948">
          <cell r="J948"/>
        </row>
        <row r="949">
          <cell r="J949"/>
        </row>
        <row r="950">
          <cell r="F950"/>
          <cell r="G950"/>
          <cell r="J950"/>
        </row>
        <row r="951">
          <cell r="F951"/>
          <cell r="J951"/>
        </row>
        <row r="952">
          <cell r="J952"/>
        </row>
        <row r="953">
          <cell r="J953"/>
        </row>
        <row r="954">
          <cell r="J954"/>
        </row>
        <row r="955">
          <cell r="J955"/>
        </row>
        <row r="956">
          <cell r="J956"/>
        </row>
        <row r="957">
          <cell r="J957"/>
        </row>
        <row r="958">
          <cell r="J958"/>
        </row>
        <row r="959">
          <cell r="J959"/>
        </row>
        <row r="960">
          <cell r="J960"/>
        </row>
        <row r="961">
          <cell r="J961"/>
        </row>
        <row r="962">
          <cell r="J962"/>
        </row>
        <row r="963">
          <cell r="J963"/>
        </row>
        <row r="964">
          <cell r="J964"/>
        </row>
        <row r="965">
          <cell r="J965"/>
        </row>
        <row r="966">
          <cell r="J966"/>
        </row>
        <row r="967">
          <cell r="J967"/>
        </row>
        <row r="968">
          <cell r="J968"/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"/>
      <sheetName val="10000000"/>
      <sheetName val="He so"/>
      <sheetName val="Bang TH nop"/>
      <sheetName val="LUONG T7"/>
      <sheetName val="CĐ"/>
      <sheetName val="Phieu lương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33">
          <cell r="AO33">
            <v>26</v>
          </cell>
        </row>
        <row r="46">
          <cell r="B46">
            <v>0</v>
          </cell>
        </row>
      </sheetData>
      <sheetData sheetId="4" refreshError="1">
        <row r="10">
          <cell r="I10">
            <v>26</v>
          </cell>
          <cell r="J10">
            <v>0</v>
          </cell>
          <cell r="K10">
            <v>0</v>
          </cell>
          <cell r="M10">
            <v>0</v>
          </cell>
          <cell r="Q10">
            <v>69</v>
          </cell>
        </row>
        <row r="11">
          <cell r="I11">
            <v>4800000</v>
          </cell>
          <cell r="P11">
            <v>260000</v>
          </cell>
          <cell r="Q11">
            <v>2388461.5384615385</v>
          </cell>
        </row>
        <row r="12">
          <cell r="I12">
            <v>26</v>
          </cell>
          <cell r="J12">
            <v>0</v>
          </cell>
          <cell r="K12">
            <v>0</v>
          </cell>
          <cell r="M12">
            <v>0</v>
          </cell>
          <cell r="Q12">
            <v>67</v>
          </cell>
        </row>
        <row r="13">
          <cell r="I13">
            <v>4800000</v>
          </cell>
          <cell r="P13">
            <v>260000</v>
          </cell>
          <cell r="Q13">
            <v>2319230.7692307695</v>
          </cell>
        </row>
        <row r="14">
          <cell r="I14">
            <v>26</v>
          </cell>
          <cell r="J14">
            <v>0</v>
          </cell>
          <cell r="K14">
            <v>0</v>
          </cell>
          <cell r="M14">
            <v>0</v>
          </cell>
          <cell r="Q14">
            <v>68</v>
          </cell>
        </row>
        <row r="15">
          <cell r="I15">
            <v>4800000</v>
          </cell>
          <cell r="P15">
            <v>260000</v>
          </cell>
          <cell r="Q15">
            <v>2353846.153846154</v>
          </cell>
        </row>
        <row r="16">
          <cell r="I16">
            <v>11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Q16">
            <v>25</v>
          </cell>
        </row>
        <row r="17">
          <cell r="F17">
            <v>0</v>
          </cell>
          <cell r="I17">
            <v>1726153.8461538462</v>
          </cell>
          <cell r="P17">
            <v>110000</v>
          </cell>
          <cell r="Q17">
            <v>735576.92307692312</v>
          </cell>
        </row>
      </sheetData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7"/>
  <sheetViews>
    <sheetView showZeros="0" tabSelected="1" zoomScale="90" zoomScaleNormal="90" workbookViewId="0">
      <pane xSplit="3" ySplit="8" topLeftCell="K9" activePane="bottomRight" state="frozen"/>
      <selection pane="topRight"/>
      <selection pane="bottomLeft"/>
      <selection pane="bottomRight" activeCell="B8" sqref="B8"/>
    </sheetView>
  </sheetViews>
  <sheetFormatPr defaultRowHeight="15"/>
  <cols>
    <col min="1" max="1" width="4.140625" style="4" customWidth="1"/>
    <col min="2" max="2" width="24" style="5" customWidth="1"/>
    <col min="3" max="3" width="12.28515625" style="6" customWidth="1"/>
    <col min="4" max="4" width="12.85546875" style="50" bestFit="1" customWidth="1"/>
    <col min="5" max="5" width="12.28515625" style="50" bestFit="1" customWidth="1"/>
    <col min="6" max="6" width="12.85546875" style="50" bestFit="1" customWidth="1"/>
    <col min="7" max="7" width="10.140625" style="50" bestFit="1" customWidth="1"/>
    <col min="8" max="12" width="10.28515625" style="50" bestFit="1" customWidth="1"/>
    <col min="13" max="13" width="10.140625" style="50" bestFit="1" customWidth="1"/>
    <col min="14" max="14" width="14" style="50" bestFit="1" customWidth="1"/>
    <col min="15" max="15" width="13.140625" style="52" bestFit="1" customWidth="1"/>
    <col min="16" max="212" width="9.140625" style="4"/>
    <col min="213" max="213" width="4.140625" style="4" customWidth="1"/>
    <col min="214" max="214" width="24" style="4" customWidth="1"/>
    <col min="215" max="215" width="9" style="4" customWidth="1"/>
    <col min="216" max="216" width="11.42578125" style="4" customWidth="1"/>
    <col min="217" max="217" width="14.140625" style="4" customWidth="1"/>
    <col min="218" max="218" width="14" style="4" customWidth="1"/>
    <col min="219" max="219" width="13.85546875" style="4" customWidth="1"/>
    <col min="220" max="220" width="14.140625" style="4" customWidth="1"/>
    <col min="221" max="221" width="13.140625" style="4" bestFit="1" customWidth="1"/>
    <col min="222" max="249" width="0" style="4" hidden="1" customWidth="1"/>
    <col min="250" max="250" width="12.28515625" style="4" bestFit="1" customWidth="1"/>
    <col min="251" max="251" width="12.85546875" style="4" bestFit="1" customWidth="1"/>
    <col min="252" max="252" width="10.28515625" style="4" bestFit="1" customWidth="1"/>
    <col min="253" max="253" width="10.140625" style="4" bestFit="1" customWidth="1"/>
    <col min="254" max="258" width="10.28515625" style="4" bestFit="1" customWidth="1"/>
    <col min="259" max="259" width="10.28515625" style="4" customWidth="1"/>
    <col min="260" max="261" width="10.140625" style="4" bestFit="1" customWidth="1"/>
    <col min="262" max="266" width="10.28515625" style="4" bestFit="1" customWidth="1"/>
    <col min="267" max="267" width="14" style="4" bestFit="1" customWidth="1"/>
    <col min="268" max="268" width="10.42578125" style="4" bestFit="1" customWidth="1"/>
    <col min="269" max="468" width="9.140625" style="4"/>
    <col min="469" max="469" width="4.140625" style="4" customWidth="1"/>
    <col min="470" max="470" width="24" style="4" customWidth="1"/>
    <col min="471" max="471" width="9" style="4" customWidth="1"/>
    <col min="472" max="472" width="11.42578125" style="4" customWidth="1"/>
    <col min="473" max="473" width="14.140625" style="4" customWidth="1"/>
    <col min="474" max="474" width="14" style="4" customWidth="1"/>
    <col min="475" max="475" width="13.85546875" style="4" customWidth="1"/>
    <col min="476" max="476" width="14.140625" style="4" customWidth="1"/>
    <col min="477" max="477" width="13.140625" style="4" bestFit="1" customWidth="1"/>
    <col min="478" max="505" width="0" style="4" hidden="1" customWidth="1"/>
    <col min="506" max="506" width="12.28515625" style="4" bestFit="1" customWidth="1"/>
    <col min="507" max="507" width="12.85546875" style="4" bestFit="1" customWidth="1"/>
    <col min="508" max="508" width="10.28515625" style="4" bestFit="1" customWidth="1"/>
    <col min="509" max="509" width="10.140625" style="4" bestFit="1" customWidth="1"/>
    <col min="510" max="514" width="10.28515625" style="4" bestFit="1" customWidth="1"/>
    <col min="515" max="515" width="10.28515625" style="4" customWidth="1"/>
    <col min="516" max="517" width="10.140625" style="4" bestFit="1" customWidth="1"/>
    <col min="518" max="522" width="10.28515625" style="4" bestFit="1" customWidth="1"/>
    <col min="523" max="523" width="14" style="4" bestFit="1" customWidth="1"/>
    <col min="524" max="524" width="10.42578125" style="4" bestFit="1" customWidth="1"/>
    <col min="525" max="724" width="9.140625" style="4"/>
    <col min="725" max="725" width="4.140625" style="4" customWidth="1"/>
    <col min="726" max="726" width="24" style="4" customWidth="1"/>
    <col min="727" max="727" width="9" style="4" customWidth="1"/>
    <col min="728" max="728" width="11.42578125" style="4" customWidth="1"/>
    <col min="729" max="729" width="14.140625" style="4" customWidth="1"/>
    <col min="730" max="730" width="14" style="4" customWidth="1"/>
    <col min="731" max="731" width="13.85546875" style="4" customWidth="1"/>
    <col min="732" max="732" width="14.140625" style="4" customWidth="1"/>
    <col min="733" max="733" width="13.140625" style="4" bestFit="1" customWidth="1"/>
    <col min="734" max="761" width="0" style="4" hidden="1" customWidth="1"/>
    <col min="762" max="762" width="12.28515625" style="4" bestFit="1" customWidth="1"/>
    <col min="763" max="763" width="12.85546875" style="4" bestFit="1" customWidth="1"/>
    <col min="764" max="764" width="10.28515625" style="4" bestFit="1" customWidth="1"/>
    <col min="765" max="765" width="10.140625" style="4" bestFit="1" customWidth="1"/>
    <col min="766" max="770" width="10.28515625" style="4" bestFit="1" customWidth="1"/>
    <col min="771" max="771" width="10.28515625" style="4" customWidth="1"/>
    <col min="772" max="773" width="10.140625" style="4" bestFit="1" customWidth="1"/>
    <col min="774" max="778" width="10.28515625" style="4" bestFit="1" customWidth="1"/>
    <col min="779" max="779" width="14" style="4" bestFit="1" customWidth="1"/>
    <col min="780" max="780" width="10.42578125" style="4" bestFit="1" customWidth="1"/>
    <col min="781" max="980" width="9.140625" style="4"/>
    <col min="981" max="981" width="4.140625" style="4" customWidth="1"/>
    <col min="982" max="982" width="24" style="4" customWidth="1"/>
    <col min="983" max="983" width="9" style="4" customWidth="1"/>
    <col min="984" max="984" width="11.42578125" style="4" customWidth="1"/>
    <col min="985" max="985" width="14.140625" style="4" customWidth="1"/>
    <col min="986" max="986" width="14" style="4" customWidth="1"/>
    <col min="987" max="987" width="13.85546875" style="4" customWidth="1"/>
    <col min="988" max="988" width="14.140625" style="4" customWidth="1"/>
    <col min="989" max="989" width="13.140625" style="4" bestFit="1" customWidth="1"/>
    <col min="990" max="1017" width="0" style="4" hidden="1" customWidth="1"/>
    <col min="1018" max="1018" width="12.28515625" style="4" bestFit="1" customWidth="1"/>
    <col min="1019" max="1019" width="12.85546875" style="4" bestFit="1" customWidth="1"/>
    <col min="1020" max="1020" width="10.28515625" style="4" bestFit="1" customWidth="1"/>
    <col min="1021" max="1021" width="10.140625" style="4" bestFit="1" customWidth="1"/>
    <col min="1022" max="1026" width="10.28515625" style="4" bestFit="1" customWidth="1"/>
    <col min="1027" max="1027" width="10.28515625" style="4" customWidth="1"/>
    <col min="1028" max="1029" width="10.140625" style="4" bestFit="1" customWidth="1"/>
    <col min="1030" max="1034" width="10.28515625" style="4" bestFit="1" customWidth="1"/>
    <col min="1035" max="1035" width="14" style="4" bestFit="1" customWidth="1"/>
    <col min="1036" max="1036" width="10.42578125" style="4" bestFit="1" customWidth="1"/>
    <col min="1037" max="1236" width="9.140625" style="4"/>
    <col min="1237" max="1237" width="4.140625" style="4" customWidth="1"/>
    <col min="1238" max="1238" width="24" style="4" customWidth="1"/>
    <col min="1239" max="1239" width="9" style="4" customWidth="1"/>
    <col min="1240" max="1240" width="11.42578125" style="4" customWidth="1"/>
    <col min="1241" max="1241" width="14.140625" style="4" customWidth="1"/>
    <col min="1242" max="1242" width="14" style="4" customWidth="1"/>
    <col min="1243" max="1243" width="13.85546875" style="4" customWidth="1"/>
    <col min="1244" max="1244" width="14.140625" style="4" customWidth="1"/>
    <col min="1245" max="1245" width="13.140625" style="4" bestFit="1" customWidth="1"/>
    <col min="1246" max="1273" width="0" style="4" hidden="1" customWidth="1"/>
    <col min="1274" max="1274" width="12.28515625" style="4" bestFit="1" customWidth="1"/>
    <col min="1275" max="1275" width="12.85546875" style="4" bestFit="1" customWidth="1"/>
    <col min="1276" max="1276" width="10.28515625" style="4" bestFit="1" customWidth="1"/>
    <col min="1277" max="1277" width="10.140625" style="4" bestFit="1" customWidth="1"/>
    <col min="1278" max="1282" width="10.28515625" style="4" bestFit="1" customWidth="1"/>
    <col min="1283" max="1283" width="10.28515625" style="4" customWidth="1"/>
    <col min="1284" max="1285" width="10.140625" style="4" bestFit="1" customWidth="1"/>
    <col min="1286" max="1290" width="10.28515625" style="4" bestFit="1" customWidth="1"/>
    <col min="1291" max="1291" width="14" style="4" bestFit="1" customWidth="1"/>
    <col min="1292" max="1292" width="10.42578125" style="4" bestFit="1" customWidth="1"/>
    <col min="1293" max="1492" width="9.140625" style="4"/>
    <col min="1493" max="1493" width="4.140625" style="4" customWidth="1"/>
    <col min="1494" max="1494" width="24" style="4" customWidth="1"/>
    <col min="1495" max="1495" width="9" style="4" customWidth="1"/>
    <col min="1496" max="1496" width="11.42578125" style="4" customWidth="1"/>
    <col min="1497" max="1497" width="14.140625" style="4" customWidth="1"/>
    <col min="1498" max="1498" width="14" style="4" customWidth="1"/>
    <col min="1499" max="1499" width="13.85546875" style="4" customWidth="1"/>
    <col min="1500" max="1500" width="14.140625" style="4" customWidth="1"/>
    <col min="1501" max="1501" width="13.140625" style="4" bestFit="1" customWidth="1"/>
    <col min="1502" max="1529" width="0" style="4" hidden="1" customWidth="1"/>
    <col min="1530" max="1530" width="12.28515625" style="4" bestFit="1" customWidth="1"/>
    <col min="1531" max="1531" width="12.85546875" style="4" bestFit="1" customWidth="1"/>
    <col min="1532" max="1532" width="10.28515625" style="4" bestFit="1" customWidth="1"/>
    <col min="1533" max="1533" width="10.140625" style="4" bestFit="1" customWidth="1"/>
    <col min="1534" max="1538" width="10.28515625" style="4" bestFit="1" customWidth="1"/>
    <col min="1539" max="1539" width="10.28515625" style="4" customWidth="1"/>
    <col min="1540" max="1541" width="10.140625" style="4" bestFit="1" customWidth="1"/>
    <col min="1542" max="1546" width="10.28515625" style="4" bestFit="1" customWidth="1"/>
    <col min="1547" max="1547" width="14" style="4" bestFit="1" customWidth="1"/>
    <col min="1548" max="1548" width="10.42578125" style="4" bestFit="1" customWidth="1"/>
    <col min="1549" max="1748" width="9.140625" style="4"/>
    <col min="1749" max="1749" width="4.140625" style="4" customWidth="1"/>
    <col min="1750" max="1750" width="24" style="4" customWidth="1"/>
    <col min="1751" max="1751" width="9" style="4" customWidth="1"/>
    <col min="1752" max="1752" width="11.42578125" style="4" customWidth="1"/>
    <col min="1753" max="1753" width="14.140625" style="4" customWidth="1"/>
    <col min="1754" max="1754" width="14" style="4" customWidth="1"/>
    <col min="1755" max="1755" width="13.85546875" style="4" customWidth="1"/>
    <col min="1756" max="1756" width="14.140625" style="4" customWidth="1"/>
    <col min="1757" max="1757" width="13.140625" style="4" bestFit="1" customWidth="1"/>
    <col min="1758" max="1785" width="0" style="4" hidden="1" customWidth="1"/>
    <col min="1786" max="1786" width="12.28515625" style="4" bestFit="1" customWidth="1"/>
    <col min="1787" max="1787" width="12.85546875" style="4" bestFit="1" customWidth="1"/>
    <col min="1788" max="1788" width="10.28515625" style="4" bestFit="1" customWidth="1"/>
    <col min="1789" max="1789" width="10.140625" style="4" bestFit="1" customWidth="1"/>
    <col min="1790" max="1794" width="10.28515625" style="4" bestFit="1" customWidth="1"/>
    <col min="1795" max="1795" width="10.28515625" style="4" customWidth="1"/>
    <col min="1796" max="1797" width="10.140625" style="4" bestFit="1" customWidth="1"/>
    <col min="1798" max="1802" width="10.28515625" style="4" bestFit="1" customWidth="1"/>
    <col min="1803" max="1803" width="14" style="4" bestFit="1" customWidth="1"/>
    <col min="1804" max="1804" width="10.42578125" style="4" bestFit="1" customWidth="1"/>
    <col min="1805" max="2004" width="9.140625" style="4"/>
    <col min="2005" max="2005" width="4.140625" style="4" customWidth="1"/>
    <col min="2006" max="2006" width="24" style="4" customWidth="1"/>
    <col min="2007" max="2007" width="9" style="4" customWidth="1"/>
    <col min="2008" max="2008" width="11.42578125" style="4" customWidth="1"/>
    <col min="2009" max="2009" width="14.140625" style="4" customWidth="1"/>
    <col min="2010" max="2010" width="14" style="4" customWidth="1"/>
    <col min="2011" max="2011" width="13.85546875" style="4" customWidth="1"/>
    <col min="2012" max="2012" width="14.140625" style="4" customWidth="1"/>
    <col min="2013" max="2013" width="13.140625" style="4" bestFit="1" customWidth="1"/>
    <col min="2014" max="2041" width="0" style="4" hidden="1" customWidth="1"/>
    <col min="2042" max="2042" width="12.28515625" style="4" bestFit="1" customWidth="1"/>
    <col min="2043" max="2043" width="12.85546875" style="4" bestFit="1" customWidth="1"/>
    <col min="2044" max="2044" width="10.28515625" style="4" bestFit="1" customWidth="1"/>
    <col min="2045" max="2045" width="10.140625" style="4" bestFit="1" customWidth="1"/>
    <col min="2046" max="2050" width="10.28515625" style="4" bestFit="1" customWidth="1"/>
    <col min="2051" max="2051" width="10.28515625" style="4" customWidth="1"/>
    <col min="2052" max="2053" width="10.140625" style="4" bestFit="1" customWidth="1"/>
    <col min="2054" max="2058" width="10.28515625" style="4" bestFit="1" customWidth="1"/>
    <col min="2059" max="2059" width="14" style="4" bestFit="1" customWidth="1"/>
    <col min="2060" max="2060" width="10.42578125" style="4" bestFit="1" customWidth="1"/>
    <col min="2061" max="2260" width="9.140625" style="4"/>
    <col min="2261" max="2261" width="4.140625" style="4" customWidth="1"/>
    <col min="2262" max="2262" width="24" style="4" customWidth="1"/>
    <col min="2263" max="2263" width="9" style="4" customWidth="1"/>
    <col min="2264" max="2264" width="11.42578125" style="4" customWidth="1"/>
    <col min="2265" max="2265" width="14.140625" style="4" customWidth="1"/>
    <col min="2266" max="2266" width="14" style="4" customWidth="1"/>
    <col min="2267" max="2267" width="13.85546875" style="4" customWidth="1"/>
    <col min="2268" max="2268" width="14.140625" style="4" customWidth="1"/>
    <col min="2269" max="2269" width="13.140625" style="4" bestFit="1" customWidth="1"/>
    <col min="2270" max="2297" width="0" style="4" hidden="1" customWidth="1"/>
    <col min="2298" max="2298" width="12.28515625" style="4" bestFit="1" customWidth="1"/>
    <col min="2299" max="2299" width="12.85546875" style="4" bestFit="1" customWidth="1"/>
    <col min="2300" max="2300" width="10.28515625" style="4" bestFit="1" customWidth="1"/>
    <col min="2301" max="2301" width="10.140625" style="4" bestFit="1" customWidth="1"/>
    <col min="2302" max="2306" width="10.28515625" style="4" bestFit="1" customWidth="1"/>
    <col min="2307" max="2307" width="10.28515625" style="4" customWidth="1"/>
    <col min="2308" max="2309" width="10.140625" style="4" bestFit="1" customWidth="1"/>
    <col min="2310" max="2314" width="10.28515625" style="4" bestFit="1" customWidth="1"/>
    <col min="2315" max="2315" width="14" style="4" bestFit="1" customWidth="1"/>
    <col min="2316" max="2316" width="10.42578125" style="4" bestFit="1" customWidth="1"/>
    <col min="2317" max="2516" width="9.140625" style="4"/>
    <col min="2517" max="2517" width="4.140625" style="4" customWidth="1"/>
    <col min="2518" max="2518" width="24" style="4" customWidth="1"/>
    <col min="2519" max="2519" width="9" style="4" customWidth="1"/>
    <col min="2520" max="2520" width="11.42578125" style="4" customWidth="1"/>
    <col min="2521" max="2521" width="14.140625" style="4" customWidth="1"/>
    <col min="2522" max="2522" width="14" style="4" customWidth="1"/>
    <col min="2523" max="2523" width="13.85546875" style="4" customWidth="1"/>
    <col min="2524" max="2524" width="14.140625" style="4" customWidth="1"/>
    <col min="2525" max="2525" width="13.140625" style="4" bestFit="1" customWidth="1"/>
    <col min="2526" max="2553" width="0" style="4" hidden="1" customWidth="1"/>
    <col min="2554" max="2554" width="12.28515625" style="4" bestFit="1" customWidth="1"/>
    <col min="2555" max="2555" width="12.85546875" style="4" bestFit="1" customWidth="1"/>
    <col min="2556" max="2556" width="10.28515625" style="4" bestFit="1" customWidth="1"/>
    <col min="2557" max="2557" width="10.140625" style="4" bestFit="1" customWidth="1"/>
    <col min="2558" max="2562" width="10.28515625" style="4" bestFit="1" customWidth="1"/>
    <col min="2563" max="2563" width="10.28515625" style="4" customWidth="1"/>
    <col min="2564" max="2565" width="10.140625" style="4" bestFit="1" customWidth="1"/>
    <col min="2566" max="2570" width="10.28515625" style="4" bestFit="1" customWidth="1"/>
    <col min="2571" max="2571" width="14" style="4" bestFit="1" customWidth="1"/>
    <col min="2572" max="2572" width="10.42578125" style="4" bestFit="1" customWidth="1"/>
    <col min="2573" max="2772" width="9.140625" style="4"/>
    <col min="2773" max="2773" width="4.140625" style="4" customWidth="1"/>
    <col min="2774" max="2774" width="24" style="4" customWidth="1"/>
    <col min="2775" max="2775" width="9" style="4" customWidth="1"/>
    <col min="2776" max="2776" width="11.42578125" style="4" customWidth="1"/>
    <col min="2777" max="2777" width="14.140625" style="4" customWidth="1"/>
    <col min="2778" max="2778" width="14" style="4" customWidth="1"/>
    <col min="2779" max="2779" width="13.85546875" style="4" customWidth="1"/>
    <col min="2780" max="2780" width="14.140625" style="4" customWidth="1"/>
    <col min="2781" max="2781" width="13.140625" style="4" bestFit="1" customWidth="1"/>
    <col min="2782" max="2809" width="0" style="4" hidden="1" customWidth="1"/>
    <col min="2810" max="2810" width="12.28515625" style="4" bestFit="1" customWidth="1"/>
    <col min="2811" max="2811" width="12.85546875" style="4" bestFit="1" customWidth="1"/>
    <col min="2812" max="2812" width="10.28515625" style="4" bestFit="1" customWidth="1"/>
    <col min="2813" max="2813" width="10.140625" style="4" bestFit="1" customWidth="1"/>
    <col min="2814" max="2818" width="10.28515625" style="4" bestFit="1" customWidth="1"/>
    <col min="2819" max="2819" width="10.28515625" style="4" customWidth="1"/>
    <col min="2820" max="2821" width="10.140625" style="4" bestFit="1" customWidth="1"/>
    <col min="2822" max="2826" width="10.28515625" style="4" bestFit="1" customWidth="1"/>
    <col min="2827" max="2827" width="14" style="4" bestFit="1" customWidth="1"/>
    <col min="2828" max="2828" width="10.42578125" style="4" bestFit="1" customWidth="1"/>
    <col min="2829" max="3028" width="9.140625" style="4"/>
    <col min="3029" max="3029" width="4.140625" style="4" customWidth="1"/>
    <col min="3030" max="3030" width="24" style="4" customWidth="1"/>
    <col min="3031" max="3031" width="9" style="4" customWidth="1"/>
    <col min="3032" max="3032" width="11.42578125" style="4" customWidth="1"/>
    <col min="3033" max="3033" width="14.140625" style="4" customWidth="1"/>
    <col min="3034" max="3034" width="14" style="4" customWidth="1"/>
    <col min="3035" max="3035" width="13.85546875" style="4" customWidth="1"/>
    <col min="3036" max="3036" width="14.140625" style="4" customWidth="1"/>
    <col min="3037" max="3037" width="13.140625" style="4" bestFit="1" customWidth="1"/>
    <col min="3038" max="3065" width="0" style="4" hidden="1" customWidth="1"/>
    <col min="3066" max="3066" width="12.28515625" style="4" bestFit="1" customWidth="1"/>
    <col min="3067" max="3067" width="12.85546875" style="4" bestFit="1" customWidth="1"/>
    <col min="3068" max="3068" width="10.28515625" style="4" bestFit="1" customWidth="1"/>
    <col min="3069" max="3069" width="10.140625" style="4" bestFit="1" customWidth="1"/>
    <col min="3070" max="3074" width="10.28515625" style="4" bestFit="1" customWidth="1"/>
    <col min="3075" max="3075" width="10.28515625" style="4" customWidth="1"/>
    <col min="3076" max="3077" width="10.140625" style="4" bestFit="1" customWidth="1"/>
    <col min="3078" max="3082" width="10.28515625" style="4" bestFit="1" customWidth="1"/>
    <col min="3083" max="3083" width="14" style="4" bestFit="1" customWidth="1"/>
    <col min="3084" max="3084" width="10.42578125" style="4" bestFit="1" customWidth="1"/>
    <col min="3085" max="3284" width="9.140625" style="4"/>
    <col min="3285" max="3285" width="4.140625" style="4" customWidth="1"/>
    <col min="3286" max="3286" width="24" style="4" customWidth="1"/>
    <col min="3287" max="3287" width="9" style="4" customWidth="1"/>
    <col min="3288" max="3288" width="11.42578125" style="4" customWidth="1"/>
    <col min="3289" max="3289" width="14.140625" style="4" customWidth="1"/>
    <col min="3290" max="3290" width="14" style="4" customWidth="1"/>
    <col min="3291" max="3291" width="13.85546875" style="4" customWidth="1"/>
    <col min="3292" max="3292" width="14.140625" style="4" customWidth="1"/>
    <col min="3293" max="3293" width="13.140625" style="4" bestFit="1" customWidth="1"/>
    <col min="3294" max="3321" width="0" style="4" hidden="1" customWidth="1"/>
    <col min="3322" max="3322" width="12.28515625" style="4" bestFit="1" customWidth="1"/>
    <col min="3323" max="3323" width="12.85546875" style="4" bestFit="1" customWidth="1"/>
    <col min="3324" max="3324" width="10.28515625" style="4" bestFit="1" customWidth="1"/>
    <col min="3325" max="3325" width="10.140625" style="4" bestFit="1" customWidth="1"/>
    <col min="3326" max="3330" width="10.28515625" style="4" bestFit="1" customWidth="1"/>
    <col min="3331" max="3331" width="10.28515625" style="4" customWidth="1"/>
    <col min="3332" max="3333" width="10.140625" style="4" bestFit="1" customWidth="1"/>
    <col min="3334" max="3338" width="10.28515625" style="4" bestFit="1" customWidth="1"/>
    <col min="3339" max="3339" width="14" style="4" bestFit="1" customWidth="1"/>
    <col min="3340" max="3340" width="10.42578125" style="4" bestFit="1" customWidth="1"/>
    <col min="3341" max="3540" width="9.140625" style="4"/>
    <col min="3541" max="3541" width="4.140625" style="4" customWidth="1"/>
    <col min="3542" max="3542" width="24" style="4" customWidth="1"/>
    <col min="3543" max="3543" width="9" style="4" customWidth="1"/>
    <col min="3544" max="3544" width="11.42578125" style="4" customWidth="1"/>
    <col min="3545" max="3545" width="14.140625" style="4" customWidth="1"/>
    <col min="3546" max="3546" width="14" style="4" customWidth="1"/>
    <col min="3547" max="3547" width="13.85546875" style="4" customWidth="1"/>
    <col min="3548" max="3548" width="14.140625" style="4" customWidth="1"/>
    <col min="3549" max="3549" width="13.140625" style="4" bestFit="1" customWidth="1"/>
    <col min="3550" max="3577" width="0" style="4" hidden="1" customWidth="1"/>
    <col min="3578" max="3578" width="12.28515625" style="4" bestFit="1" customWidth="1"/>
    <col min="3579" max="3579" width="12.85546875" style="4" bestFit="1" customWidth="1"/>
    <col min="3580" max="3580" width="10.28515625" style="4" bestFit="1" customWidth="1"/>
    <col min="3581" max="3581" width="10.140625" style="4" bestFit="1" customWidth="1"/>
    <col min="3582" max="3586" width="10.28515625" style="4" bestFit="1" customWidth="1"/>
    <col min="3587" max="3587" width="10.28515625" style="4" customWidth="1"/>
    <col min="3588" max="3589" width="10.140625" style="4" bestFit="1" customWidth="1"/>
    <col min="3590" max="3594" width="10.28515625" style="4" bestFit="1" customWidth="1"/>
    <col min="3595" max="3595" width="14" style="4" bestFit="1" customWidth="1"/>
    <col min="3596" max="3596" width="10.42578125" style="4" bestFit="1" customWidth="1"/>
    <col min="3597" max="3796" width="9.140625" style="4"/>
    <col min="3797" max="3797" width="4.140625" style="4" customWidth="1"/>
    <col min="3798" max="3798" width="24" style="4" customWidth="1"/>
    <col min="3799" max="3799" width="9" style="4" customWidth="1"/>
    <col min="3800" max="3800" width="11.42578125" style="4" customWidth="1"/>
    <col min="3801" max="3801" width="14.140625" style="4" customWidth="1"/>
    <col min="3802" max="3802" width="14" style="4" customWidth="1"/>
    <col min="3803" max="3803" width="13.85546875" style="4" customWidth="1"/>
    <col min="3804" max="3804" width="14.140625" style="4" customWidth="1"/>
    <col min="3805" max="3805" width="13.140625" style="4" bestFit="1" customWidth="1"/>
    <col min="3806" max="3833" width="0" style="4" hidden="1" customWidth="1"/>
    <col min="3834" max="3834" width="12.28515625" style="4" bestFit="1" customWidth="1"/>
    <col min="3835" max="3835" width="12.85546875" style="4" bestFit="1" customWidth="1"/>
    <col min="3836" max="3836" width="10.28515625" style="4" bestFit="1" customWidth="1"/>
    <col min="3837" max="3837" width="10.140625" style="4" bestFit="1" customWidth="1"/>
    <col min="3838" max="3842" width="10.28515625" style="4" bestFit="1" customWidth="1"/>
    <col min="3843" max="3843" width="10.28515625" style="4" customWidth="1"/>
    <col min="3844" max="3845" width="10.140625" style="4" bestFit="1" customWidth="1"/>
    <col min="3846" max="3850" width="10.28515625" style="4" bestFit="1" customWidth="1"/>
    <col min="3851" max="3851" width="14" style="4" bestFit="1" customWidth="1"/>
    <col min="3852" max="3852" width="10.42578125" style="4" bestFit="1" customWidth="1"/>
    <col min="3853" max="4052" width="9.140625" style="4"/>
    <col min="4053" max="4053" width="4.140625" style="4" customWidth="1"/>
    <col min="4054" max="4054" width="24" style="4" customWidth="1"/>
    <col min="4055" max="4055" width="9" style="4" customWidth="1"/>
    <col min="4056" max="4056" width="11.42578125" style="4" customWidth="1"/>
    <col min="4057" max="4057" width="14.140625" style="4" customWidth="1"/>
    <col min="4058" max="4058" width="14" style="4" customWidth="1"/>
    <col min="4059" max="4059" width="13.85546875" style="4" customWidth="1"/>
    <col min="4060" max="4060" width="14.140625" style="4" customWidth="1"/>
    <col min="4061" max="4061" width="13.140625" style="4" bestFit="1" customWidth="1"/>
    <col min="4062" max="4089" width="0" style="4" hidden="1" customWidth="1"/>
    <col min="4090" max="4090" width="12.28515625" style="4" bestFit="1" customWidth="1"/>
    <col min="4091" max="4091" width="12.85546875" style="4" bestFit="1" customWidth="1"/>
    <col min="4092" max="4092" width="10.28515625" style="4" bestFit="1" customWidth="1"/>
    <col min="4093" max="4093" width="10.140625" style="4" bestFit="1" customWidth="1"/>
    <col min="4094" max="4098" width="10.28515625" style="4" bestFit="1" customWidth="1"/>
    <col min="4099" max="4099" width="10.28515625" style="4" customWidth="1"/>
    <col min="4100" max="4101" width="10.140625" style="4" bestFit="1" customWidth="1"/>
    <col min="4102" max="4106" width="10.28515625" style="4" bestFit="1" customWidth="1"/>
    <col min="4107" max="4107" width="14" style="4" bestFit="1" customWidth="1"/>
    <col min="4108" max="4108" width="10.42578125" style="4" bestFit="1" customWidth="1"/>
    <col min="4109" max="4308" width="9.140625" style="4"/>
    <col min="4309" max="4309" width="4.140625" style="4" customWidth="1"/>
    <col min="4310" max="4310" width="24" style="4" customWidth="1"/>
    <col min="4311" max="4311" width="9" style="4" customWidth="1"/>
    <col min="4312" max="4312" width="11.42578125" style="4" customWidth="1"/>
    <col min="4313" max="4313" width="14.140625" style="4" customWidth="1"/>
    <col min="4314" max="4314" width="14" style="4" customWidth="1"/>
    <col min="4315" max="4315" width="13.85546875" style="4" customWidth="1"/>
    <col min="4316" max="4316" width="14.140625" style="4" customWidth="1"/>
    <col min="4317" max="4317" width="13.140625" style="4" bestFit="1" customWidth="1"/>
    <col min="4318" max="4345" width="0" style="4" hidden="1" customWidth="1"/>
    <col min="4346" max="4346" width="12.28515625" style="4" bestFit="1" customWidth="1"/>
    <col min="4347" max="4347" width="12.85546875" style="4" bestFit="1" customWidth="1"/>
    <col min="4348" max="4348" width="10.28515625" style="4" bestFit="1" customWidth="1"/>
    <col min="4349" max="4349" width="10.140625" style="4" bestFit="1" customWidth="1"/>
    <col min="4350" max="4354" width="10.28515625" style="4" bestFit="1" customWidth="1"/>
    <col min="4355" max="4355" width="10.28515625" style="4" customWidth="1"/>
    <col min="4356" max="4357" width="10.140625" style="4" bestFit="1" customWidth="1"/>
    <col min="4358" max="4362" width="10.28515625" style="4" bestFit="1" customWidth="1"/>
    <col min="4363" max="4363" width="14" style="4" bestFit="1" customWidth="1"/>
    <col min="4364" max="4364" width="10.42578125" style="4" bestFit="1" customWidth="1"/>
    <col min="4365" max="4564" width="9.140625" style="4"/>
    <col min="4565" max="4565" width="4.140625" style="4" customWidth="1"/>
    <col min="4566" max="4566" width="24" style="4" customWidth="1"/>
    <col min="4567" max="4567" width="9" style="4" customWidth="1"/>
    <col min="4568" max="4568" width="11.42578125" style="4" customWidth="1"/>
    <col min="4569" max="4569" width="14.140625" style="4" customWidth="1"/>
    <col min="4570" max="4570" width="14" style="4" customWidth="1"/>
    <col min="4571" max="4571" width="13.85546875" style="4" customWidth="1"/>
    <col min="4572" max="4572" width="14.140625" style="4" customWidth="1"/>
    <col min="4573" max="4573" width="13.140625" style="4" bestFit="1" customWidth="1"/>
    <col min="4574" max="4601" width="0" style="4" hidden="1" customWidth="1"/>
    <col min="4602" max="4602" width="12.28515625" style="4" bestFit="1" customWidth="1"/>
    <col min="4603" max="4603" width="12.85546875" style="4" bestFit="1" customWidth="1"/>
    <col min="4604" max="4604" width="10.28515625" style="4" bestFit="1" customWidth="1"/>
    <col min="4605" max="4605" width="10.140625" style="4" bestFit="1" customWidth="1"/>
    <col min="4606" max="4610" width="10.28515625" style="4" bestFit="1" customWidth="1"/>
    <col min="4611" max="4611" width="10.28515625" style="4" customWidth="1"/>
    <col min="4612" max="4613" width="10.140625" style="4" bestFit="1" customWidth="1"/>
    <col min="4614" max="4618" width="10.28515625" style="4" bestFit="1" customWidth="1"/>
    <col min="4619" max="4619" width="14" style="4" bestFit="1" customWidth="1"/>
    <col min="4620" max="4620" width="10.42578125" style="4" bestFit="1" customWidth="1"/>
    <col min="4621" max="4820" width="9.140625" style="4"/>
    <col min="4821" max="4821" width="4.140625" style="4" customWidth="1"/>
    <col min="4822" max="4822" width="24" style="4" customWidth="1"/>
    <col min="4823" max="4823" width="9" style="4" customWidth="1"/>
    <col min="4824" max="4824" width="11.42578125" style="4" customWidth="1"/>
    <col min="4825" max="4825" width="14.140625" style="4" customWidth="1"/>
    <col min="4826" max="4826" width="14" style="4" customWidth="1"/>
    <col min="4827" max="4827" width="13.85546875" style="4" customWidth="1"/>
    <col min="4828" max="4828" width="14.140625" style="4" customWidth="1"/>
    <col min="4829" max="4829" width="13.140625" style="4" bestFit="1" customWidth="1"/>
    <col min="4830" max="4857" width="0" style="4" hidden="1" customWidth="1"/>
    <col min="4858" max="4858" width="12.28515625" style="4" bestFit="1" customWidth="1"/>
    <col min="4859" max="4859" width="12.85546875" style="4" bestFit="1" customWidth="1"/>
    <col min="4860" max="4860" width="10.28515625" style="4" bestFit="1" customWidth="1"/>
    <col min="4861" max="4861" width="10.140625" style="4" bestFit="1" customWidth="1"/>
    <col min="4862" max="4866" width="10.28515625" style="4" bestFit="1" customWidth="1"/>
    <col min="4867" max="4867" width="10.28515625" style="4" customWidth="1"/>
    <col min="4868" max="4869" width="10.140625" style="4" bestFit="1" customWidth="1"/>
    <col min="4870" max="4874" width="10.28515625" style="4" bestFit="1" customWidth="1"/>
    <col min="4875" max="4875" width="14" style="4" bestFit="1" customWidth="1"/>
    <col min="4876" max="4876" width="10.42578125" style="4" bestFit="1" customWidth="1"/>
    <col min="4877" max="5076" width="9.140625" style="4"/>
    <col min="5077" max="5077" width="4.140625" style="4" customWidth="1"/>
    <col min="5078" max="5078" width="24" style="4" customWidth="1"/>
    <col min="5079" max="5079" width="9" style="4" customWidth="1"/>
    <col min="5080" max="5080" width="11.42578125" style="4" customWidth="1"/>
    <col min="5081" max="5081" width="14.140625" style="4" customWidth="1"/>
    <col min="5082" max="5082" width="14" style="4" customWidth="1"/>
    <col min="5083" max="5083" width="13.85546875" style="4" customWidth="1"/>
    <col min="5084" max="5084" width="14.140625" style="4" customWidth="1"/>
    <col min="5085" max="5085" width="13.140625" style="4" bestFit="1" customWidth="1"/>
    <col min="5086" max="5113" width="0" style="4" hidden="1" customWidth="1"/>
    <col min="5114" max="5114" width="12.28515625" style="4" bestFit="1" customWidth="1"/>
    <col min="5115" max="5115" width="12.85546875" style="4" bestFit="1" customWidth="1"/>
    <col min="5116" max="5116" width="10.28515625" style="4" bestFit="1" customWidth="1"/>
    <col min="5117" max="5117" width="10.140625" style="4" bestFit="1" customWidth="1"/>
    <col min="5118" max="5122" width="10.28515625" style="4" bestFit="1" customWidth="1"/>
    <col min="5123" max="5123" width="10.28515625" style="4" customWidth="1"/>
    <col min="5124" max="5125" width="10.140625" style="4" bestFit="1" customWidth="1"/>
    <col min="5126" max="5130" width="10.28515625" style="4" bestFit="1" customWidth="1"/>
    <col min="5131" max="5131" width="14" style="4" bestFit="1" customWidth="1"/>
    <col min="5132" max="5132" width="10.42578125" style="4" bestFit="1" customWidth="1"/>
    <col min="5133" max="5332" width="9.140625" style="4"/>
    <col min="5333" max="5333" width="4.140625" style="4" customWidth="1"/>
    <col min="5334" max="5334" width="24" style="4" customWidth="1"/>
    <col min="5335" max="5335" width="9" style="4" customWidth="1"/>
    <col min="5336" max="5336" width="11.42578125" style="4" customWidth="1"/>
    <col min="5337" max="5337" width="14.140625" style="4" customWidth="1"/>
    <col min="5338" max="5338" width="14" style="4" customWidth="1"/>
    <col min="5339" max="5339" width="13.85546875" style="4" customWidth="1"/>
    <col min="5340" max="5340" width="14.140625" style="4" customWidth="1"/>
    <col min="5341" max="5341" width="13.140625" style="4" bestFit="1" customWidth="1"/>
    <col min="5342" max="5369" width="0" style="4" hidden="1" customWidth="1"/>
    <col min="5370" max="5370" width="12.28515625" style="4" bestFit="1" customWidth="1"/>
    <col min="5371" max="5371" width="12.85546875" style="4" bestFit="1" customWidth="1"/>
    <col min="5372" max="5372" width="10.28515625" style="4" bestFit="1" customWidth="1"/>
    <col min="5373" max="5373" width="10.140625" style="4" bestFit="1" customWidth="1"/>
    <col min="5374" max="5378" width="10.28515625" style="4" bestFit="1" customWidth="1"/>
    <col min="5379" max="5379" width="10.28515625" style="4" customWidth="1"/>
    <col min="5380" max="5381" width="10.140625" style="4" bestFit="1" customWidth="1"/>
    <col min="5382" max="5386" width="10.28515625" style="4" bestFit="1" customWidth="1"/>
    <col min="5387" max="5387" width="14" style="4" bestFit="1" customWidth="1"/>
    <col min="5388" max="5388" width="10.42578125" style="4" bestFit="1" customWidth="1"/>
    <col min="5389" max="5588" width="9.140625" style="4"/>
    <col min="5589" max="5589" width="4.140625" style="4" customWidth="1"/>
    <col min="5590" max="5590" width="24" style="4" customWidth="1"/>
    <col min="5591" max="5591" width="9" style="4" customWidth="1"/>
    <col min="5592" max="5592" width="11.42578125" style="4" customWidth="1"/>
    <col min="5593" max="5593" width="14.140625" style="4" customWidth="1"/>
    <col min="5594" max="5594" width="14" style="4" customWidth="1"/>
    <col min="5595" max="5595" width="13.85546875" style="4" customWidth="1"/>
    <col min="5596" max="5596" width="14.140625" style="4" customWidth="1"/>
    <col min="5597" max="5597" width="13.140625" style="4" bestFit="1" customWidth="1"/>
    <col min="5598" max="5625" width="0" style="4" hidden="1" customWidth="1"/>
    <col min="5626" max="5626" width="12.28515625" style="4" bestFit="1" customWidth="1"/>
    <col min="5627" max="5627" width="12.85546875" style="4" bestFit="1" customWidth="1"/>
    <col min="5628" max="5628" width="10.28515625" style="4" bestFit="1" customWidth="1"/>
    <col min="5629" max="5629" width="10.140625" style="4" bestFit="1" customWidth="1"/>
    <col min="5630" max="5634" width="10.28515625" style="4" bestFit="1" customWidth="1"/>
    <col min="5635" max="5635" width="10.28515625" style="4" customWidth="1"/>
    <col min="5636" max="5637" width="10.140625" style="4" bestFit="1" customWidth="1"/>
    <col min="5638" max="5642" width="10.28515625" style="4" bestFit="1" customWidth="1"/>
    <col min="5643" max="5643" width="14" style="4" bestFit="1" customWidth="1"/>
    <col min="5644" max="5644" width="10.42578125" style="4" bestFit="1" customWidth="1"/>
    <col min="5645" max="5844" width="9.140625" style="4"/>
    <col min="5845" max="5845" width="4.140625" style="4" customWidth="1"/>
    <col min="5846" max="5846" width="24" style="4" customWidth="1"/>
    <col min="5847" max="5847" width="9" style="4" customWidth="1"/>
    <col min="5848" max="5848" width="11.42578125" style="4" customWidth="1"/>
    <col min="5849" max="5849" width="14.140625" style="4" customWidth="1"/>
    <col min="5850" max="5850" width="14" style="4" customWidth="1"/>
    <col min="5851" max="5851" width="13.85546875" style="4" customWidth="1"/>
    <col min="5852" max="5852" width="14.140625" style="4" customWidth="1"/>
    <col min="5853" max="5853" width="13.140625" style="4" bestFit="1" customWidth="1"/>
    <col min="5854" max="5881" width="0" style="4" hidden="1" customWidth="1"/>
    <col min="5882" max="5882" width="12.28515625" style="4" bestFit="1" customWidth="1"/>
    <col min="5883" max="5883" width="12.85546875" style="4" bestFit="1" customWidth="1"/>
    <col min="5884" max="5884" width="10.28515625" style="4" bestFit="1" customWidth="1"/>
    <col min="5885" max="5885" width="10.140625" style="4" bestFit="1" customWidth="1"/>
    <col min="5886" max="5890" width="10.28515625" style="4" bestFit="1" customWidth="1"/>
    <col min="5891" max="5891" width="10.28515625" style="4" customWidth="1"/>
    <col min="5892" max="5893" width="10.140625" style="4" bestFit="1" customWidth="1"/>
    <col min="5894" max="5898" width="10.28515625" style="4" bestFit="1" customWidth="1"/>
    <col min="5899" max="5899" width="14" style="4" bestFit="1" customWidth="1"/>
    <col min="5900" max="5900" width="10.42578125" style="4" bestFit="1" customWidth="1"/>
    <col min="5901" max="6100" width="9.140625" style="4"/>
    <col min="6101" max="6101" width="4.140625" style="4" customWidth="1"/>
    <col min="6102" max="6102" width="24" style="4" customWidth="1"/>
    <col min="6103" max="6103" width="9" style="4" customWidth="1"/>
    <col min="6104" max="6104" width="11.42578125" style="4" customWidth="1"/>
    <col min="6105" max="6105" width="14.140625" style="4" customWidth="1"/>
    <col min="6106" max="6106" width="14" style="4" customWidth="1"/>
    <col min="6107" max="6107" width="13.85546875" style="4" customWidth="1"/>
    <col min="6108" max="6108" width="14.140625" style="4" customWidth="1"/>
    <col min="6109" max="6109" width="13.140625" style="4" bestFit="1" customWidth="1"/>
    <col min="6110" max="6137" width="0" style="4" hidden="1" customWidth="1"/>
    <col min="6138" max="6138" width="12.28515625" style="4" bestFit="1" customWidth="1"/>
    <col min="6139" max="6139" width="12.85546875" style="4" bestFit="1" customWidth="1"/>
    <col min="6140" max="6140" width="10.28515625" style="4" bestFit="1" customWidth="1"/>
    <col min="6141" max="6141" width="10.140625" style="4" bestFit="1" customWidth="1"/>
    <col min="6142" max="6146" width="10.28515625" style="4" bestFit="1" customWidth="1"/>
    <col min="6147" max="6147" width="10.28515625" style="4" customWidth="1"/>
    <col min="6148" max="6149" width="10.140625" style="4" bestFit="1" customWidth="1"/>
    <col min="6150" max="6154" width="10.28515625" style="4" bestFit="1" customWidth="1"/>
    <col min="6155" max="6155" width="14" style="4" bestFit="1" customWidth="1"/>
    <col min="6156" max="6156" width="10.42578125" style="4" bestFit="1" customWidth="1"/>
    <col min="6157" max="6356" width="9.140625" style="4"/>
    <col min="6357" max="6357" width="4.140625" style="4" customWidth="1"/>
    <col min="6358" max="6358" width="24" style="4" customWidth="1"/>
    <col min="6359" max="6359" width="9" style="4" customWidth="1"/>
    <col min="6360" max="6360" width="11.42578125" style="4" customWidth="1"/>
    <col min="6361" max="6361" width="14.140625" style="4" customWidth="1"/>
    <col min="6362" max="6362" width="14" style="4" customWidth="1"/>
    <col min="6363" max="6363" width="13.85546875" style="4" customWidth="1"/>
    <col min="6364" max="6364" width="14.140625" style="4" customWidth="1"/>
    <col min="6365" max="6365" width="13.140625" style="4" bestFit="1" customWidth="1"/>
    <col min="6366" max="6393" width="0" style="4" hidden="1" customWidth="1"/>
    <col min="6394" max="6394" width="12.28515625" style="4" bestFit="1" customWidth="1"/>
    <col min="6395" max="6395" width="12.85546875" style="4" bestFit="1" customWidth="1"/>
    <col min="6396" max="6396" width="10.28515625" style="4" bestFit="1" customWidth="1"/>
    <col min="6397" max="6397" width="10.140625" style="4" bestFit="1" customWidth="1"/>
    <col min="6398" max="6402" width="10.28515625" style="4" bestFit="1" customWidth="1"/>
    <col min="6403" max="6403" width="10.28515625" style="4" customWidth="1"/>
    <col min="6404" max="6405" width="10.140625" style="4" bestFit="1" customWidth="1"/>
    <col min="6406" max="6410" width="10.28515625" style="4" bestFit="1" customWidth="1"/>
    <col min="6411" max="6411" width="14" style="4" bestFit="1" customWidth="1"/>
    <col min="6412" max="6412" width="10.42578125" style="4" bestFit="1" customWidth="1"/>
    <col min="6413" max="6612" width="9.140625" style="4"/>
    <col min="6613" max="6613" width="4.140625" style="4" customWidth="1"/>
    <col min="6614" max="6614" width="24" style="4" customWidth="1"/>
    <col min="6615" max="6615" width="9" style="4" customWidth="1"/>
    <col min="6616" max="6616" width="11.42578125" style="4" customWidth="1"/>
    <col min="6617" max="6617" width="14.140625" style="4" customWidth="1"/>
    <col min="6618" max="6618" width="14" style="4" customWidth="1"/>
    <col min="6619" max="6619" width="13.85546875" style="4" customWidth="1"/>
    <col min="6620" max="6620" width="14.140625" style="4" customWidth="1"/>
    <col min="6621" max="6621" width="13.140625" style="4" bestFit="1" customWidth="1"/>
    <col min="6622" max="6649" width="0" style="4" hidden="1" customWidth="1"/>
    <col min="6650" max="6650" width="12.28515625" style="4" bestFit="1" customWidth="1"/>
    <col min="6651" max="6651" width="12.85546875" style="4" bestFit="1" customWidth="1"/>
    <col min="6652" max="6652" width="10.28515625" style="4" bestFit="1" customWidth="1"/>
    <col min="6653" max="6653" width="10.140625" style="4" bestFit="1" customWidth="1"/>
    <col min="6654" max="6658" width="10.28515625" style="4" bestFit="1" customWidth="1"/>
    <col min="6659" max="6659" width="10.28515625" style="4" customWidth="1"/>
    <col min="6660" max="6661" width="10.140625" style="4" bestFit="1" customWidth="1"/>
    <col min="6662" max="6666" width="10.28515625" style="4" bestFit="1" customWidth="1"/>
    <col min="6667" max="6667" width="14" style="4" bestFit="1" customWidth="1"/>
    <col min="6668" max="6668" width="10.42578125" style="4" bestFit="1" customWidth="1"/>
    <col min="6669" max="6868" width="9.140625" style="4"/>
    <col min="6869" max="6869" width="4.140625" style="4" customWidth="1"/>
    <col min="6870" max="6870" width="24" style="4" customWidth="1"/>
    <col min="6871" max="6871" width="9" style="4" customWidth="1"/>
    <col min="6872" max="6872" width="11.42578125" style="4" customWidth="1"/>
    <col min="6873" max="6873" width="14.140625" style="4" customWidth="1"/>
    <col min="6874" max="6874" width="14" style="4" customWidth="1"/>
    <col min="6875" max="6875" width="13.85546875" style="4" customWidth="1"/>
    <col min="6876" max="6876" width="14.140625" style="4" customWidth="1"/>
    <col min="6877" max="6877" width="13.140625" style="4" bestFit="1" customWidth="1"/>
    <col min="6878" max="6905" width="0" style="4" hidden="1" customWidth="1"/>
    <col min="6906" max="6906" width="12.28515625" style="4" bestFit="1" customWidth="1"/>
    <col min="6907" max="6907" width="12.85546875" style="4" bestFit="1" customWidth="1"/>
    <col min="6908" max="6908" width="10.28515625" style="4" bestFit="1" customWidth="1"/>
    <col min="6909" max="6909" width="10.140625" style="4" bestFit="1" customWidth="1"/>
    <col min="6910" max="6914" width="10.28515625" style="4" bestFit="1" customWidth="1"/>
    <col min="6915" max="6915" width="10.28515625" style="4" customWidth="1"/>
    <col min="6916" max="6917" width="10.140625" style="4" bestFit="1" customWidth="1"/>
    <col min="6918" max="6922" width="10.28515625" style="4" bestFit="1" customWidth="1"/>
    <col min="6923" max="6923" width="14" style="4" bestFit="1" customWidth="1"/>
    <col min="6924" max="6924" width="10.42578125" style="4" bestFit="1" customWidth="1"/>
    <col min="6925" max="7124" width="9.140625" style="4"/>
    <col min="7125" max="7125" width="4.140625" style="4" customWidth="1"/>
    <col min="7126" max="7126" width="24" style="4" customWidth="1"/>
    <col min="7127" max="7127" width="9" style="4" customWidth="1"/>
    <col min="7128" max="7128" width="11.42578125" style="4" customWidth="1"/>
    <col min="7129" max="7129" width="14.140625" style="4" customWidth="1"/>
    <col min="7130" max="7130" width="14" style="4" customWidth="1"/>
    <col min="7131" max="7131" width="13.85546875" style="4" customWidth="1"/>
    <col min="7132" max="7132" width="14.140625" style="4" customWidth="1"/>
    <col min="7133" max="7133" width="13.140625" style="4" bestFit="1" customWidth="1"/>
    <col min="7134" max="7161" width="0" style="4" hidden="1" customWidth="1"/>
    <col min="7162" max="7162" width="12.28515625" style="4" bestFit="1" customWidth="1"/>
    <col min="7163" max="7163" width="12.85546875" style="4" bestFit="1" customWidth="1"/>
    <col min="7164" max="7164" width="10.28515625" style="4" bestFit="1" customWidth="1"/>
    <col min="7165" max="7165" width="10.140625" style="4" bestFit="1" customWidth="1"/>
    <col min="7166" max="7170" width="10.28515625" style="4" bestFit="1" customWidth="1"/>
    <col min="7171" max="7171" width="10.28515625" style="4" customWidth="1"/>
    <col min="7172" max="7173" width="10.140625" style="4" bestFit="1" customWidth="1"/>
    <col min="7174" max="7178" width="10.28515625" style="4" bestFit="1" customWidth="1"/>
    <col min="7179" max="7179" width="14" style="4" bestFit="1" customWidth="1"/>
    <col min="7180" max="7180" width="10.42578125" style="4" bestFit="1" customWidth="1"/>
    <col min="7181" max="7380" width="9.140625" style="4"/>
    <col min="7381" max="7381" width="4.140625" style="4" customWidth="1"/>
    <col min="7382" max="7382" width="24" style="4" customWidth="1"/>
    <col min="7383" max="7383" width="9" style="4" customWidth="1"/>
    <col min="7384" max="7384" width="11.42578125" style="4" customWidth="1"/>
    <col min="7385" max="7385" width="14.140625" style="4" customWidth="1"/>
    <col min="7386" max="7386" width="14" style="4" customWidth="1"/>
    <col min="7387" max="7387" width="13.85546875" style="4" customWidth="1"/>
    <col min="7388" max="7388" width="14.140625" style="4" customWidth="1"/>
    <col min="7389" max="7389" width="13.140625" style="4" bestFit="1" customWidth="1"/>
    <col min="7390" max="7417" width="0" style="4" hidden="1" customWidth="1"/>
    <col min="7418" max="7418" width="12.28515625" style="4" bestFit="1" customWidth="1"/>
    <col min="7419" max="7419" width="12.85546875" style="4" bestFit="1" customWidth="1"/>
    <col min="7420" max="7420" width="10.28515625" style="4" bestFit="1" customWidth="1"/>
    <col min="7421" max="7421" width="10.140625" style="4" bestFit="1" customWidth="1"/>
    <col min="7422" max="7426" width="10.28515625" style="4" bestFit="1" customWidth="1"/>
    <col min="7427" max="7427" width="10.28515625" style="4" customWidth="1"/>
    <col min="7428" max="7429" width="10.140625" style="4" bestFit="1" customWidth="1"/>
    <col min="7430" max="7434" width="10.28515625" style="4" bestFit="1" customWidth="1"/>
    <col min="7435" max="7435" width="14" style="4" bestFit="1" customWidth="1"/>
    <col min="7436" max="7436" width="10.42578125" style="4" bestFit="1" customWidth="1"/>
    <col min="7437" max="7636" width="9.140625" style="4"/>
    <col min="7637" max="7637" width="4.140625" style="4" customWidth="1"/>
    <col min="7638" max="7638" width="24" style="4" customWidth="1"/>
    <col min="7639" max="7639" width="9" style="4" customWidth="1"/>
    <col min="7640" max="7640" width="11.42578125" style="4" customWidth="1"/>
    <col min="7641" max="7641" width="14.140625" style="4" customWidth="1"/>
    <col min="7642" max="7642" width="14" style="4" customWidth="1"/>
    <col min="7643" max="7643" width="13.85546875" style="4" customWidth="1"/>
    <col min="7644" max="7644" width="14.140625" style="4" customWidth="1"/>
    <col min="7645" max="7645" width="13.140625" style="4" bestFit="1" customWidth="1"/>
    <col min="7646" max="7673" width="0" style="4" hidden="1" customWidth="1"/>
    <col min="7674" max="7674" width="12.28515625" style="4" bestFit="1" customWidth="1"/>
    <col min="7675" max="7675" width="12.85546875" style="4" bestFit="1" customWidth="1"/>
    <col min="7676" max="7676" width="10.28515625" style="4" bestFit="1" customWidth="1"/>
    <col min="7677" max="7677" width="10.140625" style="4" bestFit="1" customWidth="1"/>
    <col min="7678" max="7682" width="10.28515625" style="4" bestFit="1" customWidth="1"/>
    <col min="7683" max="7683" width="10.28515625" style="4" customWidth="1"/>
    <col min="7684" max="7685" width="10.140625" style="4" bestFit="1" customWidth="1"/>
    <col min="7686" max="7690" width="10.28515625" style="4" bestFit="1" customWidth="1"/>
    <col min="7691" max="7691" width="14" style="4" bestFit="1" customWidth="1"/>
    <col min="7692" max="7692" width="10.42578125" style="4" bestFit="1" customWidth="1"/>
    <col min="7693" max="7892" width="9.140625" style="4"/>
    <col min="7893" max="7893" width="4.140625" style="4" customWidth="1"/>
    <col min="7894" max="7894" width="24" style="4" customWidth="1"/>
    <col min="7895" max="7895" width="9" style="4" customWidth="1"/>
    <col min="7896" max="7896" width="11.42578125" style="4" customWidth="1"/>
    <col min="7897" max="7897" width="14.140625" style="4" customWidth="1"/>
    <col min="7898" max="7898" width="14" style="4" customWidth="1"/>
    <col min="7899" max="7899" width="13.85546875" style="4" customWidth="1"/>
    <col min="7900" max="7900" width="14.140625" style="4" customWidth="1"/>
    <col min="7901" max="7901" width="13.140625" style="4" bestFit="1" customWidth="1"/>
    <col min="7902" max="7929" width="0" style="4" hidden="1" customWidth="1"/>
    <col min="7930" max="7930" width="12.28515625" style="4" bestFit="1" customWidth="1"/>
    <col min="7931" max="7931" width="12.85546875" style="4" bestFit="1" customWidth="1"/>
    <col min="7932" max="7932" width="10.28515625" style="4" bestFit="1" customWidth="1"/>
    <col min="7933" max="7933" width="10.140625" style="4" bestFit="1" customWidth="1"/>
    <col min="7934" max="7938" width="10.28515625" style="4" bestFit="1" customWidth="1"/>
    <col min="7939" max="7939" width="10.28515625" style="4" customWidth="1"/>
    <col min="7940" max="7941" width="10.140625" style="4" bestFit="1" customWidth="1"/>
    <col min="7942" max="7946" width="10.28515625" style="4" bestFit="1" customWidth="1"/>
    <col min="7947" max="7947" width="14" style="4" bestFit="1" customWidth="1"/>
    <col min="7948" max="7948" width="10.42578125" style="4" bestFit="1" customWidth="1"/>
    <col min="7949" max="8148" width="9.140625" style="4"/>
    <col min="8149" max="8149" width="4.140625" style="4" customWidth="1"/>
    <col min="8150" max="8150" width="24" style="4" customWidth="1"/>
    <col min="8151" max="8151" width="9" style="4" customWidth="1"/>
    <col min="8152" max="8152" width="11.42578125" style="4" customWidth="1"/>
    <col min="8153" max="8153" width="14.140625" style="4" customWidth="1"/>
    <col min="8154" max="8154" width="14" style="4" customWidth="1"/>
    <col min="8155" max="8155" width="13.85546875" style="4" customWidth="1"/>
    <col min="8156" max="8156" width="14.140625" style="4" customWidth="1"/>
    <col min="8157" max="8157" width="13.140625" style="4" bestFit="1" customWidth="1"/>
    <col min="8158" max="8185" width="0" style="4" hidden="1" customWidth="1"/>
    <col min="8186" max="8186" width="12.28515625" style="4" bestFit="1" customWidth="1"/>
    <col min="8187" max="8187" width="12.85546875" style="4" bestFit="1" customWidth="1"/>
    <col min="8188" max="8188" width="10.28515625" style="4" bestFit="1" customWidth="1"/>
    <col min="8189" max="8189" width="10.140625" style="4" bestFit="1" customWidth="1"/>
    <col min="8190" max="8194" width="10.28515625" style="4" bestFit="1" customWidth="1"/>
    <col min="8195" max="8195" width="10.28515625" style="4" customWidth="1"/>
    <col min="8196" max="8197" width="10.140625" style="4" bestFit="1" customWidth="1"/>
    <col min="8198" max="8202" width="10.28515625" style="4" bestFit="1" customWidth="1"/>
    <col min="8203" max="8203" width="14" style="4" bestFit="1" customWidth="1"/>
    <col min="8204" max="8204" width="10.42578125" style="4" bestFit="1" customWidth="1"/>
    <col min="8205" max="8404" width="9.140625" style="4"/>
    <col min="8405" max="8405" width="4.140625" style="4" customWidth="1"/>
    <col min="8406" max="8406" width="24" style="4" customWidth="1"/>
    <col min="8407" max="8407" width="9" style="4" customWidth="1"/>
    <col min="8408" max="8408" width="11.42578125" style="4" customWidth="1"/>
    <col min="8409" max="8409" width="14.140625" style="4" customWidth="1"/>
    <col min="8410" max="8410" width="14" style="4" customWidth="1"/>
    <col min="8411" max="8411" width="13.85546875" style="4" customWidth="1"/>
    <col min="8412" max="8412" width="14.140625" style="4" customWidth="1"/>
    <col min="8413" max="8413" width="13.140625" style="4" bestFit="1" customWidth="1"/>
    <col min="8414" max="8441" width="0" style="4" hidden="1" customWidth="1"/>
    <col min="8442" max="8442" width="12.28515625" style="4" bestFit="1" customWidth="1"/>
    <col min="8443" max="8443" width="12.85546875" style="4" bestFit="1" customWidth="1"/>
    <col min="8444" max="8444" width="10.28515625" style="4" bestFit="1" customWidth="1"/>
    <col min="8445" max="8445" width="10.140625" style="4" bestFit="1" customWidth="1"/>
    <col min="8446" max="8450" width="10.28515625" style="4" bestFit="1" customWidth="1"/>
    <col min="8451" max="8451" width="10.28515625" style="4" customWidth="1"/>
    <col min="8452" max="8453" width="10.140625" style="4" bestFit="1" customWidth="1"/>
    <col min="8454" max="8458" width="10.28515625" style="4" bestFit="1" customWidth="1"/>
    <col min="8459" max="8459" width="14" style="4" bestFit="1" customWidth="1"/>
    <col min="8460" max="8460" width="10.42578125" style="4" bestFit="1" customWidth="1"/>
    <col min="8461" max="8660" width="9.140625" style="4"/>
    <col min="8661" max="8661" width="4.140625" style="4" customWidth="1"/>
    <col min="8662" max="8662" width="24" style="4" customWidth="1"/>
    <col min="8663" max="8663" width="9" style="4" customWidth="1"/>
    <col min="8664" max="8664" width="11.42578125" style="4" customWidth="1"/>
    <col min="8665" max="8665" width="14.140625" style="4" customWidth="1"/>
    <col min="8666" max="8666" width="14" style="4" customWidth="1"/>
    <col min="8667" max="8667" width="13.85546875" style="4" customWidth="1"/>
    <col min="8668" max="8668" width="14.140625" style="4" customWidth="1"/>
    <col min="8669" max="8669" width="13.140625" style="4" bestFit="1" customWidth="1"/>
    <col min="8670" max="8697" width="0" style="4" hidden="1" customWidth="1"/>
    <col min="8698" max="8698" width="12.28515625" style="4" bestFit="1" customWidth="1"/>
    <col min="8699" max="8699" width="12.85546875" style="4" bestFit="1" customWidth="1"/>
    <col min="8700" max="8700" width="10.28515625" style="4" bestFit="1" customWidth="1"/>
    <col min="8701" max="8701" width="10.140625" style="4" bestFit="1" customWidth="1"/>
    <col min="8702" max="8706" width="10.28515625" style="4" bestFit="1" customWidth="1"/>
    <col min="8707" max="8707" width="10.28515625" style="4" customWidth="1"/>
    <col min="8708" max="8709" width="10.140625" style="4" bestFit="1" customWidth="1"/>
    <col min="8710" max="8714" width="10.28515625" style="4" bestFit="1" customWidth="1"/>
    <col min="8715" max="8715" width="14" style="4" bestFit="1" customWidth="1"/>
    <col min="8716" max="8716" width="10.42578125" style="4" bestFit="1" customWidth="1"/>
    <col min="8717" max="8916" width="9.140625" style="4"/>
    <col min="8917" max="8917" width="4.140625" style="4" customWidth="1"/>
    <col min="8918" max="8918" width="24" style="4" customWidth="1"/>
    <col min="8919" max="8919" width="9" style="4" customWidth="1"/>
    <col min="8920" max="8920" width="11.42578125" style="4" customWidth="1"/>
    <col min="8921" max="8921" width="14.140625" style="4" customWidth="1"/>
    <col min="8922" max="8922" width="14" style="4" customWidth="1"/>
    <col min="8923" max="8923" width="13.85546875" style="4" customWidth="1"/>
    <col min="8924" max="8924" width="14.140625" style="4" customWidth="1"/>
    <col min="8925" max="8925" width="13.140625" style="4" bestFit="1" customWidth="1"/>
    <col min="8926" max="8953" width="0" style="4" hidden="1" customWidth="1"/>
    <col min="8954" max="8954" width="12.28515625" style="4" bestFit="1" customWidth="1"/>
    <col min="8955" max="8955" width="12.85546875" style="4" bestFit="1" customWidth="1"/>
    <col min="8956" max="8956" width="10.28515625" style="4" bestFit="1" customWidth="1"/>
    <col min="8957" max="8957" width="10.140625" style="4" bestFit="1" customWidth="1"/>
    <col min="8958" max="8962" width="10.28515625" style="4" bestFit="1" customWidth="1"/>
    <col min="8963" max="8963" width="10.28515625" style="4" customWidth="1"/>
    <col min="8964" max="8965" width="10.140625" style="4" bestFit="1" customWidth="1"/>
    <col min="8966" max="8970" width="10.28515625" style="4" bestFit="1" customWidth="1"/>
    <col min="8971" max="8971" width="14" style="4" bestFit="1" customWidth="1"/>
    <col min="8972" max="8972" width="10.42578125" style="4" bestFit="1" customWidth="1"/>
    <col min="8973" max="9172" width="9.140625" style="4"/>
    <col min="9173" max="9173" width="4.140625" style="4" customWidth="1"/>
    <col min="9174" max="9174" width="24" style="4" customWidth="1"/>
    <col min="9175" max="9175" width="9" style="4" customWidth="1"/>
    <col min="9176" max="9176" width="11.42578125" style="4" customWidth="1"/>
    <col min="9177" max="9177" width="14.140625" style="4" customWidth="1"/>
    <col min="9178" max="9178" width="14" style="4" customWidth="1"/>
    <col min="9179" max="9179" width="13.85546875" style="4" customWidth="1"/>
    <col min="9180" max="9180" width="14.140625" style="4" customWidth="1"/>
    <col min="9181" max="9181" width="13.140625" style="4" bestFit="1" customWidth="1"/>
    <col min="9182" max="9209" width="0" style="4" hidden="1" customWidth="1"/>
    <col min="9210" max="9210" width="12.28515625" style="4" bestFit="1" customWidth="1"/>
    <col min="9211" max="9211" width="12.85546875" style="4" bestFit="1" customWidth="1"/>
    <col min="9212" max="9212" width="10.28515625" style="4" bestFit="1" customWidth="1"/>
    <col min="9213" max="9213" width="10.140625" style="4" bestFit="1" customWidth="1"/>
    <col min="9214" max="9218" width="10.28515625" style="4" bestFit="1" customWidth="1"/>
    <col min="9219" max="9219" width="10.28515625" style="4" customWidth="1"/>
    <col min="9220" max="9221" width="10.140625" style="4" bestFit="1" customWidth="1"/>
    <col min="9222" max="9226" width="10.28515625" style="4" bestFit="1" customWidth="1"/>
    <col min="9227" max="9227" width="14" style="4" bestFit="1" customWidth="1"/>
    <col min="9228" max="9228" width="10.42578125" style="4" bestFit="1" customWidth="1"/>
    <col min="9229" max="9428" width="9.140625" style="4"/>
    <col min="9429" max="9429" width="4.140625" style="4" customWidth="1"/>
    <col min="9430" max="9430" width="24" style="4" customWidth="1"/>
    <col min="9431" max="9431" width="9" style="4" customWidth="1"/>
    <col min="9432" max="9432" width="11.42578125" style="4" customWidth="1"/>
    <col min="9433" max="9433" width="14.140625" style="4" customWidth="1"/>
    <col min="9434" max="9434" width="14" style="4" customWidth="1"/>
    <col min="9435" max="9435" width="13.85546875" style="4" customWidth="1"/>
    <col min="9436" max="9436" width="14.140625" style="4" customWidth="1"/>
    <col min="9437" max="9437" width="13.140625" style="4" bestFit="1" customWidth="1"/>
    <col min="9438" max="9465" width="0" style="4" hidden="1" customWidth="1"/>
    <col min="9466" max="9466" width="12.28515625" style="4" bestFit="1" customWidth="1"/>
    <col min="9467" max="9467" width="12.85546875" style="4" bestFit="1" customWidth="1"/>
    <col min="9468" max="9468" width="10.28515625" style="4" bestFit="1" customWidth="1"/>
    <col min="9469" max="9469" width="10.140625" style="4" bestFit="1" customWidth="1"/>
    <col min="9470" max="9474" width="10.28515625" style="4" bestFit="1" customWidth="1"/>
    <col min="9475" max="9475" width="10.28515625" style="4" customWidth="1"/>
    <col min="9476" max="9477" width="10.140625" style="4" bestFit="1" customWidth="1"/>
    <col min="9478" max="9482" width="10.28515625" style="4" bestFit="1" customWidth="1"/>
    <col min="9483" max="9483" width="14" style="4" bestFit="1" customWidth="1"/>
    <col min="9484" max="9484" width="10.42578125" style="4" bestFit="1" customWidth="1"/>
    <col min="9485" max="9684" width="9.140625" style="4"/>
    <col min="9685" max="9685" width="4.140625" style="4" customWidth="1"/>
    <col min="9686" max="9686" width="24" style="4" customWidth="1"/>
    <col min="9687" max="9687" width="9" style="4" customWidth="1"/>
    <col min="9688" max="9688" width="11.42578125" style="4" customWidth="1"/>
    <col min="9689" max="9689" width="14.140625" style="4" customWidth="1"/>
    <col min="9690" max="9690" width="14" style="4" customWidth="1"/>
    <col min="9691" max="9691" width="13.85546875" style="4" customWidth="1"/>
    <col min="9692" max="9692" width="14.140625" style="4" customWidth="1"/>
    <col min="9693" max="9693" width="13.140625" style="4" bestFit="1" customWidth="1"/>
    <col min="9694" max="9721" width="0" style="4" hidden="1" customWidth="1"/>
    <col min="9722" max="9722" width="12.28515625" style="4" bestFit="1" customWidth="1"/>
    <col min="9723" max="9723" width="12.85546875" style="4" bestFit="1" customWidth="1"/>
    <col min="9724" max="9724" width="10.28515625" style="4" bestFit="1" customWidth="1"/>
    <col min="9725" max="9725" width="10.140625" style="4" bestFit="1" customWidth="1"/>
    <col min="9726" max="9730" width="10.28515625" style="4" bestFit="1" customWidth="1"/>
    <col min="9731" max="9731" width="10.28515625" style="4" customWidth="1"/>
    <col min="9732" max="9733" width="10.140625" style="4" bestFit="1" customWidth="1"/>
    <col min="9734" max="9738" width="10.28515625" style="4" bestFit="1" customWidth="1"/>
    <col min="9739" max="9739" width="14" style="4" bestFit="1" customWidth="1"/>
    <col min="9740" max="9740" width="10.42578125" style="4" bestFit="1" customWidth="1"/>
    <col min="9741" max="9940" width="9.140625" style="4"/>
    <col min="9941" max="9941" width="4.140625" style="4" customWidth="1"/>
    <col min="9942" max="9942" width="24" style="4" customWidth="1"/>
    <col min="9943" max="9943" width="9" style="4" customWidth="1"/>
    <col min="9944" max="9944" width="11.42578125" style="4" customWidth="1"/>
    <col min="9945" max="9945" width="14.140625" style="4" customWidth="1"/>
    <col min="9946" max="9946" width="14" style="4" customWidth="1"/>
    <col min="9947" max="9947" width="13.85546875" style="4" customWidth="1"/>
    <col min="9948" max="9948" width="14.140625" style="4" customWidth="1"/>
    <col min="9949" max="9949" width="13.140625" style="4" bestFit="1" customWidth="1"/>
    <col min="9950" max="9977" width="0" style="4" hidden="1" customWidth="1"/>
    <col min="9978" max="9978" width="12.28515625" style="4" bestFit="1" customWidth="1"/>
    <col min="9979" max="9979" width="12.85546875" style="4" bestFit="1" customWidth="1"/>
    <col min="9980" max="9980" width="10.28515625" style="4" bestFit="1" customWidth="1"/>
    <col min="9981" max="9981" width="10.140625" style="4" bestFit="1" customWidth="1"/>
    <col min="9982" max="9986" width="10.28515625" style="4" bestFit="1" customWidth="1"/>
    <col min="9987" max="9987" width="10.28515625" style="4" customWidth="1"/>
    <col min="9988" max="9989" width="10.140625" style="4" bestFit="1" customWidth="1"/>
    <col min="9990" max="9994" width="10.28515625" style="4" bestFit="1" customWidth="1"/>
    <col min="9995" max="9995" width="14" style="4" bestFit="1" customWidth="1"/>
    <col min="9996" max="9996" width="10.42578125" style="4" bestFit="1" customWidth="1"/>
    <col min="9997" max="10196" width="9.140625" style="4"/>
    <col min="10197" max="10197" width="4.140625" style="4" customWidth="1"/>
    <col min="10198" max="10198" width="24" style="4" customWidth="1"/>
    <col min="10199" max="10199" width="9" style="4" customWidth="1"/>
    <col min="10200" max="10200" width="11.42578125" style="4" customWidth="1"/>
    <col min="10201" max="10201" width="14.140625" style="4" customWidth="1"/>
    <col min="10202" max="10202" width="14" style="4" customWidth="1"/>
    <col min="10203" max="10203" width="13.85546875" style="4" customWidth="1"/>
    <col min="10204" max="10204" width="14.140625" style="4" customWidth="1"/>
    <col min="10205" max="10205" width="13.140625" style="4" bestFit="1" customWidth="1"/>
    <col min="10206" max="10233" width="0" style="4" hidden="1" customWidth="1"/>
    <col min="10234" max="10234" width="12.28515625" style="4" bestFit="1" customWidth="1"/>
    <col min="10235" max="10235" width="12.85546875" style="4" bestFit="1" customWidth="1"/>
    <col min="10236" max="10236" width="10.28515625" style="4" bestFit="1" customWidth="1"/>
    <col min="10237" max="10237" width="10.140625" style="4" bestFit="1" customWidth="1"/>
    <col min="10238" max="10242" width="10.28515625" style="4" bestFit="1" customWidth="1"/>
    <col min="10243" max="10243" width="10.28515625" style="4" customWidth="1"/>
    <col min="10244" max="10245" width="10.140625" style="4" bestFit="1" customWidth="1"/>
    <col min="10246" max="10250" width="10.28515625" style="4" bestFit="1" customWidth="1"/>
    <col min="10251" max="10251" width="14" style="4" bestFit="1" customWidth="1"/>
    <col min="10252" max="10252" width="10.42578125" style="4" bestFit="1" customWidth="1"/>
    <col min="10253" max="10452" width="9.140625" style="4"/>
    <col min="10453" max="10453" width="4.140625" style="4" customWidth="1"/>
    <col min="10454" max="10454" width="24" style="4" customWidth="1"/>
    <col min="10455" max="10455" width="9" style="4" customWidth="1"/>
    <col min="10456" max="10456" width="11.42578125" style="4" customWidth="1"/>
    <col min="10457" max="10457" width="14.140625" style="4" customWidth="1"/>
    <col min="10458" max="10458" width="14" style="4" customWidth="1"/>
    <col min="10459" max="10459" width="13.85546875" style="4" customWidth="1"/>
    <col min="10460" max="10460" width="14.140625" style="4" customWidth="1"/>
    <col min="10461" max="10461" width="13.140625" style="4" bestFit="1" customWidth="1"/>
    <col min="10462" max="10489" width="0" style="4" hidden="1" customWidth="1"/>
    <col min="10490" max="10490" width="12.28515625" style="4" bestFit="1" customWidth="1"/>
    <col min="10491" max="10491" width="12.85546875" style="4" bestFit="1" customWidth="1"/>
    <col min="10492" max="10492" width="10.28515625" style="4" bestFit="1" customWidth="1"/>
    <col min="10493" max="10493" width="10.140625" style="4" bestFit="1" customWidth="1"/>
    <col min="10494" max="10498" width="10.28515625" style="4" bestFit="1" customWidth="1"/>
    <col min="10499" max="10499" width="10.28515625" style="4" customWidth="1"/>
    <col min="10500" max="10501" width="10.140625" style="4" bestFit="1" customWidth="1"/>
    <col min="10502" max="10506" width="10.28515625" style="4" bestFit="1" customWidth="1"/>
    <col min="10507" max="10507" width="14" style="4" bestFit="1" customWidth="1"/>
    <col min="10508" max="10508" width="10.42578125" style="4" bestFit="1" customWidth="1"/>
    <col min="10509" max="10708" width="9.140625" style="4"/>
    <col min="10709" max="10709" width="4.140625" style="4" customWidth="1"/>
    <col min="10710" max="10710" width="24" style="4" customWidth="1"/>
    <col min="10711" max="10711" width="9" style="4" customWidth="1"/>
    <col min="10712" max="10712" width="11.42578125" style="4" customWidth="1"/>
    <col min="10713" max="10713" width="14.140625" style="4" customWidth="1"/>
    <col min="10714" max="10714" width="14" style="4" customWidth="1"/>
    <col min="10715" max="10715" width="13.85546875" style="4" customWidth="1"/>
    <col min="10716" max="10716" width="14.140625" style="4" customWidth="1"/>
    <col min="10717" max="10717" width="13.140625" style="4" bestFit="1" customWidth="1"/>
    <col min="10718" max="10745" width="0" style="4" hidden="1" customWidth="1"/>
    <col min="10746" max="10746" width="12.28515625" style="4" bestFit="1" customWidth="1"/>
    <col min="10747" max="10747" width="12.85546875" style="4" bestFit="1" customWidth="1"/>
    <col min="10748" max="10748" width="10.28515625" style="4" bestFit="1" customWidth="1"/>
    <col min="10749" max="10749" width="10.140625" style="4" bestFit="1" customWidth="1"/>
    <col min="10750" max="10754" width="10.28515625" style="4" bestFit="1" customWidth="1"/>
    <col min="10755" max="10755" width="10.28515625" style="4" customWidth="1"/>
    <col min="10756" max="10757" width="10.140625" style="4" bestFit="1" customWidth="1"/>
    <col min="10758" max="10762" width="10.28515625" style="4" bestFit="1" customWidth="1"/>
    <col min="10763" max="10763" width="14" style="4" bestFit="1" customWidth="1"/>
    <col min="10764" max="10764" width="10.42578125" style="4" bestFit="1" customWidth="1"/>
    <col min="10765" max="10964" width="9.140625" style="4"/>
    <col min="10965" max="10965" width="4.140625" style="4" customWidth="1"/>
    <col min="10966" max="10966" width="24" style="4" customWidth="1"/>
    <col min="10967" max="10967" width="9" style="4" customWidth="1"/>
    <col min="10968" max="10968" width="11.42578125" style="4" customWidth="1"/>
    <col min="10969" max="10969" width="14.140625" style="4" customWidth="1"/>
    <col min="10970" max="10970" width="14" style="4" customWidth="1"/>
    <col min="10971" max="10971" width="13.85546875" style="4" customWidth="1"/>
    <col min="10972" max="10972" width="14.140625" style="4" customWidth="1"/>
    <col min="10973" max="10973" width="13.140625" style="4" bestFit="1" customWidth="1"/>
    <col min="10974" max="11001" width="0" style="4" hidden="1" customWidth="1"/>
    <col min="11002" max="11002" width="12.28515625" style="4" bestFit="1" customWidth="1"/>
    <col min="11003" max="11003" width="12.85546875" style="4" bestFit="1" customWidth="1"/>
    <col min="11004" max="11004" width="10.28515625" style="4" bestFit="1" customWidth="1"/>
    <col min="11005" max="11005" width="10.140625" style="4" bestFit="1" customWidth="1"/>
    <col min="11006" max="11010" width="10.28515625" style="4" bestFit="1" customWidth="1"/>
    <col min="11011" max="11011" width="10.28515625" style="4" customWidth="1"/>
    <col min="11012" max="11013" width="10.140625" style="4" bestFit="1" customWidth="1"/>
    <col min="11014" max="11018" width="10.28515625" style="4" bestFit="1" customWidth="1"/>
    <col min="11019" max="11019" width="14" style="4" bestFit="1" customWidth="1"/>
    <col min="11020" max="11020" width="10.42578125" style="4" bestFit="1" customWidth="1"/>
    <col min="11021" max="11220" width="9.140625" style="4"/>
    <col min="11221" max="11221" width="4.140625" style="4" customWidth="1"/>
    <col min="11222" max="11222" width="24" style="4" customWidth="1"/>
    <col min="11223" max="11223" width="9" style="4" customWidth="1"/>
    <col min="11224" max="11224" width="11.42578125" style="4" customWidth="1"/>
    <col min="11225" max="11225" width="14.140625" style="4" customWidth="1"/>
    <col min="11226" max="11226" width="14" style="4" customWidth="1"/>
    <col min="11227" max="11227" width="13.85546875" style="4" customWidth="1"/>
    <col min="11228" max="11228" width="14.140625" style="4" customWidth="1"/>
    <col min="11229" max="11229" width="13.140625" style="4" bestFit="1" customWidth="1"/>
    <col min="11230" max="11257" width="0" style="4" hidden="1" customWidth="1"/>
    <col min="11258" max="11258" width="12.28515625" style="4" bestFit="1" customWidth="1"/>
    <col min="11259" max="11259" width="12.85546875" style="4" bestFit="1" customWidth="1"/>
    <col min="11260" max="11260" width="10.28515625" style="4" bestFit="1" customWidth="1"/>
    <col min="11261" max="11261" width="10.140625" style="4" bestFit="1" customWidth="1"/>
    <col min="11262" max="11266" width="10.28515625" style="4" bestFit="1" customWidth="1"/>
    <col min="11267" max="11267" width="10.28515625" style="4" customWidth="1"/>
    <col min="11268" max="11269" width="10.140625" style="4" bestFit="1" customWidth="1"/>
    <col min="11270" max="11274" width="10.28515625" style="4" bestFit="1" customWidth="1"/>
    <col min="11275" max="11275" width="14" style="4" bestFit="1" customWidth="1"/>
    <col min="11276" max="11276" width="10.42578125" style="4" bestFit="1" customWidth="1"/>
    <col min="11277" max="11476" width="9.140625" style="4"/>
    <col min="11477" max="11477" width="4.140625" style="4" customWidth="1"/>
    <col min="11478" max="11478" width="24" style="4" customWidth="1"/>
    <col min="11479" max="11479" width="9" style="4" customWidth="1"/>
    <col min="11480" max="11480" width="11.42578125" style="4" customWidth="1"/>
    <col min="11481" max="11481" width="14.140625" style="4" customWidth="1"/>
    <col min="11482" max="11482" width="14" style="4" customWidth="1"/>
    <col min="11483" max="11483" width="13.85546875" style="4" customWidth="1"/>
    <col min="11484" max="11484" width="14.140625" style="4" customWidth="1"/>
    <col min="11485" max="11485" width="13.140625" style="4" bestFit="1" customWidth="1"/>
    <col min="11486" max="11513" width="0" style="4" hidden="1" customWidth="1"/>
    <col min="11514" max="11514" width="12.28515625" style="4" bestFit="1" customWidth="1"/>
    <col min="11515" max="11515" width="12.85546875" style="4" bestFit="1" customWidth="1"/>
    <col min="11516" max="11516" width="10.28515625" style="4" bestFit="1" customWidth="1"/>
    <col min="11517" max="11517" width="10.140625" style="4" bestFit="1" customWidth="1"/>
    <col min="11518" max="11522" width="10.28515625" style="4" bestFit="1" customWidth="1"/>
    <col min="11523" max="11523" width="10.28515625" style="4" customWidth="1"/>
    <col min="11524" max="11525" width="10.140625" style="4" bestFit="1" customWidth="1"/>
    <col min="11526" max="11530" width="10.28515625" style="4" bestFit="1" customWidth="1"/>
    <col min="11531" max="11531" width="14" style="4" bestFit="1" customWidth="1"/>
    <col min="11532" max="11532" width="10.42578125" style="4" bestFit="1" customWidth="1"/>
    <col min="11533" max="11732" width="9.140625" style="4"/>
    <col min="11733" max="11733" width="4.140625" style="4" customWidth="1"/>
    <col min="11734" max="11734" width="24" style="4" customWidth="1"/>
    <col min="11735" max="11735" width="9" style="4" customWidth="1"/>
    <col min="11736" max="11736" width="11.42578125" style="4" customWidth="1"/>
    <col min="11737" max="11737" width="14.140625" style="4" customWidth="1"/>
    <col min="11738" max="11738" width="14" style="4" customWidth="1"/>
    <col min="11739" max="11739" width="13.85546875" style="4" customWidth="1"/>
    <col min="11740" max="11740" width="14.140625" style="4" customWidth="1"/>
    <col min="11741" max="11741" width="13.140625" style="4" bestFit="1" customWidth="1"/>
    <col min="11742" max="11769" width="0" style="4" hidden="1" customWidth="1"/>
    <col min="11770" max="11770" width="12.28515625" style="4" bestFit="1" customWidth="1"/>
    <col min="11771" max="11771" width="12.85546875" style="4" bestFit="1" customWidth="1"/>
    <col min="11772" max="11772" width="10.28515625" style="4" bestFit="1" customWidth="1"/>
    <col min="11773" max="11773" width="10.140625" style="4" bestFit="1" customWidth="1"/>
    <col min="11774" max="11778" width="10.28515625" style="4" bestFit="1" customWidth="1"/>
    <col min="11779" max="11779" width="10.28515625" style="4" customWidth="1"/>
    <col min="11780" max="11781" width="10.140625" style="4" bestFit="1" customWidth="1"/>
    <col min="11782" max="11786" width="10.28515625" style="4" bestFit="1" customWidth="1"/>
    <col min="11787" max="11787" width="14" style="4" bestFit="1" customWidth="1"/>
    <col min="11788" max="11788" width="10.42578125" style="4" bestFit="1" customWidth="1"/>
    <col min="11789" max="11988" width="9.140625" style="4"/>
    <col min="11989" max="11989" width="4.140625" style="4" customWidth="1"/>
    <col min="11990" max="11990" width="24" style="4" customWidth="1"/>
    <col min="11991" max="11991" width="9" style="4" customWidth="1"/>
    <col min="11992" max="11992" width="11.42578125" style="4" customWidth="1"/>
    <col min="11993" max="11993" width="14.140625" style="4" customWidth="1"/>
    <col min="11994" max="11994" width="14" style="4" customWidth="1"/>
    <col min="11995" max="11995" width="13.85546875" style="4" customWidth="1"/>
    <col min="11996" max="11996" width="14.140625" style="4" customWidth="1"/>
    <col min="11997" max="11997" width="13.140625" style="4" bestFit="1" customWidth="1"/>
    <col min="11998" max="12025" width="0" style="4" hidden="1" customWidth="1"/>
    <col min="12026" max="12026" width="12.28515625" style="4" bestFit="1" customWidth="1"/>
    <col min="12027" max="12027" width="12.85546875" style="4" bestFit="1" customWidth="1"/>
    <col min="12028" max="12028" width="10.28515625" style="4" bestFit="1" customWidth="1"/>
    <col min="12029" max="12029" width="10.140625" style="4" bestFit="1" customWidth="1"/>
    <col min="12030" max="12034" width="10.28515625" style="4" bestFit="1" customWidth="1"/>
    <col min="12035" max="12035" width="10.28515625" style="4" customWidth="1"/>
    <col min="12036" max="12037" width="10.140625" style="4" bestFit="1" customWidth="1"/>
    <col min="12038" max="12042" width="10.28515625" style="4" bestFit="1" customWidth="1"/>
    <col min="12043" max="12043" width="14" style="4" bestFit="1" customWidth="1"/>
    <col min="12044" max="12044" width="10.42578125" style="4" bestFit="1" customWidth="1"/>
    <col min="12045" max="12244" width="9.140625" style="4"/>
    <col min="12245" max="12245" width="4.140625" style="4" customWidth="1"/>
    <col min="12246" max="12246" width="24" style="4" customWidth="1"/>
    <col min="12247" max="12247" width="9" style="4" customWidth="1"/>
    <col min="12248" max="12248" width="11.42578125" style="4" customWidth="1"/>
    <col min="12249" max="12249" width="14.140625" style="4" customWidth="1"/>
    <col min="12250" max="12250" width="14" style="4" customWidth="1"/>
    <col min="12251" max="12251" width="13.85546875" style="4" customWidth="1"/>
    <col min="12252" max="12252" width="14.140625" style="4" customWidth="1"/>
    <col min="12253" max="12253" width="13.140625" style="4" bestFit="1" customWidth="1"/>
    <col min="12254" max="12281" width="0" style="4" hidden="1" customWidth="1"/>
    <col min="12282" max="12282" width="12.28515625" style="4" bestFit="1" customWidth="1"/>
    <col min="12283" max="12283" width="12.85546875" style="4" bestFit="1" customWidth="1"/>
    <col min="12284" max="12284" width="10.28515625" style="4" bestFit="1" customWidth="1"/>
    <col min="12285" max="12285" width="10.140625" style="4" bestFit="1" customWidth="1"/>
    <col min="12286" max="12290" width="10.28515625" style="4" bestFit="1" customWidth="1"/>
    <col min="12291" max="12291" width="10.28515625" style="4" customWidth="1"/>
    <col min="12292" max="12293" width="10.140625" style="4" bestFit="1" customWidth="1"/>
    <col min="12294" max="12298" width="10.28515625" style="4" bestFit="1" customWidth="1"/>
    <col min="12299" max="12299" width="14" style="4" bestFit="1" customWidth="1"/>
    <col min="12300" max="12300" width="10.42578125" style="4" bestFit="1" customWidth="1"/>
    <col min="12301" max="12500" width="9.140625" style="4"/>
    <col min="12501" max="12501" width="4.140625" style="4" customWidth="1"/>
    <col min="12502" max="12502" width="24" style="4" customWidth="1"/>
    <col min="12503" max="12503" width="9" style="4" customWidth="1"/>
    <col min="12504" max="12504" width="11.42578125" style="4" customWidth="1"/>
    <col min="12505" max="12505" width="14.140625" style="4" customWidth="1"/>
    <col min="12506" max="12506" width="14" style="4" customWidth="1"/>
    <col min="12507" max="12507" width="13.85546875" style="4" customWidth="1"/>
    <col min="12508" max="12508" width="14.140625" style="4" customWidth="1"/>
    <col min="12509" max="12509" width="13.140625" style="4" bestFit="1" customWidth="1"/>
    <col min="12510" max="12537" width="0" style="4" hidden="1" customWidth="1"/>
    <col min="12538" max="12538" width="12.28515625" style="4" bestFit="1" customWidth="1"/>
    <col min="12539" max="12539" width="12.85546875" style="4" bestFit="1" customWidth="1"/>
    <col min="12540" max="12540" width="10.28515625" style="4" bestFit="1" customWidth="1"/>
    <col min="12541" max="12541" width="10.140625" style="4" bestFit="1" customWidth="1"/>
    <col min="12542" max="12546" width="10.28515625" style="4" bestFit="1" customWidth="1"/>
    <col min="12547" max="12547" width="10.28515625" style="4" customWidth="1"/>
    <col min="12548" max="12549" width="10.140625" style="4" bestFit="1" customWidth="1"/>
    <col min="12550" max="12554" width="10.28515625" style="4" bestFit="1" customWidth="1"/>
    <col min="12555" max="12555" width="14" style="4" bestFit="1" customWidth="1"/>
    <col min="12556" max="12556" width="10.42578125" style="4" bestFit="1" customWidth="1"/>
    <col min="12557" max="12756" width="9.140625" style="4"/>
    <col min="12757" max="12757" width="4.140625" style="4" customWidth="1"/>
    <col min="12758" max="12758" width="24" style="4" customWidth="1"/>
    <col min="12759" max="12759" width="9" style="4" customWidth="1"/>
    <col min="12760" max="12760" width="11.42578125" style="4" customWidth="1"/>
    <col min="12761" max="12761" width="14.140625" style="4" customWidth="1"/>
    <col min="12762" max="12762" width="14" style="4" customWidth="1"/>
    <col min="12763" max="12763" width="13.85546875" style="4" customWidth="1"/>
    <col min="12764" max="12764" width="14.140625" style="4" customWidth="1"/>
    <col min="12765" max="12765" width="13.140625" style="4" bestFit="1" customWidth="1"/>
    <col min="12766" max="12793" width="0" style="4" hidden="1" customWidth="1"/>
    <col min="12794" max="12794" width="12.28515625" style="4" bestFit="1" customWidth="1"/>
    <col min="12795" max="12795" width="12.85546875" style="4" bestFit="1" customWidth="1"/>
    <col min="12796" max="12796" width="10.28515625" style="4" bestFit="1" customWidth="1"/>
    <col min="12797" max="12797" width="10.140625" style="4" bestFit="1" customWidth="1"/>
    <col min="12798" max="12802" width="10.28515625" style="4" bestFit="1" customWidth="1"/>
    <col min="12803" max="12803" width="10.28515625" style="4" customWidth="1"/>
    <col min="12804" max="12805" width="10.140625" style="4" bestFit="1" customWidth="1"/>
    <col min="12806" max="12810" width="10.28515625" style="4" bestFit="1" customWidth="1"/>
    <col min="12811" max="12811" width="14" style="4" bestFit="1" customWidth="1"/>
    <col min="12812" max="12812" width="10.42578125" style="4" bestFit="1" customWidth="1"/>
    <col min="12813" max="13012" width="9.140625" style="4"/>
    <col min="13013" max="13013" width="4.140625" style="4" customWidth="1"/>
    <col min="13014" max="13014" width="24" style="4" customWidth="1"/>
    <col min="13015" max="13015" width="9" style="4" customWidth="1"/>
    <col min="13016" max="13016" width="11.42578125" style="4" customWidth="1"/>
    <col min="13017" max="13017" width="14.140625" style="4" customWidth="1"/>
    <col min="13018" max="13018" width="14" style="4" customWidth="1"/>
    <col min="13019" max="13019" width="13.85546875" style="4" customWidth="1"/>
    <col min="13020" max="13020" width="14.140625" style="4" customWidth="1"/>
    <col min="13021" max="13021" width="13.140625" style="4" bestFit="1" customWidth="1"/>
    <col min="13022" max="13049" width="0" style="4" hidden="1" customWidth="1"/>
    <col min="13050" max="13050" width="12.28515625" style="4" bestFit="1" customWidth="1"/>
    <col min="13051" max="13051" width="12.85546875" style="4" bestFit="1" customWidth="1"/>
    <col min="13052" max="13052" width="10.28515625" style="4" bestFit="1" customWidth="1"/>
    <col min="13053" max="13053" width="10.140625" style="4" bestFit="1" customWidth="1"/>
    <col min="13054" max="13058" width="10.28515625" style="4" bestFit="1" customWidth="1"/>
    <col min="13059" max="13059" width="10.28515625" style="4" customWidth="1"/>
    <col min="13060" max="13061" width="10.140625" style="4" bestFit="1" customWidth="1"/>
    <col min="13062" max="13066" width="10.28515625" style="4" bestFit="1" customWidth="1"/>
    <col min="13067" max="13067" width="14" style="4" bestFit="1" customWidth="1"/>
    <col min="13068" max="13068" width="10.42578125" style="4" bestFit="1" customWidth="1"/>
    <col min="13069" max="13268" width="9.140625" style="4"/>
    <col min="13269" max="13269" width="4.140625" style="4" customWidth="1"/>
    <col min="13270" max="13270" width="24" style="4" customWidth="1"/>
    <col min="13271" max="13271" width="9" style="4" customWidth="1"/>
    <col min="13272" max="13272" width="11.42578125" style="4" customWidth="1"/>
    <col min="13273" max="13273" width="14.140625" style="4" customWidth="1"/>
    <col min="13274" max="13274" width="14" style="4" customWidth="1"/>
    <col min="13275" max="13275" width="13.85546875" style="4" customWidth="1"/>
    <col min="13276" max="13276" width="14.140625" style="4" customWidth="1"/>
    <col min="13277" max="13277" width="13.140625" style="4" bestFit="1" customWidth="1"/>
    <col min="13278" max="13305" width="0" style="4" hidden="1" customWidth="1"/>
    <col min="13306" max="13306" width="12.28515625" style="4" bestFit="1" customWidth="1"/>
    <col min="13307" max="13307" width="12.85546875" style="4" bestFit="1" customWidth="1"/>
    <col min="13308" max="13308" width="10.28515625" style="4" bestFit="1" customWidth="1"/>
    <col min="13309" max="13309" width="10.140625" style="4" bestFit="1" customWidth="1"/>
    <col min="13310" max="13314" width="10.28515625" style="4" bestFit="1" customWidth="1"/>
    <col min="13315" max="13315" width="10.28515625" style="4" customWidth="1"/>
    <col min="13316" max="13317" width="10.140625" style="4" bestFit="1" customWidth="1"/>
    <col min="13318" max="13322" width="10.28515625" style="4" bestFit="1" customWidth="1"/>
    <col min="13323" max="13323" width="14" style="4" bestFit="1" customWidth="1"/>
    <col min="13324" max="13324" width="10.42578125" style="4" bestFit="1" customWidth="1"/>
    <col min="13325" max="13524" width="9.140625" style="4"/>
    <col min="13525" max="13525" width="4.140625" style="4" customWidth="1"/>
    <col min="13526" max="13526" width="24" style="4" customWidth="1"/>
    <col min="13527" max="13527" width="9" style="4" customWidth="1"/>
    <col min="13528" max="13528" width="11.42578125" style="4" customWidth="1"/>
    <col min="13529" max="13529" width="14.140625" style="4" customWidth="1"/>
    <col min="13530" max="13530" width="14" style="4" customWidth="1"/>
    <col min="13531" max="13531" width="13.85546875" style="4" customWidth="1"/>
    <col min="13532" max="13532" width="14.140625" style="4" customWidth="1"/>
    <col min="13533" max="13533" width="13.140625" style="4" bestFit="1" customWidth="1"/>
    <col min="13534" max="13561" width="0" style="4" hidden="1" customWidth="1"/>
    <col min="13562" max="13562" width="12.28515625" style="4" bestFit="1" customWidth="1"/>
    <col min="13563" max="13563" width="12.85546875" style="4" bestFit="1" customWidth="1"/>
    <col min="13564" max="13564" width="10.28515625" style="4" bestFit="1" customWidth="1"/>
    <col min="13565" max="13565" width="10.140625" style="4" bestFit="1" customWidth="1"/>
    <col min="13566" max="13570" width="10.28515625" style="4" bestFit="1" customWidth="1"/>
    <col min="13571" max="13571" width="10.28515625" style="4" customWidth="1"/>
    <col min="13572" max="13573" width="10.140625" style="4" bestFit="1" customWidth="1"/>
    <col min="13574" max="13578" width="10.28515625" style="4" bestFit="1" customWidth="1"/>
    <col min="13579" max="13579" width="14" style="4" bestFit="1" customWidth="1"/>
    <col min="13580" max="13580" width="10.42578125" style="4" bestFit="1" customWidth="1"/>
    <col min="13581" max="13780" width="9.140625" style="4"/>
    <col min="13781" max="13781" width="4.140625" style="4" customWidth="1"/>
    <col min="13782" max="13782" width="24" style="4" customWidth="1"/>
    <col min="13783" max="13783" width="9" style="4" customWidth="1"/>
    <col min="13784" max="13784" width="11.42578125" style="4" customWidth="1"/>
    <col min="13785" max="13785" width="14.140625" style="4" customWidth="1"/>
    <col min="13786" max="13786" width="14" style="4" customWidth="1"/>
    <col min="13787" max="13787" width="13.85546875" style="4" customWidth="1"/>
    <col min="13788" max="13788" width="14.140625" style="4" customWidth="1"/>
    <col min="13789" max="13789" width="13.140625" style="4" bestFit="1" customWidth="1"/>
    <col min="13790" max="13817" width="0" style="4" hidden="1" customWidth="1"/>
    <col min="13818" max="13818" width="12.28515625" style="4" bestFit="1" customWidth="1"/>
    <col min="13819" max="13819" width="12.85546875" style="4" bestFit="1" customWidth="1"/>
    <col min="13820" max="13820" width="10.28515625" style="4" bestFit="1" customWidth="1"/>
    <col min="13821" max="13821" width="10.140625" style="4" bestFit="1" customWidth="1"/>
    <col min="13822" max="13826" width="10.28515625" style="4" bestFit="1" customWidth="1"/>
    <col min="13827" max="13827" width="10.28515625" style="4" customWidth="1"/>
    <col min="13828" max="13829" width="10.140625" style="4" bestFit="1" customWidth="1"/>
    <col min="13830" max="13834" width="10.28515625" style="4" bestFit="1" customWidth="1"/>
    <col min="13835" max="13835" width="14" style="4" bestFit="1" customWidth="1"/>
    <col min="13836" max="13836" width="10.42578125" style="4" bestFit="1" customWidth="1"/>
    <col min="13837" max="14036" width="9.140625" style="4"/>
    <col min="14037" max="14037" width="4.140625" style="4" customWidth="1"/>
    <col min="14038" max="14038" width="24" style="4" customWidth="1"/>
    <col min="14039" max="14039" width="9" style="4" customWidth="1"/>
    <col min="14040" max="14040" width="11.42578125" style="4" customWidth="1"/>
    <col min="14041" max="14041" width="14.140625" style="4" customWidth="1"/>
    <col min="14042" max="14042" width="14" style="4" customWidth="1"/>
    <col min="14043" max="14043" width="13.85546875" style="4" customWidth="1"/>
    <col min="14044" max="14044" width="14.140625" style="4" customWidth="1"/>
    <col min="14045" max="14045" width="13.140625" style="4" bestFit="1" customWidth="1"/>
    <col min="14046" max="14073" width="0" style="4" hidden="1" customWidth="1"/>
    <col min="14074" max="14074" width="12.28515625" style="4" bestFit="1" customWidth="1"/>
    <col min="14075" max="14075" width="12.85546875" style="4" bestFit="1" customWidth="1"/>
    <col min="14076" max="14076" width="10.28515625" style="4" bestFit="1" customWidth="1"/>
    <col min="14077" max="14077" width="10.140625" style="4" bestFit="1" customWidth="1"/>
    <col min="14078" max="14082" width="10.28515625" style="4" bestFit="1" customWidth="1"/>
    <col min="14083" max="14083" width="10.28515625" style="4" customWidth="1"/>
    <col min="14084" max="14085" width="10.140625" style="4" bestFit="1" customWidth="1"/>
    <col min="14086" max="14090" width="10.28515625" style="4" bestFit="1" customWidth="1"/>
    <col min="14091" max="14091" width="14" style="4" bestFit="1" customWidth="1"/>
    <col min="14092" max="14092" width="10.42578125" style="4" bestFit="1" customWidth="1"/>
    <col min="14093" max="14292" width="9.140625" style="4"/>
    <col min="14293" max="14293" width="4.140625" style="4" customWidth="1"/>
    <col min="14294" max="14294" width="24" style="4" customWidth="1"/>
    <col min="14295" max="14295" width="9" style="4" customWidth="1"/>
    <col min="14296" max="14296" width="11.42578125" style="4" customWidth="1"/>
    <col min="14297" max="14297" width="14.140625" style="4" customWidth="1"/>
    <col min="14298" max="14298" width="14" style="4" customWidth="1"/>
    <col min="14299" max="14299" width="13.85546875" style="4" customWidth="1"/>
    <col min="14300" max="14300" width="14.140625" style="4" customWidth="1"/>
    <col min="14301" max="14301" width="13.140625" style="4" bestFit="1" customWidth="1"/>
    <col min="14302" max="14329" width="0" style="4" hidden="1" customWidth="1"/>
    <col min="14330" max="14330" width="12.28515625" style="4" bestFit="1" customWidth="1"/>
    <col min="14331" max="14331" width="12.85546875" style="4" bestFit="1" customWidth="1"/>
    <col min="14332" max="14332" width="10.28515625" style="4" bestFit="1" customWidth="1"/>
    <col min="14333" max="14333" width="10.140625" style="4" bestFit="1" customWidth="1"/>
    <col min="14334" max="14338" width="10.28515625" style="4" bestFit="1" customWidth="1"/>
    <col min="14339" max="14339" width="10.28515625" style="4" customWidth="1"/>
    <col min="14340" max="14341" width="10.140625" style="4" bestFit="1" customWidth="1"/>
    <col min="14342" max="14346" width="10.28515625" style="4" bestFit="1" customWidth="1"/>
    <col min="14347" max="14347" width="14" style="4" bestFit="1" customWidth="1"/>
    <col min="14348" max="14348" width="10.42578125" style="4" bestFit="1" customWidth="1"/>
    <col min="14349" max="14548" width="9.140625" style="4"/>
    <col min="14549" max="14549" width="4.140625" style="4" customWidth="1"/>
    <col min="14550" max="14550" width="24" style="4" customWidth="1"/>
    <col min="14551" max="14551" width="9" style="4" customWidth="1"/>
    <col min="14552" max="14552" width="11.42578125" style="4" customWidth="1"/>
    <col min="14553" max="14553" width="14.140625" style="4" customWidth="1"/>
    <col min="14554" max="14554" width="14" style="4" customWidth="1"/>
    <col min="14555" max="14555" width="13.85546875" style="4" customWidth="1"/>
    <col min="14556" max="14556" width="14.140625" style="4" customWidth="1"/>
    <col min="14557" max="14557" width="13.140625" style="4" bestFit="1" customWidth="1"/>
    <col min="14558" max="14585" width="0" style="4" hidden="1" customWidth="1"/>
    <col min="14586" max="14586" width="12.28515625" style="4" bestFit="1" customWidth="1"/>
    <col min="14587" max="14587" width="12.85546875" style="4" bestFit="1" customWidth="1"/>
    <col min="14588" max="14588" width="10.28515625" style="4" bestFit="1" customWidth="1"/>
    <col min="14589" max="14589" width="10.140625" style="4" bestFit="1" customWidth="1"/>
    <col min="14590" max="14594" width="10.28515625" style="4" bestFit="1" customWidth="1"/>
    <col min="14595" max="14595" width="10.28515625" style="4" customWidth="1"/>
    <col min="14596" max="14597" width="10.140625" style="4" bestFit="1" customWidth="1"/>
    <col min="14598" max="14602" width="10.28515625" style="4" bestFit="1" customWidth="1"/>
    <col min="14603" max="14603" width="14" style="4" bestFit="1" customWidth="1"/>
    <col min="14604" max="14604" width="10.42578125" style="4" bestFit="1" customWidth="1"/>
    <col min="14605" max="14804" width="9.140625" style="4"/>
    <col min="14805" max="14805" width="4.140625" style="4" customWidth="1"/>
    <col min="14806" max="14806" width="24" style="4" customWidth="1"/>
    <col min="14807" max="14807" width="9" style="4" customWidth="1"/>
    <col min="14808" max="14808" width="11.42578125" style="4" customWidth="1"/>
    <col min="14809" max="14809" width="14.140625" style="4" customWidth="1"/>
    <col min="14810" max="14810" width="14" style="4" customWidth="1"/>
    <col min="14811" max="14811" width="13.85546875" style="4" customWidth="1"/>
    <col min="14812" max="14812" width="14.140625" style="4" customWidth="1"/>
    <col min="14813" max="14813" width="13.140625" style="4" bestFit="1" customWidth="1"/>
    <col min="14814" max="14841" width="0" style="4" hidden="1" customWidth="1"/>
    <col min="14842" max="14842" width="12.28515625" style="4" bestFit="1" customWidth="1"/>
    <col min="14843" max="14843" width="12.85546875" style="4" bestFit="1" customWidth="1"/>
    <col min="14844" max="14844" width="10.28515625" style="4" bestFit="1" customWidth="1"/>
    <col min="14845" max="14845" width="10.140625" style="4" bestFit="1" customWidth="1"/>
    <col min="14846" max="14850" width="10.28515625" style="4" bestFit="1" customWidth="1"/>
    <col min="14851" max="14851" width="10.28515625" style="4" customWidth="1"/>
    <col min="14852" max="14853" width="10.140625" style="4" bestFit="1" customWidth="1"/>
    <col min="14854" max="14858" width="10.28515625" style="4" bestFit="1" customWidth="1"/>
    <col min="14859" max="14859" width="14" style="4" bestFit="1" customWidth="1"/>
    <col min="14860" max="14860" width="10.42578125" style="4" bestFit="1" customWidth="1"/>
    <col min="14861" max="15060" width="9.140625" style="4"/>
    <col min="15061" max="15061" width="4.140625" style="4" customWidth="1"/>
    <col min="15062" max="15062" width="24" style="4" customWidth="1"/>
    <col min="15063" max="15063" width="9" style="4" customWidth="1"/>
    <col min="15064" max="15064" width="11.42578125" style="4" customWidth="1"/>
    <col min="15065" max="15065" width="14.140625" style="4" customWidth="1"/>
    <col min="15066" max="15066" width="14" style="4" customWidth="1"/>
    <col min="15067" max="15067" width="13.85546875" style="4" customWidth="1"/>
    <col min="15068" max="15068" width="14.140625" style="4" customWidth="1"/>
    <col min="15069" max="15069" width="13.140625" style="4" bestFit="1" customWidth="1"/>
    <col min="15070" max="15097" width="0" style="4" hidden="1" customWidth="1"/>
    <col min="15098" max="15098" width="12.28515625" style="4" bestFit="1" customWidth="1"/>
    <col min="15099" max="15099" width="12.85546875" style="4" bestFit="1" customWidth="1"/>
    <col min="15100" max="15100" width="10.28515625" style="4" bestFit="1" customWidth="1"/>
    <col min="15101" max="15101" width="10.140625" style="4" bestFit="1" customWidth="1"/>
    <col min="15102" max="15106" width="10.28515625" style="4" bestFit="1" customWidth="1"/>
    <col min="15107" max="15107" width="10.28515625" style="4" customWidth="1"/>
    <col min="15108" max="15109" width="10.140625" style="4" bestFit="1" customWidth="1"/>
    <col min="15110" max="15114" width="10.28515625" style="4" bestFit="1" customWidth="1"/>
    <col min="15115" max="15115" width="14" style="4" bestFit="1" customWidth="1"/>
    <col min="15116" max="15116" width="10.42578125" style="4" bestFit="1" customWidth="1"/>
    <col min="15117" max="15316" width="9.140625" style="4"/>
    <col min="15317" max="15317" width="4.140625" style="4" customWidth="1"/>
    <col min="15318" max="15318" width="24" style="4" customWidth="1"/>
    <col min="15319" max="15319" width="9" style="4" customWidth="1"/>
    <col min="15320" max="15320" width="11.42578125" style="4" customWidth="1"/>
    <col min="15321" max="15321" width="14.140625" style="4" customWidth="1"/>
    <col min="15322" max="15322" width="14" style="4" customWidth="1"/>
    <col min="15323" max="15323" width="13.85546875" style="4" customWidth="1"/>
    <col min="15324" max="15324" width="14.140625" style="4" customWidth="1"/>
    <col min="15325" max="15325" width="13.140625" style="4" bestFit="1" customWidth="1"/>
    <col min="15326" max="15353" width="0" style="4" hidden="1" customWidth="1"/>
    <col min="15354" max="15354" width="12.28515625" style="4" bestFit="1" customWidth="1"/>
    <col min="15355" max="15355" width="12.85546875" style="4" bestFit="1" customWidth="1"/>
    <col min="15356" max="15356" width="10.28515625" style="4" bestFit="1" customWidth="1"/>
    <col min="15357" max="15357" width="10.140625" style="4" bestFit="1" customWidth="1"/>
    <col min="15358" max="15362" width="10.28515625" style="4" bestFit="1" customWidth="1"/>
    <col min="15363" max="15363" width="10.28515625" style="4" customWidth="1"/>
    <col min="15364" max="15365" width="10.140625" style="4" bestFit="1" customWidth="1"/>
    <col min="15366" max="15370" width="10.28515625" style="4" bestFit="1" customWidth="1"/>
    <col min="15371" max="15371" width="14" style="4" bestFit="1" customWidth="1"/>
    <col min="15372" max="15372" width="10.42578125" style="4" bestFit="1" customWidth="1"/>
    <col min="15373" max="15572" width="9.140625" style="4"/>
    <col min="15573" max="15573" width="4.140625" style="4" customWidth="1"/>
    <col min="15574" max="15574" width="24" style="4" customWidth="1"/>
    <col min="15575" max="15575" width="9" style="4" customWidth="1"/>
    <col min="15576" max="15576" width="11.42578125" style="4" customWidth="1"/>
    <col min="15577" max="15577" width="14.140625" style="4" customWidth="1"/>
    <col min="15578" max="15578" width="14" style="4" customWidth="1"/>
    <col min="15579" max="15579" width="13.85546875" style="4" customWidth="1"/>
    <col min="15580" max="15580" width="14.140625" style="4" customWidth="1"/>
    <col min="15581" max="15581" width="13.140625" style="4" bestFit="1" customWidth="1"/>
    <col min="15582" max="15609" width="0" style="4" hidden="1" customWidth="1"/>
    <col min="15610" max="15610" width="12.28515625" style="4" bestFit="1" customWidth="1"/>
    <col min="15611" max="15611" width="12.85546875" style="4" bestFit="1" customWidth="1"/>
    <col min="15612" max="15612" width="10.28515625" style="4" bestFit="1" customWidth="1"/>
    <col min="15613" max="15613" width="10.140625" style="4" bestFit="1" customWidth="1"/>
    <col min="15614" max="15618" width="10.28515625" style="4" bestFit="1" customWidth="1"/>
    <col min="15619" max="15619" width="10.28515625" style="4" customWidth="1"/>
    <col min="15620" max="15621" width="10.140625" style="4" bestFit="1" customWidth="1"/>
    <col min="15622" max="15626" width="10.28515625" style="4" bestFit="1" customWidth="1"/>
    <col min="15627" max="15627" width="14" style="4" bestFit="1" customWidth="1"/>
    <col min="15628" max="15628" width="10.42578125" style="4" bestFit="1" customWidth="1"/>
    <col min="15629" max="15828" width="9.140625" style="4"/>
    <col min="15829" max="15829" width="4.140625" style="4" customWidth="1"/>
    <col min="15830" max="15830" width="24" style="4" customWidth="1"/>
    <col min="15831" max="15831" width="9" style="4" customWidth="1"/>
    <col min="15832" max="15832" width="11.42578125" style="4" customWidth="1"/>
    <col min="15833" max="15833" width="14.140625" style="4" customWidth="1"/>
    <col min="15834" max="15834" width="14" style="4" customWidth="1"/>
    <col min="15835" max="15835" width="13.85546875" style="4" customWidth="1"/>
    <col min="15836" max="15836" width="14.140625" style="4" customWidth="1"/>
    <col min="15837" max="15837" width="13.140625" style="4" bestFit="1" customWidth="1"/>
    <col min="15838" max="15865" width="0" style="4" hidden="1" customWidth="1"/>
    <col min="15866" max="15866" width="12.28515625" style="4" bestFit="1" customWidth="1"/>
    <col min="15867" max="15867" width="12.85546875" style="4" bestFit="1" customWidth="1"/>
    <col min="15868" max="15868" width="10.28515625" style="4" bestFit="1" customWidth="1"/>
    <col min="15869" max="15869" width="10.140625" style="4" bestFit="1" customWidth="1"/>
    <col min="15870" max="15874" width="10.28515625" style="4" bestFit="1" customWidth="1"/>
    <col min="15875" max="15875" width="10.28515625" style="4" customWidth="1"/>
    <col min="15876" max="15877" width="10.140625" style="4" bestFit="1" customWidth="1"/>
    <col min="15878" max="15882" width="10.28515625" style="4" bestFit="1" customWidth="1"/>
    <col min="15883" max="15883" width="14" style="4" bestFit="1" customWidth="1"/>
    <col min="15884" max="15884" width="10.42578125" style="4" bestFit="1" customWidth="1"/>
    <col min="15885" max="16084" width="9.140625" style="4"/>
    <col min="16085" max="16085" width="4.140625" style="4" customWidth="1"/>
    <col min="16086" max="16086" width="24" style="4" customWidth="1"/>
    <col min="16087" max="16087" width="9" style="4" customWidth="1"/>
    <col min="16088" max="16088" width="11.42578125" style="4" customWidth="1"/>
    <col min="16089" max="16089" width="14.140625" style="4" customWidth="1"/>
    <col min="16090" max="16090" width="14" style="4" customWidth="1"/>
    <col min="16091" max="16091" width="13.85546875" style="4" customWidth="1"/>
    <col min="16092" max="16092" width="14.140625" style="4" customWidth="1"/>
    <col min="16093" max="16093" width="13.140625" style="4" bestFit="1" customWidth="1"/>
    <col min="16094" max="16121" width="0" style="4" hidden="1" customWidth="1"/>
    <col min="16122" max="16122" width="12.28515625" style="4" bestFit="1" customWidth="1"/>
    <col min="16123" max="16123" width="12.85546875" style="4" bestFit="1" customWidth="1"/>
    <col min="16124" max="16124" width="10.28515625" style="4" bestFit="1" customWidth="1"/>
    <col min="16125" max="16125" width="10.140625" style="4" bestFit="1" customWidth="1"/>
    <col min="16126" max="16130" width="10.28515625" style="4" bestFit="1" customWidth="1"/>
    <col min="16131" max="16131" width="10.28515625" style="4" customWidth="1"/>
    <col min="16132" max="16133" width="10.140625" style="4" bestFit="1" customWidth="1"/>
    <col min="16134" max="16138" width="10.28515625" style="4" bestFit="1" customWidth="1"/>
    <col min="16139" max="16139" width="14" style="4" bestFit="1" customWidth="1"/>
    <col min="16140" max="16140" width="10.42578125" style="4" bestFit="1" customWidth="1"/>
    <col min="16141" max="16384" width="9.140625" style="4"/>
  </cols>
  <sheetData>
    <row r="1" spans="1:20" s="1" customFormat="1" ht="20.25" customHeight="1">
      <c r="A1" s="1" t="s">
        <v>0</v>
      </c>
      <c r="B1" s="2"/>
      <c r="C1" s="3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1"/>
    </row>
    <row r="2" spans="1:20" s="1" customFormat="1" ht="15.75">
      <c r="A2" s="60" t="s">
        <v>181</v>
      </c>
      <c r="B2" s="60"/>
      <c r="C2" s="6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1"/>
    </row>
    <row r="3" spans="1:20" s="1" customFormat="1" ht="18.75">
      <c r="A3" s="198" t="s">
        <v>1</v>
      </c>
      <c r="B3" s="198"/>
      <c r="C3" s="198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1"/>
    </row>
    <row r="4" spans="1:20" ht="15.75">
      <c r="D4" s="39"/>
      <c r="E4" s="39"/>
      <c r="F4" s="40"/>
      <c r="G4" s="41"/>
      <c r="H4" s="41"/>
      <c r="I4" s="41"/>
      <c r="J4" s="41"/>
      <c r="K4" s="41"/>
      <c r="L4" s="41"/>
      <c r="M4" s="7"/>
    </row>
    <row r="5" spans="1:20" s="1" customFormat="1" ht="15.75" customHeight="1">
      <c r="A5" s="199" t="s">
        <v>2</v>
      </c>
      <c r="B5" s="201" t="s">
        <v>3</v>
      </c>
      <c r="C5" s="203" t="s">
        <v>4</v>
      </c>
      <c r="D5" s="194" t="s">
        <v>194</v>
      </c>
      <c r="E5" s="194" t="s">
        <v>6</v>
      </c>
      <c r="F5" s="195" t="s">
        <v>7</v>
      </c>
      <c r="G5" s="196" t="s">
        <v>8</v>
      </c>
      <c r="H5" s="196" t="s">
        <v>9</v>
      </c>
      <c r="I5" s="196" t="s">
        <v>201</v>
      </c>
      <c r="J5" s="196" t="s">
        <v>10</v>
      </c>
      <c r="K5" s="196" t="s">
        <v>187</v>
      </c>
      <c r="L5" s="196" t="s">
        <v>11</v>
      </c>
      <c r="M5" s="205" t="s">
        <v>12</v>
      </c>
      <c r="N5" s="207" t="s">
        <v>168</v>
      </c>
      <c r="O5" s="192" t="s">
        <v>15</v>
      </c>
      <c r="P5" s="192" t="s">
        <v>169</v>
      </c>
      <c r="Q5" s="192" t="s">
        <v>170</v>
      </c>
      <c r="R5" s="192" t="s">
        <v>171</v>
      </c>
      <c r="S5" s="192" t="s">
        <v>174</v>
      </c>
      <c r="T5" s="192" t="s">
        <v>172</v>
      </c>
    </row>
    <row r="6" spans="1:20" s="1" customFormat="1" ht="15.75">
      <c r="A6" s="200"/>
      <c r="B6" s="202"/>
      <c r="C6" s="204"/>
      <c r="D6" s="194"/>
      <c r="E6" s="194"/>
      <c r="F6" s="195"/>
      <c r="G6" s="197"/>
      <c r="H6" s="197"/>
      <c r="I6" s="197"/>
      <c r="J6" s="197"/>
      <c r="K6" s="197"/>
      <c r="L6" s="197"/>
      <c r="M6" s="206"/>
      <c r="N6" s="208"/>
      <c r="O6" s="193"/>
      <c r="P6" s="193"/>
      <c r="Q6" s="193"/>
      <c r="R6" s="193"/>
      <c r="S6" s="193"/>
      <c r="T6" s="193"/>
    </row>
    <row r="7" spans="1:20" s="1" customFormat="1" ht="15.75">
      <c r="A7" s="61"/>
      <c r="B7" s="62"/>
      <c r="C7" s="63"/>
      <c r="D7" s="194"/>
      <c r="E7" s="194"/>
      <c r="F7" s="195"/>
      <c r="G7" s="197"/>
      <c r="H7" s="197"/>
      <c r="I7" s="197"/>
      <c r="J7" s="197"/>
      <c r="K7" s="197"/>
      <c r="L7" s="197"/>
      <c r="M7" s="206"/>
      <c r="N7" s="208"/>
      <c r="O7" s="193"/>
      <c r="P7" s="193"/>
      <c r="Q7" s="193"/>
      <c r="R7" s="193"/>
      <c r="S7" s="193"/>
      <c r="T7" s="193"/>
    </row>
    <row r="8" spans="1:20" s="1" customFormat="1" ht="15.75">
      <c r="A8" s="184"/>
      <c r="B8" s="185"/>
      <c r="C8" s="171"/>
      <c r="D8" s="147"/>
      <c r="E8" s="147"/>
      <c r="F8" s="59"/>
      <c r="G8" s="178"/>
      <c r="H8" s="178"/>
      <c r="I8" s="178"/>
      <c r="J8" s="178"/>
      <c r="K8" s="178"/>
      <c r="L8" s="178"/>
      <c r="M8" s="178"/>
      <c r="N8" s="178"/>
      <c r="O8" s="178"/>
      <c r="P8" s="186"/>
      <c r="Q8" s="178"/>
      <c r="R8" s="178"/>
      <c r="S8" s="178"/>
      <c r="T8" s="178"/>
    </row>
    <row r="9" spans="1:20" s="2" customFormat="1" ht="15" customHeight="1">
      <c r="A9" s="15"/>
      <c r="B9" s="12"/>
      <c r="C9" s="172"/>
      <c r="D9" s="173"/>
      <c r="E9" s="174"/>
      <c r="F9" s="175"/>
      <c r="G9" s="176"/>
      <c r="H9" s="176"/>
      <c r="I9" s="176"/>
      <c r="J9" s="176"/>
      <c r="K9" s="176"/>
      <c r="L9" s="176"/>
      <c r="M9" s="178"/>
      <c r="N9" s="178">
        <f>12000*(G9+U9)</f>
        <v>0</v>
      </c>
      <c r="O9" s="178">
        <f>10000*G9</f>
        <v>0</v>
      </c>
      <c r="P9" s="186"/>
      <c r="Q9" s="178"/>
      <c r="R9" s="178"/>
      <c r="S9" s="178"/>
      <c r="T9" s="178">
        <f>+IFERROR(VLOOKUP(C9,'[1]507'!$C$5:$AN$10000,38,0),0)</f>
        <v>0</v>
      </c>
    </row>
    <row r="10" spans="1:20" s="2" customFormat="1" ht="15" customHeight="1">
      <c r="A10" s="15"/>
      <c r="B10" s="16"/>
      <c r="C10" s="177"/>
      <c r="D10" s="178"/>
      <c r="E10" s="178"/>
      <c r="F10" s="179"/>
      <c r="G10" s="178"/>
      <c r="H10" s="178"/>
      <c r="I10" s="178"/>
      <c r="J10" s="178"/>
      <c r="K10" s="178"/>
      <c r="L10" s="178"/>
      <c r="M10" s="178"/>
      <c r="N10" s="178"/>
      <c r="O10" s="178"/>
      <c r="P10" s="186"/>
      <c r="Q10" s="178"/>
      <c r="R10" s="178"/>
      <c r="S10" s="178"/>
      <c r="T10" s="178"/>
    </row>
    <row r="11" spans="1:20" s="2" customFormat="1" ht="15" customHeight="1">
      <c r="A11" s="8"/>
      <c r="B11" s="12"/>
      <c r="C11" s="172"/>
      <c r="D11" s="173"/>
      <c r="E11" s="174"/>
      <c r="F11" s="175"/>
      <c r="G11" s="176"/>
      <c r="H11" s="176"/>
      <c r="I11" s="176"/>
      <c r="J11" s="176"/>
      <c r="K11" s="176"/>
      <c r="L11" s="176"/>
      <c r="M11" s="178"/>
      <c r="N11" s="178">
        <f t="shared" ref="N11:N32" si="0">12000*(G11+U11)</f>
        <v>0</v>
      </c>
      <c r="O11" s="178">
        <f t="shared" ref="O11:O32" si="1">10000*G11</f>
        <v>0</v>
      </c>
      <c r="P11" s="186"/>
      <c r="Q11" s="178"/>
      <c r="R11" s="178"/>
      <c r="S11" s="178"/>
      <c r="T11" s="178">
        <f>+IFERROR(VLOOKUP(C11,'[1]507'!$C$5:$AN$10000,38,0),0)</f>
        <v>0</v>
      </c>
    </row>
    <row r="12" spans="1:20" s="2" customFormat="1" ht="15" customHeight="1">
      <c r="A12" s="8"/>
      <c r="B12" s="16"/>
      <c r="C12" s="177"/>
      <c r="D12" s="180"/>
      <c r="E12" s="180"/>
      <c r="F12" s="175"/>
      <c r="G12" s="178"/>
      <c r="H12" s="178"/>
      <c r="I12" s="178"/>
      <c r="J12" s="178"/>
      <c r="K12" s="178"/>
      <c r="L12" s="178"/>
      <c r="M12" s="178"/>
      <c r="N12" s="178"/>
      <c r="O12" s="178"/>
      <c r="P12" s="186"/>
      <c r="Q12" s="178"/>
      <c r="R12" s="178"/>
      <c r="S12" s="178"/>
      <c r="T12" s="178"/>
    </row>
    <row r="13" spans="1:20" s="2" customFormat="1" ht="15" customHeight="1">
      <c r="A13" s="15"/>
      <c r="B13" s="12"/>
      <c r="C13" s="172"/>
      <c r="D13" s="173"/>
      <c r="E13" s="181"/>
      <c r="F13" s="175"/>
      <c r="G13" s="176"/>
      <c r="H13" s="176"/>
      <c r="I13" s="176"/>
      <c r="J13" s="176"/>
      <c r="K13" s="176"/>
      <c r="L13" s="176"/>
      <c r="M13" s="178"/>
      <c r="N13" s="178">
        <f t="shared" ref="N13:N32" si="2">12000*(G13+U13)</f>
        <v>0</v>
      </c>
      <c r="O13" s="178">
        <f t="shared" ref="O13:O32" si="3">10000*G13</f>
        <v>0</v>
      </c>
      <c r="P13" s="186"/>
      <c r="Q13" s="178"/>
      <c r="R13" s="178"/>
      <c r="S13" s="178"/>
      <c r="T13" s="178">
        <f>+IFERROR(VLOOKUP(C13,'[1]507'!$C$5:$AN$10000,38,0),0)</f>
        <v>0</v>
      </c>
    </row>
    <row r="14" spans="1:20" s="2" customFormat="1" ht="15" customHeight="1">
      <c r="A14" s="15"/>
      <c r="B14" s="16"/>
      <c r="C14" s="177"/>
      <c r="D14" s="180"/>
      <c r="E14" s="181"/>
      <c r="F14" s="175"/>
      <c r="G14" s="182"/>
      <c r="H14" s="182"/>
      <c r="I14" s="182"/>
      <c r="J14" s="182"/>
      <c r="K14" s="182"/>
      <c r="L14" s="180"/>
      <c r="M14" s="180"/>
      <c r="N14" s="178"/>
      <c r="O14" s="178"/>
      <c r="P14" s="179"/>
      <c r="Q14" s="179"/>
      <c r="R14" s="179"/>
      <c r="S14" s="179"/>
      <c r="T14" s="179"/>
    </row>
    <row r="15" spans="1:20" s="2" customFormat="1" ht="15" customHeight="1">
      <c r="A15" s="8"/>
      <c r="B15" s="12"/>
      <c r="C15" s="172"/>
      <c r="D15" s="173"/>
      <c r="E15" s="181"/>
      <c r="F15" s="175"/>
      <c r="G15" s="182"/>
      <c r="H15" s="182"/>
      <c r="I15" s="182"/>
      <c r="J15" s="182"/>
      <c r="K15" s="182"/>
      <c r="L15" s="183"/>
      <c r="M15" s="180"/>
      <c r="N15" s="178">
        <f t="shared" ref="N15:N32" si="4">12000*(G15+U15)</f>
        <v>0</v>
      </c>
      <c r="O15" s="178">
        <f t="shared" ref="O15:O32" si="5">10000*G15</f>
        <v>0</v>
      </c>
      <c r="P15" s="179"/>
      <c r="Q15" s="179"/>
      <c r="R15" s="179"/>
      <c r="S15" s="179"/>
      <c r="T15" s="179"/>
    </row>
    <row r="16" spans="1:20" s="2" customFormat="1" ht="15" customHeight="1">
      <c r="A16" s="8"/>
      <c r="B16" s="16"/>
      <c r="C16" s="177"/>
      <c r="D16" s="181"/>
      <c r="E16" s="181"/>
      <c r="F16" s="180"/>
      <c r="G16" s="183"/>
      <c r="H16" s="183"/>
      <c r="I16" s="183"/>
      <c r="J16" s="183"/>
      <c r="K16" s="183"/>
      <c r="L16" s="183"/>
      <c r="M16" s="180"/>
      <c r="N16" s="178"/>
      <c r="O16" s="178"/>
      <c r="P16" s="179"/>
      <c r="Q16" s="179"/>
      <c r="R16" s="179"/>
      <c r="S16" s="179"/>
      <c r="T16" s="179"/>
    </row>
    <row r="17" spans="1:20" s="2" customFormat="1" ht="15" customHeight="1">
      <c r="A17" s="15"/>
      <c r="B17" s="12"/>
      <c r="C17" s="172"/>
      <c r="D17" s="181"/>
      <c r="E17" s="181">
        <f>IFERROR(VLOOKUP(C17,'[2]DSCBCNV '!$E$5:$AE$400,27,0),0)</f>
        <v>0</v>
      </c>
      <c r="F17" s="180">
        <f>IFERROR(VLOOKUP(C17,'[2]DSCBCNV '!$E$5:$AO$400,37,0),0)</f>
        <v>0</v>
      </c>
      <c r="G17" s="183">
        <f>IFERROR(VLOOKUP(C17,[3]T1!$AH$7:$AI$371,2,0),0)</f>
        <v>0</v>
      </c>
      <c r="H17" s="183">
        <f>IFERROR(VLOOKUP(C17,[3]T1!$AH$7:$AK$371,4,0),0)</f>
        <v>0</v>
      </c>
      <c r="I17" s="183">
        <f>IFERROR(VLOOKUP(C17,[3]T1!$AH$7:$AJ$371,3,0),0)</f>
        <v>0</v>
      </c>
      <c r="J17" s="183">
        <f>IFERROR(VLOOKUP(C17,[3]T1!$AH$7:$AO$371,8,0),0)</f>
        <v>0</v>
      </c>
      <c r="K17" s="183">
        <f>IFERROR(VLOOKUP(C17,[3]T1!$AH$7:$AM$371,6,0),0)</f>
        <v>0</v>
      </c>
      <c r="L17" s="183">
        <f>IFERROR(VLOOKUP(C17,[4]T1!$C$7:$AH$370,32,0),0)</f>
        <v>0</v>
      </c>
      <c r="M17" s="180"/>
      <c r="N17" s="178">
        <f t="shared" ref="N17:N32" si="6">12000*(G17+U17)</f>
        <v>0</v>
      </c>
      <c r="O17" s="178">
        <f t="shared" ref="O17:O32" si="7">10000*G17</f>
        <v>0</v>
      </c>
      <c r="P17" s="179"/>
      <c r="Q17" s="179"/>
      <c r="R17" s="179"/>
      <c r="S17" s="179"/>
      <c r="T17" s="179"/>
    </row>
    <row r="18" spans="1:20" s="2" customFormat="1" ht="15" customHeight="1">
      <c r="A18" s="15"/>
      <c r="B18" s="187"/>
      <c r="C18" s="187"/>
      <c r="D18" s="181"/>
      <c r="E18" s="181"/>
      <c r="F18" s="180"/>
      <c r="G18" s="183"/>
      <c r="H18" s="183"/>
      <c r="I18" s="183"/>
      <c r="J18" s="183"/>
      <c r="K18" s="183"/>
      <c r="L18" s="183"/>
      <c r="M18" s="180"/>
      <c r="N18" s="178"/>
      <c r="O18" s="178"/>
      <c r="P18" s="179"/>
      <c r="Q18" s="179"/>
      <c r="R18" s="179"/>
      <c r="S18" s="179"/>
      <c r="T18" s="179"/>
    </row>
    <row r="19" spans="1:20" s="2" customFormat="1" ht="15" customHeight="1">
      <c r="A19" s="8"/>
      <c r="B19" s="12"/>
      <c r="C19" s="172"/>
      <c r="D19" s="181"/>
      <c r="E19" s="181">
        <f>IFERROR(VLOOKUP(C19,'[2]DSCBCNV '!$E$5:$AE$400,27,0),0)</f>
        <v>0</v>
      </c>
      <c r="F19" s="180">
        <f>IFERROR(VLOOKUP(C19,'[2]DSCBCNV '!$E$5:$AO$400,37,0),0)</f>
        <v>0</v>
      </c>
      <c r="G19" s="183">
        <f>IFERROR(VLOOKUP(C19,[3]T1!$AH$7:$AI$371,2,0),0)</f>
        <v>0</v>
      </c>
      <c r="H19" s="183">
        <f>IFERROR(VLOOKUP(C19,[3]T1!$AH$7:$AK$371,4,0),0)</f>
        <v>0</v>
      </c>
      <c r="I19" s="183">
        <f>IFERROR(VLOOKUP(C19,[3]T1!$AH$7:$AJ$371,3,0),0)</f>
        <v>0</v>
      </c>
      <c r="J19" s="183">
        <f>IFERROR(VLOOKUP(C19,[3]T1!$AH$7:$AO$371,8,0),0)</f>
        <v>0</v>
      </c>
      <c r="K19" s="183">
        <f>IFERROR(VLOOKUP(C19,[3]T1!$AH$7:$AM$371,6,0),0)</f>
        <v>0</v>
      </c>
      <c r="L19" s="183">
        <f>IFERROR(VLOOKUP(C19,[4]T1!$C$7:$AH$370,32,0),0)</f>
        <v>0</v>
      </c>
      <c r="M19" s="180">
        <f>IFERROR(VLOOKUP(C19,[5]Sheet1!$A$4:$B$103,2,0),0)</f>
        <v>0</v>
      </c>
      <c r="N19" s="178">
        <f t="shared" ref="N19:N32" si="8">12000*(G19+U19)</f>
        <v>0</v>
      </c>
      <c r="O19" s="178">
        <f t="shared" ref="O19:O32" si="9">10000*G19</f>
        <v>0</v>
      </c>
      <c r="P19" s="179"/>
      <c r="Q19" s="179"/>
      <c r="R19" s="179"/>
      <c r="S19" s="179"/>
      <c r="T19" s="179"/>
    </row>
    <row r="20" spans="1:20" s="2" customFormat="1" ht="15" customHeight="1">
      <c r="A20" s="8"/>
      <c r="B20" s="187"/>
      <c r="C20" s="187"/>
      <c r="D20" s="181"/>
      <c r="E20" s="181"/>
      <c r="F20" s="180"/>
      <c r="G20" s="183"/>
      <c r="H20" s="183"/>
      <c r="I20" s="183"/>
      <c r="J20" s="183"/>
      <c r="K20" s="183"/>
      <c r="L20" s="183"/>
      <c r="M20" s="180"/>
      <c r="N20" s="178"/>
      <c r="O20" s="178"/>
      <c r="P20" s="179"/>
      <c r="Q20" s="179"/>
      <c r="R20" s="179"/>
      <c r="S20" s="179"/>
      <c r="T20" s="179"/>
    </row>
    <row r="21" spans="1:20" s="2" customFormat="1" ht="15" customHeight="1">
      <c r="A21" s="15"/>
      <c r="B21" s="12"/>
      <c r="C21" s="172"/>
      <c r="D21" s="181"/>
      <c r="E21" s="181">
        <f>IFERROR(VLOOKUP(C21,'[2]DSCBCNV '!$E$5:$AE$400,27,0),0)</f>
        <v>0</v>
      </c>
      <c r="F21" s="180">
        <f>IFERROR(VLOOKUP(C21,'[2]DSCBCNV '!$E$5:$AO$400,37,0),0)</f>
        <v>0</v>
      </c>
      <c r="G21" s="183">
        <f>IFERROR(VLOOKUP(C21,[3]T1!$AH$7:$AI$371,2,0),0)</f>
        <v>0</v>
      </c>
      <c r="H21" s="183">
        <f>IFERROR(VLOOKUP(C21,[3]T1!$AH$7:$AK$371,4,0),0)</f>
        <v>0</v>
      </c>
      <c r="I21" s="183">
        <f>IFERROR(VLOOKUP(C21,[3]T1!$AH$7:$AJ$371,3,0),0)</f>
        <v>0</v>
      </c>
      <c r="J21" s="183">
        <f>IFERROR(VLOOKUP(C21,[3]T1!$AH$7:$AO$371,8,0),0)</f>
        <v>0</v>
      </c>
      <c r="K21" s="183">
        <f>IFERROR(VLOOKUP(C21,[3]T1!$AH$7:$AM$371,6,0),0)</f>
        <v>0</v>
      </c>
      <c r="L21" s="183">
        <f>IFERROR(VLOOKUP(C21,[4]T1!$C$7:$AH$370,32,0),0)</f>
        <v>0</v>
      </c>
      <c r="M21" s="180">
        <f>IFERROR(VLOOKUP(C21,[5]Sheet1!$A$4:$B$103,2,0),0)</f>
        <v>0</v>
      </c>
      <c r="N21" s="178">
        <f t="shared" ref="N21:N32" si="10">12000*(G21+U21)</f>
        <v>0</v>
      </c>
      <c r="O21" s="178">
        <f t="shared" ref="O21:O32" si="11">10000*G21</f>
        <v>0</v>
      </c>
      <c r="P21" s="179"/>
      <c r="Q21" s="179"/>
      <c r="R21" s="179"/>
      <c r="S21" s="179"/>
      <c r="T21" s="179"/>
    </row>
    <row r="22" spans="1:20" s="2" customFormat="1" ht="15" customHeight="1">
      <c r="A22" s="15"/>
      <c r="B22" s="189"/>
      <c r="C22" s="190"/>
      <c r="D22" s="181"/>
      <c r="E22" s="181"/>
      <c r="F22" s="180"/>
      <c r="G22" s="183"/>
      <c r="H22" s="183"/>
      <c r="I22" s="183"/>
      <c r="J22" s="183"/>
      <c r="K22" s="183"/>
      <c r="L22" s="183"/>
      <c r="M22" s="180"/>
      <c r="N22" s="178"/>
      <c r="O22" s="178"/>
      <c r="P22" s="179"/>
      <c r="Q22" s="179"/>
      <c r="R22" s="179"/>
      <c r="S22" s="179"/>
      <c r="T22" s="179"/>
    </row>
    <row r="23" spans="1:20" s="2" customFormat="1" ht="15" customHeight="1">
      <c r="A23" s="8"/>
      <c r="B23" s="12"/>
      <c r="C23" s="172"/>
      <c r="D23" s="181"/>
      <c r="E23" s="181">
        <f>IFERROR(VLOOKUP(C23,'[2]DSCBCNV '!$E$5:$AE$400,27,0),0)</f>
        <v>0</v>
      </c>
      <c r="F23" s="180">
        <f>IFERROR(VLOOKUP(C23,'[2]DSCBCNV '!$E$5:$AO$400,37,0),0)</f>
        <v>0</v>
      </c>
      <c r="G23" s="183">
        <f>IFERROR(VLOOKUP(C23,[3]T1!$AH$7:$AI$371,2,0),0)</f>
        <v>0</v>
      </c>
      <c r="H23" s="183">
        <f>IFERROR(VLOOKUP(C23,[3]T1!$AH$7:$AK$371,4,0),0)</f>
        <v>0</v>
      </c>
      <c r="I23" s="183">
        <f>IFERROR(VLOOKUP(C23,[3]T1!$AH$7:$AJ$371,3,0),0)</f>
        <v>0</v>
      </c>
      <c r="J23" s="183">
        <f>IFERROR(VLOOKUP(C23,[3]T1!$AH$7:$AO$371,8,0),0)</f>
        <v>0</v>
      </c>
      <c r="K23" s="183">
        <f>IFERROR(VLOOKUP(C23,[3]T1!$AH$7:$AM$371,6,0),0)</f>
        <v>0</v>
      </c>
      <c r="L23" s="183">
        <f>IFERROR(VLOOKUP(C23,[4]T1!$C$7:$AH$370,32,0),0)</f>
        <v>0</v>
      </c>
      <c r="M23" s="180"/>
      <c r="N23" s="178">
        <f t="shared" ref="N23:N32" si="12">12000*(G23+U23)</f>
        <v>0</v>
      </c>
      <c r="O23" s="178">
        <f t="shared" ref="O23:O32" si="13">10000*G23</f>
        <v>0</v>
      </c>
      <c r="P23" s="179"/>
      <c r="Q23" s="179"/>
      <c r="R23" s="179"/>
      <c r="S23" s="179"/>
      <c r="T23" s="179"/>
    </row>
    <row r="24" spans="1:20" s="2" customFormat="1" ht="15" customHeight="1">
      <c r="A24" s="8"/>
      <c r="B24" s="187"/>
      <c r="C24" s="187"/>
      <c r="D24" s="181"/>
      <c r="E24" s="181"/>
      <c r="F24" s="180"/>
      <c r="G24" s="183"/>
      <c r="H24" s="183"/>
      <c r="I24" s="183"/>
      <c r="J24" s="183"/>
      <c r="K24" s="183"/>
      <c r="L24" s="183"/>
      <c r="M24" s="180">
        <f>IFERROR(VLOOKUP(C24,[5]Sheet1!$A$4:$B$103,2,0),0)</f>
        <v>0</v>
      </c>
      <c r="N24" s="178"/>
      <c r="O24" s="178"/>
      <c r="P24" s="179"/>
      <c r="Q24" s="179"/>
      <c r="R24" s="179"/>
      <c r="S24" s="179"/>
      <c r="T24" s="179"/>
    </row>
    <row r="25" spans="1:20" s="2" customFormat="1" ht="15" customHeight="1">
      <c r="A25" s="15"/>
      <c r="B25" s="12"/>
      <c r="C25" s="172"/>
      <c r="D25" s="181"/>
      <c r="E25" s="181">
        <f>IFERROR(VLOOKUP(C25,'[2]DSCBCNV '!$E$5:$AE$400,27,0),0)</f>
        <v>0</v>
      </c>
      <c r="F25" s="180">
        <f>IFERROR(VLOOKUP(C25,'[2]DSCBCNV '!$E$5:$AO$400,37,0),0)</f>
        <v>0</v>
      </c>
      <c r="G25" s="183">
        <f>IFERROR(VLOOKUP(C25,[3]T1!$AH$7:$AI$371,2,0),0)</f>
        <v>0</v>
      </c>
      <c r="H25" s="183">
        <f>IFERROR(VLOOKUP(C25,[3]T1!$AH$7:$AK$371,4,0),0)</f>
        <v>0</v>
      </c>
      <c r="I25" s="183">
        <f>IFERROR(VLOOKUP(C25,[3]T1!$AH$7:$AJ$371,3,0),0)</f>
        <v>0</v>
      </c>
      <c r="J25" s="183">
        <f>IFERROR(VLOOKUP(C25,[3]T1!$AH$7:$AO$371,8,0),0)</f>
        <v>0</v>
      </c>
      <c r="K25" s="183">
        <f>IFERROR(VLOOKUP(C25,[3]T1!$AH$7:$AM$371,6,0),0)</f>
        <v>0</v>
      </c>
      <c r="L25" s="183">
        <f>IFERROR(VLOOKUP(C25,[4]T1!$C$7:$AH$370,32,0),0)</f>
        <v>0</v>
      </c>
      <c r="M25" s="180"/>
      <c r="N25" s="178">
        <f t="shared" ref="N25:N32" si="14">12000*(G25+U25)</f>
        <v>0</v>
      </c>
      <c r="O25" s="178">
        <f t="shared" ref="O25:O32" si="15">10000*G25</f>
        <v>0</v>
      </c>
      <c r="P25" s="179"/>
      <c r="Q25" s="179"/>
      <c r="R25" s="179"/>
      <c r="S25" s="179"/>
      <c r="T25" s="179"/>
    </row>
    <row r="26" spans="1:20" s="2" customFormat="1" ht="15" customHeight="1">
      <c r="A26" s="15"/>
      <c r="B26" s="187"/>
      <c r="C26" s="187"/>
      <c r="D26" s="181"/>
      <c r="E26" s="181"/>
      <c r="F26" s="180"/>
      <c r="G26" s="183"/>
      <c r="H26" s="183"/>
      <c r="I26" s="183"/>
      <c r="J26" s="183"/>
      <c r="K26" s="183"/>
      <c r="L26" s="183"/>
      <c r="M26" s="180">
        <f>IFERROR(VLOOKUP(C26,[5]Sheet1!$A$4:$B$103,2,0),0)</f>
        <v>0</v>
      </c>
      <c r="N26" s="178"/>
      <c r="O26" s="178"/>
      <c r="P26" s="179"/>
      <c r="Q26" s="179"/>
      <c r="R26" s="179"/>
      <c r="S26" s="179"/>
      <c r="T26" s="179"/>
    </row>
    <row r="27" spans="1:20" s="2" customFormat="1" ht="15" customHeight="1">
      <c r="A27" s="8"/>
      <c r="B27" s="191"/>
      <c r="C27" s="180"/>
      <c r="D27" s="181"/>
      <c r="E27" s="181">
        <f>IFERROR(VLOOKUP(C27,'[2]DSCBCNV '!$E$5:$AE$400,27,0),0)</f>
        <v>0</v>
      </c>
      <c r="F27" s="180">
        <f>IFERROR(VLOOKUP(C27,'[2]DSCBCNV '!$E$5:$AO$400,37,0),0)</f>
        <v>0</v>
      </c>
      <c r="G27" s="183">
        <f>IFERROR(VLOOKUP(C27,[3]T1!$AH$7:$AI$371,2,0),0)</f>
        <v>0</v>
      </c>
      <c r="H27" s="183">
        <f>IFERROR(VLOOKUP(C27,[3]T1!$AH$7:$AK$371,4,0),0)</f>
        <v>0</v>
      </c>
      <c r="I27" s="183">
        <f>IFERROR(VLOOKUP(C27,[3]T1!$AH$7:$AJ$371,3,0),0)</f>
        <v>0</v>
      </c>
      <c r="J27" s="183">
        <f>IFERROR(VLOOKUP(C27,[3]T1!$AH$7:$AO$371,8,0),0)</f>
        <v>0</v>
      </c>
      <c r="K27" s="183">
        <f>IFERROR(VLOOKUP(C27,[3]T1!$AH$7:$AM$371,6,0),0)</f>
        <v>0</v>
      </c>
      <c r="L27" s="183">
        <f>IFERROR(VLOOKUP(C27,[4]T1!$C$7:$AH$370,32,0),0)</f>
        <v>0</v>
      </c>
      <c r="M27" s="180"/>
      <c r="N27" s="178">
        <f t="shared" ref="N27:N32" si="16">12000*(G27+U27)</f>
        <v>0</v>
      </c>
      <c r="O27" s="178">
        <f t="shared" ref="O27:O32" si="17">10000*G27</f>
        <v>0</v>
      </c>
      <c r="P27" s="179"/>
      <c r="Q27" s="179"/>
      <c r="R27" s="179"/>
      <c r="S27" s="179"/>
      <c r="T27" s="179"/>
    </row>
    <row r="28" spans="1:20" s="2" customFormat="1" ht="15" customHeight="1">
      <c r="A28" s="8"/>
      <c r="B28" s="191"/>
      <c r="C28" s="188"/>
      <c r="D28" s="181"/>
      <c r="E28" s="181"/>
      <c r="F28" s="180"/>
      <c r="G28" s="183"/>
      <c r="H28" s="183"/>
      <c r="I28" s="183"/>
      <c r="J28" s="183"/>
      <c r="K28" s="183"/>
      <c r="L28" s="183"/>
      <c r="M28" s="180"/>
      <c r="N28" s="178"/>
      <c r="O28" s="178"/>
      <c r="P28" s="179"/>
      <c r="Q28" s="179"/>
      <c r="R28" s="179"/>
      <c r="S28" s="179"/>
      <c r="T28" s="179"/>
    </row>
    <row r="29" spans="1:20" s="2" customFormat="1" ht="15" customHeight="1">
      <c r="A29" s="15"/>
      <c r="B29" s="191"/>
      <c r="C29" s="188"/>
      <c r="D29" s="181"/>
      <c r="E29" s="181">
        <f>IFERROR(VLOOKUP(C29,'[2]DSCBCNV '!$E$5:$AE$400,27,0),0)</f>
        <v>0</v>
      </c>
      <c r="F29" s="180">
        <f>IFERROR(VLOOKUP(C29,'[2]DSCBCNV '!$E$5:$AO$400,37,0),0)</f>
        <v>0</v>
      </c>
      <c r="G29" s="183">
        <f>IFERROR(VLOOKUP(C29,[3]T1!$AH$7:$AI$371,2,0),0)</f>
        <v>0</v>
      </c>
      <c r="H29" s="183">
        <f>IFERROR(VLOOKUP(C29,[3]T1!$AH$7:$AK$371,4,0),0)</f>
        <v>0</v>
      </c>
      <c r="I29" s="183">
        <f>IFERROR(VLOOKUP(C29,[3]T1!$AH$7:$AJ$371,3,0),0)</f>
        <v>0</v>
      </c>
      <c r="J29" s="183">
        <f>IFERROR(VLOOKUP(C29,[3]T1!$AH$7:$AO$371,8,0),0)</f>
        <v>0</v>
      </c>
      <c r="K29" s="183">
        <f>IFERROR(VLOOKUP(C29,[3]T1!$AH$7:$AM$371,6,0),0)</f>
        <v>0</v>
      </c>
      <c r="L29" s="183">
        <f>IFERROR(VLOOKUP(C29,[4]T1!$C$7:$AH$370,32,0),0)</f>
        <v>0</v>
      </c>
      <c r="M29" s="180">
        <f>IFERROR(VLOOKUP(C29,[5]Sheet1!$A$4:$B$103,2,0),0)</f>
        <v>0</v>
      </c>
      <c r="N29" s="178">
        <f t="shared" ref="N29:N32" si="18">12000*(G29+U29)</f>
        <v>0</v>
      </c>
      <c r="O29" s="178">
        <f t="shared" ref="O29:O32" si="19">10000*G29</f>
        <v>0</v>
      </c>
      <c r="P29" s="179"/>
      <c r="Q29" s="179"/>
      <c r="R29" s="179"/>
      <c r="S29" s="179"/>
      <c r="T29" s="179"/>
    </row>
    <row r="30" spans="1:20" s="2" customFormat="1" ht="15" customHeight="1">
      <c r="A30" s="15"/>
      <c r="B30" s="16"/>
      <c r="C30" s="177"/>
      <c r="D30" s="181"/>
      <c r="E30" s="181"/>
      <c r="F30" s="180"/>
      <c r="G30" s="183"/>
      <c r="H30" s="183"/>
      <c r="I30" s="183"/>
      <c r="J30" s="183"/>
      <c r="K30" s="183"/>
      <c r="L30" s="183"/>
      <c r="M30" s="180"/>
      <c r="N30" s="178"/>
      <c r="O30" s="178"/>
      <c r="P30" s="179"/>
      <c r="Q30" s="179"/>
      <c r="R30" s="179"/>
      <c r="S30" s="179"/>
      <c r="T30" s="179"/>
    </row>
    <row r="31" spans="1:20" s="2" customFormat="1" ht="15" customHeight="1">
      <c r="A31" s="8"/>
      <c r="B31" s="16"/>
      <c r="C31" s="177"/>
      <c r="D31" s="181"/>
      <c r="E31" s="181">
        <f>IFERROR(VLOOKUP(C31,'[2]DSCBCNV '!$E$5:$AE$400,27,0),0)</f>
        <v>0</v>
      </c>
      <c r="F31" s="180">
        <f>IFERROR(VLOOKUP(C31,'[2]DSCBCNV '!$E$5:$AO$400,37,0),0)</f>
        <v>0</v>
      </c>
      <c r="G31" s="183">
        <f>IFERROR(VLOOKUP(C31,[3]T1!$AH$7:$AI$371,2,0),0)</f>
        <v>0</v>
      </c>
      <c r="H31" s="183">
        <f>IFERROR(VLOOKUP(C31,[3]T1!$AH$7:$AK$371,4,0),0)</f>
        <v>0</v>
      </c>
      <c r="I31" s="183">
        <f>IFERROR(VLOOKUP(C31,[3]T1!$AH$7:$AJ$371,3,0),0)</f>
        <v>0</v>
      </c>
      <c r="J31" s="183">
        <f>IFERROR(VLOOKUP(C31,[3]T1!$AH$7:$AO$371,8,0),0)</f>
        <v>0</v>
      </c>
      <c r="K31" s="183">
        <f>IFERROR(VLOOKUP(C31,[3]T1!$AH$7:$AM$371,6,0),0)</f>
        <v>0</v>
      </c>
      <c r="L31" s="183">
        <f>IFERROR(VLOOKUP(C31,[4]T1!$C$7:$AH$370,32,0),0)</f>
        <v>0</v>
      </c>
      <c r="M31" s="180">
        <f>IFERROR(VLOOKUP(C31,[5]Sheet1!$A$4:$B$103,2,0),0)</f>
        <v>0</v>
      </c>
      <c r="N31" s="178">
        <f t="shared" ref="N31:N32" si="20">12000*(G31+U31)</f>
        <v>0</v>
      </c>
      <c r="O31" s="178">
        <f t="shared" ref="O31:O32" si="21">10000*G31</f>
        <v>0</v>
      </c>
      <c r="P31" s="179"/>
      <c r="Q31" s="179"/>
      <c r="R31" s="179"/>
      <c r="S31" s="179"/>
      <c r="T31" s="179"/>
    </row>
    <row r="32" spans="1:20" s="2" customFormat="1" ht="15" customHeight="1">
      <c r="A32" s="8"/>
      <c r="B32" s="16"/>
      <c r="C32" s="177"/>
      <c r="D32" s="180"/>
      <c r="E32" s="180"/>
      <c r="F32" s="180"/>
      <c r="G32" s="180"/>
      <c r="H32" s="180"/>
      <c r="I32" s="180"/>
      <c r="J32" s="180"/>
      <c r="K32" s="180"/>
      <c r="L32" s="180"/>
      <c r="M32" s="180"/>
      <c r="N32" s="178"/>
      <c r="O32" s="178"/>
      <c r="P32" s="179"/>
      <c r="Q32" s="179"/>
      <c r="R32" s="179"/>
      <c r="S32" s="179"/>
      <c r="T32" s="179"/>
    </row>
    <row r="33" spans="1:15">
      <c r="B33" s="49"/>
    </row>
    <row r="34" spans="1:15">
      <c r="B34" s="49"/>
    </row>
    <row r="35" spans="1:15">
      <c r="B35" s="49"/>
    </row>
    <row r="36" spans="1:15">
      <c r="B36" s="49"/>
    </row>
    <row r="37" spans="1:15">
      <c r="B37" s="49"/>
    </row>
    <row r="38" spans="1:15">
      <c r="B38" s="49"/>
    </row>
    <row r="39" spans="1:15">
      <c r="B39" s="49"/>
    </row>
    <row r="40" spans="1:15">
      <c r="B40" s="49"/>
    </row>
    <row r="41" spans="1:15" s="2" customFormat="1" ht="15" customHeight="1">
      <c r="A41" s="43"/>
      <c r="B41" s="10"/>
      <c r="C41" s="45"/>
      <c r="D41" s="57"/>
      <c r="E41" s="57"/>
      <c r="F41" s="58"/>
      <c r="G41" s="53"/>
      <c r="H41" s="53"/>
      <c r="I41" s="53"/>
      <c r="J41" s="53"/>
      <c r="K41" s="53"/>
      <c r="L41" s="53"/>
      <c r="M41" s="50"/>
      <c r="N41" s="50"/>
      <c r="O41" s="50"/>
    </row>
    <row r="42" spans="1:15" s="2" customFormat="1" ht="15" customHeight="1">
      <c r="A42" s="42"/>
      <c r="B42" s="10"/>
      <c r="C42" s="45"/>
      <c r="D42" s="57"/>
      <c r="E42" s="57"/>
      <c r="F42" s="50"/>
      <c r="G42" s="53"/>
      <c r="H42" s="53"/>
      <c r="I42" s="53"/>
      <c r="J42" s="53"/>
      <c r="K42" s="53"/>
      <c r="L42" s="53"/>
      <c r="M42" s="50"/>
      <c r="N42" s="50"/>
      <c r="O42" s="50"/>
    </row>
    <row r="43" spans="1:15" s="2" customFormat="1" ht="15" customHeight="1">
      <c r="A43" s="43"/>
      <c r="B43" s="10"/>
      <c r="C43" s="45"/>
      <c r="D43" s="57"/>
      <c r="E43" s="57"/>
      <c r="F43" s="58"/>
      <c r="G43" s="53"/>
      <c r="H43" s="53"/>
      <c r="I43" s="53"/>
      <c r="J43" s="53"/>
      <c r="K43" s="53"/>
      <c r="L43" s="53"/>
      <c r="M43" s="50"/>
      <c r="N43" s="50"/>
      <c r="O43" s="50"/>
    </row>
    <row r="44" spans="1:15" s="2" customFormat="1" ht="15" customHeight="1">
      <c r="A44" s="42"/>
      <c r="B44" s="10"/>
      <c r="C44" s="45"/>
      <c r="D44" s="57"/>
      <c r="E44" s="57"/>
      <c r="F44" s="50"/>
      <c r="G44" s="53"/>
      <c r="H44" s="53"/>
      <c r="I44" s="53"/>
      <c r="J44" s="53"/>
      <c r="K44" s="53"/>
      <c r="L44" s="53"/>
      <c r="M44" s="50"/>
      <c r="N44" s="50"/>
      <c r="O44" s="50"/>
    </row>
    <row r="45" spans="1:15" s="2" customFormat="1" ht="15" customHeight="1">
      <c r="A45" s="43"/>
      <c r="B45" s="10"/>
      <c r="C45" s="45"/>
      <c r="D45" s="57"/>
      <c r="E45" s="57"/>
      <c r="F45" s="58"/>
      <c r="G45" s="53"/>
      <c r="H45" s="53"/>
      <c r="I45" s="53"/>
      <c r="J45" s="53"/>
      <c r="K45" s="53"/>
      <c r="L45" s="53"/>
      <c r="M45" s="50"/>
      <c r="N45" s="50"/>
      <c r="O45" s="50"/>
    </row>
    <row r="46" spans="1:15" s="2" customFormat="1" ht="15" customHeight="1">
      <c r="A46" s="42"/>
      <c r="B46" s="10">
        <f>B42*G15</f>
        <v>0</v>
      </c>
      <c r="C46" s="45"/>
      <c r="D46" s="57"/>
      <c r="E46" s="57"/>
      <c r="F46" s="50"/>
      <c r="G46" s="53"/>
      <c r="H46" s="53"/>
      <c r="I46" s="53"/>
      <c r="J46" s="53"/>
      <c r="K46" s="53"/>
      <c r="L46" s="53"/>
      <c r="M46" s="50"/>
      <c r="N46" s="50"/>
      <c r="O46" s="50"/>
    </row>
    <row r="47" spans="1:15" s="2" customFormat="1" ht="15" customHeight="1">
      <c r="A47" s="43"/>
      <c r="B47" s="10"/>
      <c r="C47" s="45"/>
      <c r="D47" s="57"/>
      <c r="E47" s="57"/>
      <c r="F47" s="58"/>
      <c r="G47" s="50"/>
      <c r="H47" s="50"/>
      <c r="I47" s="50"/>
      <c r="J47" s="50"/>
      <c r="K47" s="50"/>
      <c r="L47" s="50"/>
      <c r="M47" s="50"/>
      <c r="N47" s="50"/>
      <c r="O47" s="52"/>
    </row>
    <row r="48" spans="1:15" s="2" customFormat="1" ht="15" customHeight="1">
      <c r="A48" s="42"/>
      <c r="B48" s="10"/>
      <c r="C48" s="45"/>
      <c r="D48" s="57"/>
      <c r="E48" s="57"/>
      <c r="F48" s="50"/>
      <c r="G48" s="53"/>
      <c r="H48" s="53"/>
      <c r="I48" s="53"/>
      <c r="J48" s="53"/>
      <c r="K48" s="53"/>
      <c r="L48" s="53"/>
      <c r="M48" s="50"/>
      <c r="N48" s="50"/>
      <c r="O48" s="52"/>
    </row>
    <row r="49" spans="1:15" s="2" customFormat="1" ht="15" customHeight="1">
      <c r="A49" s="43"/>
      <c r="B49" s="10"/>
      <c r="C49" s="45"/>
      <c r="D49" s="57"/>
      <c r="E49" s="57"/>
      <c r="F49" s="58"/>
      <c r="G49" s="50"/>
      <c r="H49" s="50"/>
      <c r="I49" s="50"/>
      <c r="J49" s="50"/>
      <c r="K49" s="50"/>
      <c r="L49" s="50"/>
      <c r="M49" s="50"/>
      <c r="N49" s="50"/>
      <c r="O49" s="52"/>
    </row>
    <row r="50" spans="1:15" s="2" customFormat="1" ht="15" customHeight="1">
      <c r="A50" s="42"/>
      <c r="B50" s="10"/>
      <c r="C50" s="45"/>
      <c r="D50" s="57"/>
      <c r="E50" s="57"/>
      <c r="F50" s="50"/>
      <c r="G50" s="53"/>
      <c r="H50" s="53"/>
      <c r="I50" s="53"/>
      <c r="J50" s="53"/>
      <c r="K50" s="53"/>
      <c r="L50" s="53"/>
      <c r="M50" s="50"/>
      <c r="N50" s="50"/>
      <c r="O50" s="50"/>
    </row>
    <row r="51" spans="1:15" s="2" customFormat="1" ht="15" customHeight="1">
      <c r="A51" s="43"/>
      <c r="B51" s="10"/>
      <c r="C51" s="45"/>
      <c r="D51" s="57"/>
      <c r="E51" s="57"/>
      <c r="F51" s="50"/>
      <c r="G51" s="50"/>
      <c r="H51" s="50"/>
      <c r="I51" s="50"/>
      <c r="J51" s="50"/>
      <c r="K51" s="50"/>
      <c r="L51" s="50"/>
      <c r="M51" s="50"/>
      <c r="N51" s="50"/>
      <c r="O51" s="54"/>
    </row>
    <row r="52" spans="1:15" s="2" customFormat="1" ht="15" customHeight="1">
      <c r="A52" s="42"/>
      <c r="B52" s="13"/>
      <c r="C52" s="46"/>
      <c r="D52" s="57"/>
      <c r="E52" s="57"/>
      <c r="F52" s="50"/>
      <c r="G52" s="53"/>
      <c r="H52" s="53"/>
      <c r="I52" s="53"/>
      <c r="J52" s="53"/>
      <c r="K52" s="53"/>
      <c r="L52" s="53"/>
      <c r="M52" s="50"/>
      <c r="N52" s="50"/>
      <c r="O52" s="50"/>
    </row>
    <row r="53" spans="1:15" s="2" customFormat="1" ht="15" customHeight="1">
      <c r="A53" s="43"/>
      <c r="B53" s="13"/>
      <c r="C53" s="46"/>
      <c r="D53" s="57"/>
      <c r="E53" s="57"/>
      <c r="F53" s="50"/>
      <c r="G53" s="50"/>
      <c r="H53" s="50"/>
      <c r="I53" s="50"/>
      <c r="J53" s="50"/>
      <c r="K53" s="50"/>
      <c r="L53" s="50"/>
      <c r="M53" s="50"/>
      <c r="N53" s="50"/>
      <c r="O53" s="50"/>
    </row>
    <row r="54" spans="1:15" s="2" customFormat="1" ht="15" customHeight="1">
      <c r="A54" s="42"/>
      <c r="B54" s="14"/>
      <c r="C54" s="47"/>
      <c r="D54" s="57"/>
      <c r="E54" s="57"/>
      <c r="F54" s="50"/>
      <c r="G54" s="53"/>
      <c r="H54" s="53"/>
      <c r="I54" s="53"/>
      <c r="J54" s="53"/>
      <c r="K54" s="53"/>
      <c r="L54" s="53"/>
      <c r="M54" s="50"/>
      <c r="N54" s="50"/>
      <c r="O54" s="52"/>
    </row>
    <row r="55" spans="1:15" s="2" customFormat="1" ht="15" customHeight="1">
      <c r="A55" s="43"/>
      <c r="B55" s="13"/>
      <c r="C55" s="46"/>
      <c r="D55" s="57"/>
      <c r="E55" s="57"/>
      <c r="F55" s="50"/>
      <c r="G55" s="50"/>
      <c r="H55" s="50"/>
      <c r="I55" s="50"/>
      <c r="J55" s="50"/>
      <c r="K55" s="50"/>
      <c r="L55" s="50"/>
      <c r="M55" s="50"/>
      <c r="N55" s="50"/>
      <c r="O55" s="52"/>
    </row>
    <row r="56" spans="1:15" s="2" customFormat="1" ht="15" customHeight="1">
      <c r="A56" s="43"/>
      <c r="B56" s="13"/>
      <c r="C56" s="46"/>
      <c r="D56" s="57"/>
      <c r="E56" s="57"/>
      <c r="F56" s="50"/>
      <c r="G56" s="53"/>
      <c r="H56" s="53"/>
      <c r="I56" s="53"/>
      <c r="J56" s="53"/>
      <c r="K56" s="53"/>
      <c r="L56" s="53"/>
      <c r="M56" s="50"/>
      <c r="N56" s="50"/>
      <c r="O56" s="52"/>
    </row>
    <row r="57" spans="1:15" s="2" customFormat="1" ht="15" customHeight="1">
      <c r="A57" s="43"/>
      <c r="B57" s="10"/>
      <c r="C57" s="45"/>
      <c r="D57" s="57"/>
      <c r="E57" s="57"/>
      <c r="F57" s="50"/>
      <c r="G57" s="50"/>
      <c r="H57" s="50"/>
      <c r="I57" s="50"/>
      <c r="J57" s="50"/>
      <c r="K57" s="50"/>
      <c r="L57" s="50"/>
      <c r="M57" s="50"/>
      <c r="N57" s="50"/>
      <c r="O57" s="52"/>
    </row>
    <row r="58" spans="1:15" s="2" customFormat="1" ht="21.75" customHeight="1">
      <c r="A58" s="44"/>
      <c r="B58" s="16"/>
      <c r="C58" s="48"/>
      <c r="D58" s="57"/>
      <c r="E58" s="57"/>
      <c r="F58" s="50"/>
      <c r="G58" s="53"/>
      <c r="H58" s="53"/>
      <c r="I58" s="53"/>
      <c r="J58" s="53"/>
      <c r="K58" s="53"/>
      <c r="L58" s="53"/>
      <c r="M58" s="50"/>
      <c r="N58" s="50"/>
      <c r="O58" s="52"/>
    </row>
    <row r="59" spans="1:15" s="2" customFormat="1" ht="21.75" customHeight="1">
      <c r="A59" s="8"/>
      <c r="B59" s="17"/>
      <c r="C59" s="18"/>
      <c r="D59" s="57"/>
      <c r="E59" s="57"/>
      <c r="F59" s="50"/>
      <c r="G59" s="50"/>
      <c r="H59" s="50"/>
      <c r="I59" s="50"/>
      <c r="J59" s="50"/>
      <c r="K59" s="50"/>
      <c r="L59" s="50"/>
      <c r="M59" s="50"/>
      <c r="N59" s="50"/>
      <c r="O59" s="52"/>
    </row>
    <row r="60" spans="1:15" s="2" customFormat="1" ht="21.75" customHeight="1">
      <c r="A60" s="15"/>
      <c r="B60" s="17"/>
      <c r="C60" s="18"/>
      <c r="D60" s="57"/>
      <c r="E60" s="57"/>
      <c r="F60" s="50"/>
      <c r="G60" s="53"/>
      <c r="H60" s="53"/>
      <c r="I60" s="53"/>
      <c r="J60" s="53"/>
      <c r="K60" s="53"/>
      <c r="L60" s="53"/>
      <c r="M60" s="50"/>
      <c r="N60" s="50"/>
      <c r="O60" s="52"/>
    </row>
    <row r="61" spans="1:15" s="2" customFormat="1" ht="21.75" customHeight="1">
      <c r="A61" s="8"/>
      <c r="B61" s="17"/>
      <c r="C61" s="18"/>
      <c r="D61" s="57"/>
      <c r="E61" s="57"/>
      <c r="F61" s="50"/>
      <c r="G61" s="50"/>
      <c r="H61" s="50"/>
      <c r="I61" s="50"/>
      <c r="J61" s="50"/>
      <c r="K61" s="50"/>
      <c r="L61" s="50"/>
      <c r="M61" s="50"/>
      <c r="N61" s="50"/>
      <c r="O61" s="52"/>
    </row>
    <row r="62" spans="1:15" s="2" customFormat="1" ht="21.75" customHeight="1">
      <c r="A62" s="15"/>
      <c r="B62" s="17"/>
      <c r="C62" s="18"/>
      <c r="D62" s="57"/>
      <c r="E62" s="57"/>
      <c r="F62" s="50"/>
      <c r="G62" s="53"/>
      <c r="H62" s="53"/>
      <c r="I62" s="53"/>
      <c r="J62" s="53"/>
      <c r="K62" s="53"/>
      <c r="L62" s="53"/>
      <c r="M62" s="50"/>
      <c r="N62" s="50"/>
      <c r="O62" s="52"/>
    </row>
    <row r="63" spans="1:15" s="2" customFormat="1" ht="21.75" customHeight="1">
      <c r="A63" s="8"/>
      <c r="B63" s="17"/>
      <c r="C63" s="18"/>
      <c r="D63" s="57"/>
      <c r="E63" s="57"/>
      <c r="F63" s="50"/>
      <c r="G63" s="50"/>
      <c r="H63" s="50"/>
      <c r="I63" s="50"/>
      <c r="J63" s="50"/>
      <c r="K63" s="50"/>
      <c r="L63" s="50"/>
      <c r="M63" s="50"/>
      <c r="N63" s="50"/>
      <c r="O63" s="52"/>
    </row>
    <row r="64" spans="1:15" s="2" customFormat="1" ht="21.75" customHeight="1">
      <c r="A64" s="15"/>
      <c r="B64" s="17"/>
      <c r="C64" s="18"/>
      <c r="D64" s="57"/>
      <c r="E64" s="57"/>
      <c r="F64" s="50"/>
      <c r="G64" s="53"/>
      <c r="H64" s="53"/>
      <c r="I64" s="53"/>
      <c r="J64" s="53"/>
      <c r="K64" s="53"/>
      <c r="L64" s="53"/>
      <c r="M64" s="50"/>
      <c r="N64" s="50"/>
      <c r="O64" s="52"/>
    </row>
    <row r="65" spans="1:15" s="2" customFormat="1" ht="21.75" customHeight="1">
      <c r="A65" s="8"/>
      <c r="B65" s="17"/>
      <c r="C65" s="18"/>
      <c r="D65" s="57"/>
      <c r="E65" s="57"/>
      <c r="F65" s="50"/>
      <c r="G65" s="50"/>
      <c r="H65" s="50"/>
      <c r="I65" s="50"/>
      <c r="J65" s="50"/>
      <c r="K65" s="50"/>
      <c r="L65" s="50"/>
      <c r="M65" s="50"/>
      <c r="N65" s="50"/>
      <c r="O65" s="52"/>
    </row>
    <row r="66" spans="1:15" s="2" customFormat="1" ht="21.75" customHeight="1">
      <c r="A66" s="15"/>
      <c r="B66" s="17"/>
      <c r="C66" s="18"/>
      <c r="D66" s="57"/>
      <c r="E66" s="57"/>
      <c r="F66" s="50"/>
      <c r="G66" s="53"/>
      <c r="H66" s="53"/>
      <c r="I66" s="53"/>
      <c r="J66" s="53"/>
      <c r="K66" s="53"/>
      <c r="L66" s="53"/>
      <c r="M66" s="50"/>
      <c r="N66" s="50"/>
      <c r="O66" s="52"/>
    </row>
    <row r="67" spans="1:15" s="2" customFormat="1" ht="21.75" customHeight="1">
      <c r="A67" s="8"/>
      <c r="B67" s="17"/>
      <c r="C67" s="18"/>
      <c r="D67" s="57"/>
      <c r="E67" s="57"/>
      <c r="F67" s="50"/>
      <c r="G67" s="50"/>
      <c r="H67" s="50"/>
      <c r="I67" s="50"/>
      <c r="J67" s="50"/>
      <c r="K67" s="50"/>
      <c r="L67" s="50"/>
      <c r="M67" s="50"/>
      <c r="N67" s="50"/>
      <c r="O67" s="52"/>
    </row>
    <row r="68" spans="1:15" s="2" customFormat="1" ht="21.75" customHeight="1">
      <c r="A68" s="15"/>
      <c r="B68" s="17"/>
      <c r="C68" s="18"/>
      <c r="D68" s="57"/>
      <c r="E68" s="57"/>
      <c r="F68" s="50"/>
      <c r="G68" s="53"/>
      <c r="H68" s="53"/>
      <c r="I68" s="53"/>
      <c r="J68" s="53"/>
      <c r="K68" s="53"/>
      <c r="L68" s="53"/>
      <c r="M68" s="50"/>
      <c r="N68" s="50"/>
      <c r="O68" s="52"/>
    </row>
    <row r="69" spans="1:15" s="2" customFormat="1" ht="21.75" customHeight="1">
      <c r="A69" s="8"/>
      <c r="B69" s="17"/>
      <c r="C69" s="18"/>
      <c r="D69" s="57"/>
      <c r="E69" s="57"/>
      <c r="F69" s="50"/>
      <c r="G69" s="50"/>
      <c r="H69" s="50"/>
      <c r="I69" s="50"/>
      <c r="J69" s="50"/>
      <c r="K69" s="50"/>
      <c r="L69" s="50"/>
      <c r="M69" s="50"/>
      <c r="N69" s="50"/>
      <c r="O69" s="52"/>
    </row>
    <row r="70" spans="1:15" s="2" customFormat="1" ht="21.75" customHeight="1">
      <c r="A70" s="15"/>
      <c r="B70" s="17"/>
      <c r="C70" s="18"/>
      <c r="D70" s="57"/>
      <c r="E70" s="57"/>
      <c r="F70" s="50"/>
      <c r="G70" s="53"/>
      <c r="H70" s="53"/>
      <c r="I70" s="53"/>
      <c r="J70" s="53"/>
      <c r="K70" s="53"/>
      <c r="L70" s="53"/>
      <c r="M70" s="50"/>
      <c r="N70" s="50"/>
      <c r="O70" s="52"/>
    </row>
    <row r="71" spans="1:15" s="2" customFormat="1" ht="21.75" customHeight="1">
      <c r="A71" s="8"/>
      <c r="B71" s="17"/>
      <c r="C71" s="18"/>
      <c r="D71" s="57"/>
      <c r="E71" s="57"/>
      <c r="F71" s="50"/>
      <c r="G71" s="50"/>
      <c r="H71" s="50"/>
      <c r="I71" s="50"/>
      <c r="J71" s="50"/>
      <c r="K71" s="50"/>
      <c r="L71" s="50"/>
      <c r="M71" s="50"/>
      <c r="N71" s="50"/>
      <c r="O71" s="52"/>
    </row>
    <row r="72" spans="1:15" s="2" customFormat="1" ht="21.75" customHeight="1">
      <c r="A72" s="15"/>
      <c r="B72" s="17"/>
      <c r="C72" s="18"/>
      <c r="D72" s="57"/>
      <c r="E72" s="57"/>
      <c r="F72" s="50"/>
      <c r="G72" s="53"/>
      <c r="H72" s="53"/>
      <c r="I72" s="53"/>
      <c r="J72" s="53"/>
      <c r="K72" s="53"/>
      <c r="L72" s="53"/>
      <c r="M72" s="50"/>
      <c r="N72" s="50"/>
      <c r="O72" s="52"/>
    </row>
    <row r="73" spans="1:15" s="2" customFormat="1" ht="21.75" customHeight="1">
      <c r="A73" s="8"/>
      <c r="B73" s="17"/>
      <c r="C73" s="18"/>
      <c r="D73" s="57"/>
      <c r="E73" s="57"/>
      <c r="F73" s="50"/>
      <c r="G73" s="50"/>
      <c r="H73" s="50"/>
      <c r="I73" s="50"/>
      <c r="J73" s="50"/>
      <c r="K73" s="50"/>
      <c r="L73" s="50"/>
      <c r="M73" s="50"/>
      <c r="N73" s="50"/>
      <c r="O73" s="52"/>
    </row>
    <row r="74" spans="1:15" s="2" customFormat="1" ht="21.75" customHeight="1">
      <c r="A74" s="15"/>
      <c r="B74" s="17"/>
      <c r="C74" s="18"/>
      <c r="D74" s="57"/>
      <c r="E74" s="57"/>
      <c r="F74" s="50"/>
      <c r="G74" s="53"/>
      <c r="H74" s="53"/>
      <c r="I74" s="53"/>
      <c r="J74" s="53"/>
      <c r="K74" s="53"/>
      <c r="L74" s="53"/>
      <c r="M74" s="50"/>
      <c r="N74" s="50"/>
      <c r="O74" s="52"/>
    </row>
    <row r="75" spans="1:15" s="2" customFormat="1" ht="21.75" customHeight="1">
      <c r="A75" s="8"/>
      <c r="B75" s="17"/>
      <c r="C75" s="18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2"/>
    </row>
    <row r="76" spans="1:15" s="2" customFormat="1" ht="21.75" customHeight="1">
      <c r="A76" s="15"/>
      <c r="B76" s="17"/>
      <c r="C76" s="18"/>
      <c r="D76" s="57"/>
      <c r="E76" s="57"/>
      <c r="F76" s="50"/>
      <c r="G76" s="53"/>
      <c r="H76" s="53"/>
      <c r="I76" s="53"/>
      <c r="J76" s="53"/>
      <c r="K76" s="53"/>
      <c r="L76" s="53"/>
      <c r="M76" s="50"/>
      <c r="N76" s="50"/>
      <c r="O76" s="52"/>
    </row>
    <row r="77" spans="1:15" s="2" customFormat="1" ht="21.75" customHeight="1">
      <c r="A77" s="8"/>
      <c r="B77" s="17"/>
      <c r="C77" s="18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2"/>
    </row>
    <row r="78" spans="1:15" s="2" customFormat="1" ht="21.75" customHeight="1">
      <c r="A78" s="15"/>
      <c r="B78" s="17"/>
      <c r="C78" s="18"/>
      <c r="D78" s="57"/>
      <c r="E78" s="57"/>
      <c r="F78" s="50"/>
      <c r="G78" s="53"/>
      <c r="H78" s="53"/>
      <c r="I78" s="53"/>
      <c r="J78" s="53"/>
      <c r="K78" s="53"/>
      <c r="L78" s="53"/>
      <c r="M78" s="50"/>
      <c r="N78" s="50"/>
      <c r="O78" s="52"/>
    </row>
    <row r="79" spans="1:15" s="2" customFormat="1" ht="21.75" customHeight="1">
      <c r="A79" s="8"/>
      <c r="B79" s="17"/>
      <c r="C79" s="18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2"/>
    </row>
    <row r="80" spans="1:15" s="2" customFormat="1" ht="21.75" customHeight="1">
      <c r="A80" s="19"/>
      <c r="B80" s="17"/>
      <c r="C80" s="18"/>
      <c r="D80" s="57"/>
      <c r="E80" s="57"/>
      <c r="F80" s="50"/>
      <c r="G80" s="53"/>
      <c r="H80" s="53"/>
      <c r="I80" s="53"/>
      <c r="J80" s="53"/>
      <c r="K80" s="53"/>
      <c r="L80" s="53"/>
      <c r="M80" s="50"/>
      <c r="N80" s="50"/>
      <c r="O80" s="52"/>
    </row>
    <row r="81" spans="1:15" s="2" customFormat="1" ht="21.75" customHeight="1">
      <c r="A81" s="19"/>
      <c r="B81" s="17"/>
      <c r="C81" s="18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2"/>
    </row>
    <row r="82" spans="1:15" s="2" customFormat="1" ht="21.75" customHeight="1">
      <c r="A82" s="19"/>
      <c r="B82" s="17"/>
      <c r="C82" s="18"/>
      <c r="D82" s="57"/>
      <c r="E82" s="57"/>
      <c r="F82" s="50"/>
      <c r="G82" s="53"/>
      <c r="H82" s="53"/>
      <c r="I82" s="53"/>
      <c r="J82" s="53"/>
      <c r="K82" s="53"/>
      <c r="L82" s="53"/>
      <c r="M82" s="50"/>
      <c r="N82" s="50"/>
      <c r="O82" s="52"/>
    </row>
    <row r="83" spans="1:15" s="2" customFormat="1" ht="21.75" customHeight="1">
      <c r="A83" s="19"/>
      <c r="B83" s="17"/>
      <c r="C83" s="18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2"/>
    </row>
    <row r="84" spans="1:15" s="2" customFormat="1" ht="21.75" customHeight="1">
      <c r="A84" s="19"/>
      <c r="B84" s="17"/>
      <c r="C84" s="18"/>
      <c r="D84" s="57"/>
      <c r="E84" s="57"/>
      <c r="F84" s="50"/>
      <c r="G84" s="53"/>
      <c r="H84" s="53"/>
      <c r="I84" s="53"/>
      <c r="J84" s="53"/>
      <c r="K84" s="53"/>
      <c r="L84" s="53"/>
      <c r="M84" s="50"/>
      <c r="N84" s="50"/>
      <c r="O84" s="52"/>
    </row>
    <row r="85" spans="1:15" s="2" customFormat="1" ht="21.75" customHeight="1">
      <c r="A85" s="19"/>
      <c r="B85" s="17"/>
      <c r="C85" s="18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2"/>
    </row>
    <row r="86" spans="1:15" s="2" customFormat="1" ht="21.75" customHeight="1">
      <c r="A86" s="19"/>
      <c r="B86" s="17"/>
      <c r="C86" s="18"/>
      <c r="D86" s="57"/>
      <c r="E86" s="57"/>
      <c r="F86" s="50"/>
      <c r="G86" s="53"/>
      <c r="H86" s="53"/>
      <c r="I86" s="53"/>
      <c r="J86" s="53"/>
      <c r="K86" s="53"/>
      <c r="L86" s="53"/>
      <c r="M86" s="50"/>
      <c r="N86" s="50"/>
      <c r="O86" s="52"/>
    </row>
    <row r="87" spans="1:15" s="2" customFormat="1" ht="21.75" customHeight="1">
      <c r="A87" s="19"/>
      <c r="B87" s="17"/>
      <c r="C87" s="18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2"/>
    </row>
    <row r="88" spans="1:15" s="24" customFormat="1" ht="21.75" customHeight="1">
      <c r="A88" s="21"/>
      <c r="B88" s="22"/>
      <c r="C88" s="23"/>
      <c r="D88" s="57"/>
      <c r="E88" s="57"/>
      <c r="F88" s="50"/>
      <c r="G88" s="53"/>
      <c r="H88" s="53"/>
      <c r="I88" s="53"/>
      <c r="J88" s="53"/>
      <c r="K88" s="53"/>
      <c r="L88" s="53"/>
      <c r="M88" s="50"/>
      <c r="N88" s="50"/>
      <c r="O88" s="52"/>
    </row>
    <row r="89" spans="1:15" s="27" customFormat="1" ht="21" customHeight="1">
      <c r="A89" s="25"/>
      <c r="B89" s="26"/>
      <c r="C89" s="11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2"/>
    </row>
    <row r="90" spans="1:15" s="27" customFormat="1" ht="21.75" customHeight="1">
      <c r="A90" s="25"/>
      <c r="B90" s="26"/>
      <c r="C90" s="11"/>
      <c r="D90" s="57"/>
      <c r="E90" s="57"/>
      <c r="F90" s="50"/>
      <c r="G90" s="53"/>
      <c r="H90" s="53"/>
      <c r="I90" s="53"/>
      <c r="J90" s="53"/>
      <c r="K90" s="53"/>
      <c r="L90" s="53"/>
      <c r="M90" s="50"/>
      <c r="N90" s="50"/>
      <c r="O90" s="52"/>
    </row>
    <row r="91" spans="1:15" s="27" customFormat="1" ht="21.75" customHeight="1">
      <c r="A91" s="25"/>
      <c r="B91" s="26"/>
      <c r="C91" s="11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2"/>
    </row>
    <row r="92" spans="1:15" s="27" customFormat="1" ht="21.75" customHeight="1">
      <c r="A92" s="28"/>
      <c r="B92" s="29"/>
      <c r="C92" s="30"/>
      <c r="D92" s="57"/>
      <c r="E92" s="57"/>
      <c r="F92" s="50"/>
      <c r="G92" s="53"/>
      <c r="H92" s="53"/>
      <c r="I92" s="53"/>
      <c r="J92" s="53"/>
      <c r="K92" s="53"/>
      <c r="L92" s="53"/>
      <c r="M92" s="50"/>
      <c r="N92" s="50"/>
      <c r="O92" s="52"/>
    </row>
    <row r="93" spans="1:15" s="27" customFormat="1" ht="21.75" customHeight="1">
      <c r="A93" s="31">
        <v>10</v>
      </c>
      <c r="B93" s="32"/>
      <c r="C93" s="33"/>
      <c r="D93" s="50"/>
      <c r="E93" s="50"/>
      <c r="F93" s="50"/>
      <c r="G93" s="50"/>
      <c r="H93" s="50"/>
      <c r="I93" s="50"/>
      <c r="J93" s="50"/>
      <c r="K93" s="50"/>
      <c r="L93" s="50"/>
      <c r="M93" s="50">
        <f>IFERROR(VLOOKUP(C93,[6]t1!A$4:C$523,2,0),0)</f>
        <v>0</v>
      </c>
      <c r="N93" s="50"/>
      <c r="O93" s="52"/>
    </row>
    <row r="94" spans="1:15" s="2" customFormat="1" ht="19.5" customHeight="1">
      <c r="A94" s="34"/>
      <c r="B94" s="35"/>
      <c r="C94" s="36"/>
      <c r="D94" s="57"/>
      <c r="E94" s="57"/>
      <c r="F94" s="50"/>
      <c r="G94" s="53"/>
      <c r="H94" s="53"/>
      <c r="I94" s="53"/>
      <c r="J94" s="53"/>
      <c r="K94" s="53"/>
      <c r="L94" s="53"/>
      <c r="M94" s="50"/>
      <c r="N94" s="50"/>
      <c r="O94" s="52"/>
    </row>
    <row r="95" spans="1:15" s="2" customFormat="1" ht="24.75" customHeight="1">
      <c r="A95" s="9">
        <v>11</v>
      </c>
      <c r="B95" s="26"/>
      <c r="C95" s="11"/>
      <c r="D95" s="50"/>
      <c r="E95" s="50"/>
      <c r="F95" s="50"/>
      <c r="G95" s="50"/>
      <c r="H95" s="50"/>
      <c r="I95" s="50"/>
      <c r="J95" s="50"/>
      <c r="K95" s="50"/>
      <c r="L95" s="50"/>
      <c r="M95" s="50">
        <f>IFERROR(VLOOKUP(C95,[6]t1!A$4:C$523,2,0),0)</f>
        <v>0</v>
      </c>
      <c r="N95" s="50"/>
      <c r="O95" s="52"/>
    </row>
    <row r="96" spans="1:15" s="2" customFormat="1" ht="23.25" customHeight="1">
      <c r="A96" s="25">
        <v>12</v>
      </c>
      <c r="B96" s="26"/>
      <c r="C96" s="11"/>
      <c r="D96" s="57"/>
      <c r="E96" s="57"/>
      <c r="F96" s="50"/>
      <c r="G96" s="53"/>
      <c r="H96" s="53"/>
      <c r="I96" s="53"/>
      <c r="J96" s="53"/>
      <c r="K96" s="53"/>
      <c r="L96" s="53"/>
      <c r="M96" s="50"/>
      <c r="N96" s="50"/>
      <c r="O96" s="52"/>
    </row>
    <row r="97" spans="3:15" s="2" customFormat="1">
      <c r="C97" s="20"/>
      <c r="D97" s="50"/>
      <c r="E97" s="50"/>
      <c r="F97" s="50"/>
      <c r="G97" s="50"/>
      <c r="H97" s="50"/>
      <c r="I97" s="50"/>
      <c r="J97" s="50"/>
      <c r="K97" s="50"/>
      <c r="L97" s="50"/>
      <c r="M97" s="50">
        <f>IFERROR(VLOOKUP(C97,[6]t1!A$4:C$523,2,0),0)</f>
        <v>0</v>
      </c>
      <c r="N97" s="50"/>
      <c r="O97" s="52"/>
    </row>
    <row r="98" spans="3:15" s="2" customFormat="1">
      <c r="C98" s="20"/>
      <c r="D98" s="57"/>
      <c r="E98" s="57"/>
      <c r="F98" s="50"/>
      <c r="G98" s="53"/>
      <c r="H98" s="53"/>
      <c r="I98" s="53"/>
      <c r="J98" s="53"/>
      <c r="K98" s="53"/>
      <c r="L98" s="53"/>
      <c r="M98" s="50"/>
      <c r="N98" s="50"/>
      <c r="O98" s="52"/>
    </row>
    <row r="99" spans="3:15" s="2" customFormat="1">
      <c r="C99" s="20"/>
      <c r="D99" s="50"/>
      <c r="E99" s="50"/>
      <c r="F99" s="50"/>
      <c r="G99" s="50"/>
      <c r="H99" s="50"/>
      <c r="I99" s="50"/>
      <c r="J99" s="50"/>
      <c r="K99" s="50"/>
      <c r="L99" s="50"/>
      <c r="M99" s="50">
        <f>IFERROR(VLOOKUP(C99,[6]t1!A$4:C$523,2,0),0)</f>
        <v>0</v>
      </c>
      <c r="N99" s="50"/>
      <c r="O99" s="52"/>
    </row>
    <row r="100" spans="3:15" s="2" customFormat="1">
      <c r="C100" s="20"/>
      <c r="D100" s="57"/>
      <c r="E100" s="57"/>
      <c r="F100" s="50"/>
      <c r="G100" s="53"/>
      <c r="H100" s="53"/>
      <c r="I100" s="53"/>
      <c r="J100" s="53"/>
      <c r="K100" s="53"/>
      <c r="L100" s="53"/>
      <c r="M100" s="50"/>
      <c r="N100" s="50"/>
      <c r="O100" s="52"/>
    </row>
    <row r="101" spans="3:15" s="2" customFormat="1">
      <c r="C101" s="20"/>
      <c r="D101" s="50"/>
      <c r="E101" s="50"/>
      <c r="F101" s="50"/>
      <c r="G101" s="50"/>
      <c r="H101" s="50"/>
      <c r="I101" s="50"/>
      <c r="J101" s="50"/>
      <c r="K101" s="50"/>
      <c r="L101" s="50"/>
      <c r="M101" s="50">
        <f>IFERROR(VLOOKUP(C101,[6]t1!A$4:C$523,2,0),0)</f>
        <v>0</v>
      </c>
      <c r="N101" s="50"/>
      <c r="O101" s="52"/>
    </row>
    <row r="102" spans="3:15" s="2" customFormat="1">
      <c r="C102" s="20"/>
      <c r="D102" s="57"/>
      <c r="E102" s="57"/>
      <c r="F102" s="50"/>
      <c r="G102" s="53"/>
      <c r="H102" s="53"/>
      <c r="I102" s="53"/>
      <c r="J102" s="53"/>
      <c r="K102" s="53"/>
      <c r="L102" s="53"/>
      <c r="M102" s="50"/>
      <c r="N102" s="50"/>
      <c r="O102" s="52"/>
    </row>
    <row r="103" spans="3:15" s="2" customFormat="1">
      <c r="C103" s="20"/>
      <c r="D103" s="50"/>
      <c r="E103" s="50"/>
      <c r="F103" s="50"/>
      <c r="G103" s="50"/>
      <c r="H103" s="50"/>
      <c r="I103" s="50"/>
      <c r="J103" s="50"/>
      <c r="K103" s="50"/>
      <c r="L103" s="50"/>
      <c r="M103" s="50">
        <f>IFERROR(VLOOKUP(C103,[6]t1!A$4:C$523,2,0),0)</f>
        <v>0</v>
      </c>
      <c r="N103" s="50"/>
      <c r="O103" s="52"/>
    </row>
    <row r="104" spans="3:15" s="2" customFormat="1">
      <c r="C104" s="20"/>
      <c r="D104" s="57"/>
      <c r="E104" s="57"/>
      <c r="F104" s="50"/>
      <c r="G104" s="53"/>
      <c r="H104" s="53"/>
      <c r="I104" s="53"/>
      <c r="J104" s="53"/>
      <c r="K104" s="53"/>
      <c r="L104" s="53"/>
      <c r="M104" s="50"/>
      <c r="N104" s="50"/>
      <c r="O104" s="52"/>
    </row>
    <row r="105" spans="3:15" s="2" customFormat="1">
      <c r="C105" s="20"/>
      <c r="D105" s="50"/>
      <c r="E105" s="50"/>
      <c r="F105" s="50"/>
      <c r="G105" s="50"/>
      <c r="H105" s="50"/>
      <c r="I105" s="50"/>
      <c r="J105" s="50"/>
      <c r="K105" s="50"/>
      <c r="L105" s="50"/>
      <c r="M105" s="50">
        <f>IFERROR(VLOOKUP(C105,[6]t1!A$4:C$523,2,0),0)</f>
        <v>0</v>
      </c>
      <c r="N105" s="50"/>
      <c r="O105" s="52"/>
    </row>
    <row r="106" spans="3:15" s="2" customFormat="1">
      <c r="C106" s="20"/>
      <c r="D106" s="57"/>
      <c r="E106" s="57"/>
      <c r="F106" s="50"/>
      <c r="G106" s="53"/>
      <c r="H106" s="53"/>
      <c r="I106" s="53"/>
      <c r="J106" s="53"/>
      <c r="K106" s="53"/>
      <c r="L106" s="53"/>
      <c r="M106" s="50"/>
      <c r="N106" s="50"/>
      <c r="O106" s="52"/>
    </row>
    <row r="107" spans="3:15" s="2" customFormat="1">
      <c r="C107" s="20"/>
      <c r="D107" s="50"/>
      <c r="E107" s="50"/>
      <c r="F107" s="50"/>
      <c r="G107" s="50"/>
      <c r="H107" s="50"/>
      <c r="I107" s="50"/>
      <c r="J107" s="50"/>
      <c r="K107" s="50"/>
      <c r="L107" s="50"/>
      <c r="M107" s="50">
        <f>IFERROR(VLOOKUP(C107,[6]t1!A$4:C$523,2,0),0)</f>
        <v>0</v>
      </c>
      <c r="N107" s="50"/>
      <c r="O107" s="52"/>
    </row>
    <row r="108" spans="3:15" s="2" customFormat="1">
      <c r="C108" s="20"/>
      <c r="D108" s="57"/>
      <c r="E108" s="57"/>
      <c r="F108" s="50"/>
      <c r="G108" s="53"/>
      <c r="H108" s="53"/>
      <c r="I108" s="53"/>
      <c r="J108" s="53"/>
      <c r="K108" s="53"/>
      <c r="L108" s="53"/>
      <c r="M108" s="50"/>
      <c r="N108" s="50"/>
      <c r="O108" s="52"/>
    </row>
    <row r="109" spans="3:15" s="2" customFormat="1">
      <c r="C109" s="20"/>
      <c r="D109" s="50"/>
      <c r="E109" s="50"/>
      <c r="F109" s="50"/>
      <c r="G109" s="50"/>
      <c r="H109" s="50"/>
      <c r="I109" s="50"/>
      <c r="J109" s="50"/>
      <c r="K109" s="50"/>
      <c r="L109" s="50"/>
      <c r="M109" s="50">
        <f>IFERROR(VLOOKUP(C109,[6]t1!A$4:C$523,2,0),0)</f>
        <v>0</v>
      </c>
      <c r="N109" s="50"/>
      <c r="O109" s="52"/>
    </row>
    <row r="110" spans="3:15" s="2" customFormat="1">
      <c r="C110" s="20"/>
      <c r="D110" s="57"/>
      <c r="E110" s="57"/>
      <c r="F110" s="50"/>
      <c r="G110" s="53"/>
      <c r="H110" s="53"/>
      <c r="I110" s="53"/>
      <c r="J110" s="53"/>
      <c r="K110" s="53"/>
      <c r="L110" s="53"/>
      <c r="M110" s="50"/>
      <c r="N110" s="50"/>
      <c r="O110" s="52"/>
    </row>
    <row r="111" spans="3:15" s="2" customFormat="1">
      <c r="C111" s="20"/>
      <c r="D111" s="50"/>
      <c r="E111" s="50"/>
      <c r="F111" s="50"/>
      <c r="G111" s="50"/>
      <c r="H111" s="50"/>
      <c r="I111" s="50"/>
      <c r="J111" s="50"/>
      <c r="K111" s="50"/>
      <c r="L111" s="50"/>
      <c r="M111" s="50">
        <f>IFERROR(VLOOKUP(C111,[6]t1!A$4:C$523,2,0),0)</f>
        <v>0</v>
      </c>
      <c r="N111" s="50"/>
      <c r="O111" s="52"/>
    </row>
    <row r="112" spans="3:15" s="2" customFormat="1">
      <c r="C112" s="20"/>
      <c r="D112" s="57"/>
      <c r="E112" s="57"/>
      <c r="F112" s="50"/>
      <c r="G112" s="53"/>
      <c r="H112" s="53"/>
      <c r="I112" s="53"/>
      <c r="J112" s="53"/>
      <c r="K112" s="53"/>
      <c r="L112" s="53"/>
      <c r="M112" s="50"/>
      <c r="N112" s="50"/>
      <c r="O112" s="52"/>
    </row>
    <row r="113" spans="1:15" s="2" customFormat="1">
      <c r="C113" s="20"/>
      <c r="D113" s="50"/>
      <c r="E113" s="50"/>
      <c r="F113" s="50"/>
      <c r="G113" s="50"/>
      <c r="H113" s="50"/>
      <c r="I113" s="50"/>
      <c r="J113" s="50"/>
      <c r="K113" s="50"/>
      <c r="L113" s="50"/>
      <c r="M113" s="50">
        <f>IFERROR(VLOOKUP(C113,[6]t1!A$4:C$523,2,0),0)</f>
        <v>0</v>
      </c>
      <c r="N113" s="50"/>
      <c r="O113" s="52"/>
    </row>
    <row r="114" spans="1:15" s="2" customFormat="1">
      <c r="C114" s="20"/>
      <c r="D114" s="57"/>
      <c r="E114" s="57"/>
      <c r="F114" s="50"/>
      <c r="G114" s="53"/>
      <c r="H114" s="53"/>
      <c r="I114" s="53"/>
      <c r="J114" s="53"/>
      <c r="K114" s="53"/>
      <c r="L114" s="53"/>
      <c r="M114" s="50"/>
      <c r="N114" s="50"/>
      <c r="O114" s="52"/>
    </row>
    <row r="115" spans="1:15" s="2" customFormat="1">
      <c r="C115" s="20"/>
      <c r="D115" s="50"/>
      <c r="E115" s="50"/>
      <c r="F115" s="50"/>
      <c r="G115" s="50"/>
      <c r="H115" s="50"/>
      <c r="I115" s="50"/>
      <c r="J115" s="50"/>
      <c r="K115" s="50"/>
      <c r="L115" s="50"/>
      <c r="M115" s="50">
        <f>IFERROR(VLOOKUP(C115,[6]t1!A$4:C$523,2,0),0)</f>
        <v>0</v>
      </c>
      <c r="N115" s="50"/>
      <c r="O115" s="52"/>
    </row>
    <row r="116" spans="1:15" s="2" customFormat="1">
      <c r="C116" s="20"/>
      <c r="D116" s="57"/>
      <c r="E116" s="57"/>
      <c r="F116" s="50"/>
      <c r="G116" s="53"/>
      <c r="H116" s="53"/>
      <c r="I116" s="53"/>
      <c r="J116" s="53"/>
      <c r="K116" s="53"/>
      <c r="L116" s="53"/>
      <c r="M116" s="50"/>
      <c r="N116" s="50"/>
      <c r="O116" s="52"/>
    </row>
    <row r="117" spans="1:15" s="2" customFormat="1">
      <c r="C117" s="20"/>
      <c r="D117" s="50"/>
      <c r="E117" s="50"/>
      <c r="F117" s="50"/>
      <c r="G117" s="50"/>
      <c r="H117" s="50"/>
      <c r="I117" s="50"/>
      <c r="J117" s="50"/>
      <c r="K117" s="50"/>
      <c r="L117" s="50"/>
      <c r="M117" s="50">
        <f>IFERROR(VLOOKUP(C117,[6]t1!A$4:C$523,2,0),0)</f>
        <v>0</v>
      </c>
      <c r="N117" s="50"/>
      <c r="O117" s="52"/>
    </row>
    <row r="118" spans="1:15" s="2" customFormat="1">
      <c r="C118" s="20"/>
      <c r="D118" s="57"/>
      <c r="E118" s="57"/>
      <c r="F118" s="50"/>
      <c r="G118" s="53"/>
      <c r="H118" s="53"/>
      <c r="I118" s="53"/>
      <c r="J118" s="53"/>
      <c r="K118" s="53"/>
      <c r="L118" s="53"/>
      <c r="M118" s="50"/>
      <c r="N118" s="50"/>
      <c r="O118" s="52"/>
    </row>
    <row r="119" spans="1:15" s="2" customFormat="1">
      <c r="C119" s="20"/>
      <c r="D119" s="50"/>
      <c r="E119" s="50"/>
      <c r="F119" s="50"/>
      <c r="G119" s="50"/>
      <c r="H119" s="50"/>
      <c r="I119" s="50"/>
      <c r="J119" s="50"/>
      <c r="K119" s="50"/>
      <c r="L119" s="50"/>
      <c r="M119" s="50">
        <f>IFERROR(VLOOKUP(C119,[6]t1!A$4:C$523,2,0),0)</f>
        <v>0</v>
      </c>
      <c r="N119" s="50"/>
      <c r="O119" s="52"/>
    </row>
    <row r="120" spans="1:15" s="2" customFormat="1">
      <c r="C120" s="20"/>
      <c r="D120" s="57"/>
      <c r="E120" s="57"/>
      <c r="F120" s="50"/>
      <c r="G120" s="53"/>
      <c r="H120" s="53"/>
      <c r="I120" s="53"/>
      <c r="J120" s="53"/>
      <c r="K120" s="53"/>
      <c r="L120" s="53"/>
      <c r="M120" s="50"/>
      <c r="N120" s="50"/>
      <c r="O120" s="52"/>
    </row>
    <row r="121" spans="1:15" s="2" customFormat="1">
      <c r="C121" s="20"/>
      <c r="D121" s="50"/>
      <c r="E121" s="50"/>
      <c r="F121" s="50"/>
      <c r="G121" s="50"/>
      <c r="H121" s="50"/>
      <c r="I121" s="50"/>
      <c r="J121" s="50"/>
      <c r="K121" s="50"/>
      <c r="L121" s="50"/>
      <c r="M121" s="50">
        <f>IFERROR(VLOOKUP(C121,[6]t1!A$4:C$523,2,0),0)</f>
        <v>0</v>
      </c>
      <c r="N121" s="50"/>
      <c r="O121" s="52"/>
    </row>
    <row r="122" spans="1:15" s="2" customFormat="1">
      <c r="C122" s="20"/>
      <c r="D122" s="57"/>
      <c r="E122" s="57"/>
      <c r="F122" s="50"/>
      <c r="G122" s="53"/>
      <c r="H122" s="53"/>
      <c r="I122" s="53"/>
      <c r="J122" s="53"/>
      <c r="K122" s="53"/>
      <c r="L122" s="53"/>
      <c r="M122" s="50"/>
      <c r="N122" s="50"/>
      <c r="O122" s="52"/>
    </row>
    <row r="123" spans="1:15" s="27" customFormat="1" ht="21.75" customHeight="1">
      <c r="A123" s="38">
        <v>8</v>
      </c>
      <c r="B123" s="26" t="s">
        <v>13</v>
      </c>
      <c r="C123" s="37">
        <v>80426</v>
      </c>
      <c r="D123" s="50"/>
      <c r="E123" s="50"/>
      <c r="F123" s="50"/>
      <c r="G123" s="50"/>
      <c r="H123" s="50"/>
      <c r="I123" s="50"/>
      <c r="J123" s="50"/>
      <c r="K123" s="50"/>
      <c r="L123" s="50"/>
      <c r="M123" s="50">
        <f>IFERROR(VLOOKUP(C123,[6]t1!A$4:C$523,2,0),0)</f>
        <v>0</v>
      </c>
      <c r="N123" s="50"/>
      <c r="O123" s="52"/>
    </row>
    <row r="124" spans="1:15" s="27" customFormat="1" ht="21.75" customHeight="1">
      <c r="A124" s="38"/>
      <c r="B124" s="26"/>
      <c r="C124" s="37"/>
      <c r="D124" s="57"/>
      <c r="E124" s="57"/>
      <c r="F124" s="50"/>
      <c r="G124" s="53"/>
      <c r="H124" s="53"/>
      <c r="I124" s="53"/>
      <c r="J124" s="53"/>
      <c r="K124" s="53"/>
      <c r="L124" s="53"/>
      <c r="M124" s="50"/>
      <c r="N124" s="50"/>
      <c r="O124" s="52"/>
    </row>
    <row r="125" spans="1:15" s="27" customFormat="1" ht="21.75" customHeight="1">
      <c r="A125" s="38">
        <v>9</v>
      </c>
      <c r="B125" s="26" t="s">
        <v>14</v>
      </c>
      <c r="C125" s="37">
        <v>80462</v>
      </c>
      <c r="D125" s="50"/>
      <c r="E125" s="50"/>
      <c r="F125" s="50"/>
      <c r="G125" s="50"/>
      <c r="H125" s="50"/>
      <c r="I125" s="50"/>
      <c r="J125" s="50"/>
      <c r="K125" s="50"/>
      <c r="L125" s="50"/>
      <c r="M125" s="50">
        <f>IFERROR(VLOOKUP(C125,[6]t1!A$4:C$523,2,0),0)</f>
        <v>0</v>
      </c>
      <c r="N125" s="50"/>
      <c r="O125" s="52"/>
    </row>
    <row r="126" spans="1:15" s="27" customFormat="1" ht="21.75" customHeight="1">
      <c r="A126" s="38"/>
      <c r="B126" s="26"/>
      <c r="C126" s="37"/>
      <c r="D126" s="57"/>
      <c r="E126" s="57"/>
      <c r="F126" s="50"/>
      <c r="G126" s="53"/>
      <c r="H126" s="53"/>
      <c r="I126" s="53"/>
      <c r="J126" s="53"/>
      <c r="K126" s="53"/>
      <c r="L126" s="53"/>
      <c r="M126" s="50"/>
      <c r="N126" s="50"/>
      <c r="O126" s="52"/>
    </row>
    <row r="127" spans="1:15" s="2" customFormat="1">
      <c r="C127" s="20"/>
      <c r="D127" s="50"/>
      <c r="E127" s="50"/>
      <c r="F127" s="50"/>
      <c r="G127" s="50"/>
      <c r="H127" s="50"/>
      <c r="I127" s="50"/>
      <c r="J127" s="50"/>
      <c r="K127" s="50"/>
      <c r="L127" s="50"/>
      <c r="M127" s="50">
        <f>IFERROR(VLOOKUP(C127,[6]t1!A$4:C$523,2,0),0)</f>
        <v>0</v>
      </c>
      <c r="N127" s="50"/>
      <c r="O127" s="52"/>
    </row>
    <row r="128" spans="1:15" s="2" customFormat="1">
      <c r="C128" s="20"/>
      <c r="D128" s="57"/>
      <c r="E128" s="57"/>
      <c r="F128" s="50"/>
      <c r="G128" s="53"/>
      <c r="H128" s="53"/>
      <c r="I128" s="53"/>
      <c r="J128" s="53"/>
      <c r="K128" s="53"/>
      <c r="L128" s="53"/>
      <c r="M128" s="50"/>
      <c r="N128" s="50"/>
      <c r="O128" s="52"/>
    </row>
    <row r="129" spans="3:15" s="2" customFormat="1">
      <c r="C129" s="20"/>
      <c r="D129" s="50"/>
      <c r="E129" s="50"/>
      <c r="F129" s="50"/>
      <c r="G129" s="50"/>
      <c r="H129" s="50"/>
      <c r="I129" s="50"/>
      <c r="J129" s="50"/>
      <c r="K129" s="50"/>
      <c r="L129" s="50"/>
      <c r="M129" s="50">
        <f>IFERROR(VLOOKUP(C129,[6]t1!A$4:C$523,2,0),0)</f>
        <v>0</v>
      </c>
      <c r="N129" s="50"/>
      <c r="O129" s="52"/>
    </row>
    <row r="130" spans="3:15" s="2" customFormat="1">
      <c r="C130" s="20"/>
      <c r="D130" s="57"/>
      <c r="E130" s="57"/>
      <c r="F130" s="50"/>
      <c r="G130" s="53"/>
      <c r="H130" s="53"/>
      <c r="I130" s="53"/>
      <c r="J130" s="53"/>
      <c r="K130" s="53"/>
      <c r="L130" s="53"/>
      <c r="M130" s="50"/>
      <c r="N130" s="50"/>
      <c r="O130" s="52"/>
    </row>
    <row r="131" spans="3:15" s="2" customFormat="1">
      <c r="C131" s="20"/>
      <c r="D131" s="50"/>
      <c r="E131" s="50"/>
      <c r="F131" s="50"/>
      <c r="G131" s="50"/>
      <c r="H131" s="50"/>
      <c r="I131" s="50"/>
      <c r="J131" s="50"/>
      <c r="K131" s="50"/>
      <c r="L131" s="50"/>
      <c r="M131" s="50">
        <f>IFERROR(VLOOKUP(C131,[6]t1!A$4:C$523,2,0),0)</f>
        <v>0</v>
      </c>
      <c r="N131" s="50"/>
      <c r="O131" s="52"/>
    </row>
    <row r="132" spans="3:15" s="2" customFormat="1">
      <c r="C132" s="20"/>
      <c r="D132" s="57"/>
      <c r="E132" s="57"/>
      <c r="F132" s="50"/>
      <c r="G132" s="53"/>
      <c r="H132" s="53"/>
      <c r="I132" s="53"/>
      <c r="J132" s="53"/>
      <c r="K132" s="53"/>
      <c r="L132" s="53"/>
      <c r="M132" s="50"/>
      <c r="N132" s="50"/>
      <c r="O132" s="52"/>
    </row>
    <row r="133" spans="3:15" s="2" customFormat="1">
      <c r="C133" s="20"/>
      <c r="D133" s="50"/>
      <c r="E133" s="50"/>
      <c r="F133" s="50"/>
      <c r="G133" s="50"/>
      <c r="H133" s="50"/>
      <c r="I133" s="50"/>
      <c r="J133" s="50"/>
      <c r="K133" s="50"/>
      <c r="L133" s="50"/>
      <c r="M133" s="50">
        <f>IFERROR(VLOOKUP(C133,[6]t1!A$4:C$523,2,0),0)</f>
        <v>0</v>
      </c>
      <c r="N133" s="50"/>
      <c r="O133" s="52"/>
    </row>
    <row r="134" spans="3:15" s="2" customFormat="1">
      <c r="C134" s="20"/>
      <c r="D134" s="57"/>
      <c r="E134" s="57"/>
      <c r="F134" s="50"/>
      <c r="G134" s="53"/>
      <c r="H134" s="53"/>
      <c r="I134" s="53"/>
      <c r="J134" s="53"/>
      <c r="K134" s="53"/>
      <c r="L134" s="53"/>
      <c r="M134" s="50"/>
      <c r="N134" s="50"/>
      <c r="O134" s="52"/>
    </row>
    <row r="135" spans="3:15">
      <c r="M135" s="50">
        <f>IFERROR(VLOOKUP(C135,[6]t1!A$4:C$523,2,0),0)</f>
        <v>0</v>
      </c>
    </row>
    <row r="136" spans="3:15">
      <c r="D136" s="57"/>
      <c r="E136" s="57"/>
      <c r="G136" s="53"/>
      <c r="H136" s="53"/>
      <c r="I136" s="53"/>
      <c r="J136" s="53"/>
      <c r="K136" s="53"/>
      <c r="L136" s="53"/>
    </row>
    <row r="137" spans="3:15">
      <c r="M137" s="50">
        <f>IFERROR(VLOOKUP(C137,[6]t1!A$4:C$523,2,0),0)</f>
        <v>0</v>
      </c>
    </row>
    <row r="138" spans="3:15">
      <c r="D138" s="57"/>
      <c r="E138" s="57"/>
      <c r="G138" s="53"/>
      <c r="H138" s="53"/>
      <c r="I138" s="53"/>
      <c r="J138" s="53"/>
      <c r="K138" s="53"/>
      <c r="L138" s="53"/>
    </row>
    <row r="139" spans="3:15">
      <c r="M139" s="50">
        <f>IFERROR(VLOOKUP(C139,[6]t1!A$4:C$523,2,0),0)</f>
        <v>0</v>
      </c>
    </row>
    <row r="140" spans="3:15">
      <c r="D140" s="57"/>
      <c r="E140" s="57"/>
      <c r="G140" s="53"/>
      <c r="H140" s="53"/>
      <c r="I140" s="53"/>
      <c r="J140" s="53"/>
      <c r="K140" s="53"/>
      <c r="L140" s="53"/>
    </row>
    <row r="141" spans="3:15">
      <c r="M141" s="50">
        <f>IFERROR(VLOOKUP(C141,[6]t1!A$4:C$523,2,0),0)</f>
        <v>0</v>
      </c>
    </row>
    <row r="142" spans="3:15">
      <c r="D142" s="57"/>
      <c r="E142" s="57"/>
      <c r="G142" s="53"/>
      <c r="H142" s="53"/>
      <c r="I142" s="53"/>
      <c r="J142" s="53"/>
      <c r="K142" s="53"/>
      <c r="L142" s="53"/>
    </row>
    <row r="143" spans="3:15">
      <c r="M143" s="50">
        <f>IFERROR(VLOOKUP(C143,[6]t1!A$4:C$523,2,0),0)</f>
        <v>0</v>
      </c>
    </row>
    <row r="144" spans="3:15">
      <c r="D144" s="57"/>
      <c r="E144" s="57"/>
      <c r="G144" s="53"/>
      <c r="H144" s="53"/>
      <c r="I144" s="53"/>
      <c r="J144" s="53"/>
      <c r="K144" s="53"/>
      <c r="L144" s="53"/>
    </row>
    <row r="145" spans="4:13">
      <c r="M145" s="50">
        <f>IFERROR(VLOOKUP(C145,[6]t1!A$4:C$523,2,0),0)</f>
        <v>0</v>
      </c>
    </row>
    <row r="146" spans="4:13">
      <c r="D146" s="57"/>
      <c r="E146" s="57"/>
      <c r="G146" s="53"/>
      <c r="H146" s="53"/>
      <c r="I146" s="53"/>
      <c r="J146" s="53"/>
      <c r="K146" s="53"/>
      <c r="L146" s="53"/>
    </row>
    <row r="147" spans="4:13">
      <c r="M147" s="50">
        <f>IFERROR(VLOOKUP(C147,[6]t1!A$4:C$523,2,0),0)</f>
        <v>0</v>
      </c>
    </row>
    <row r="148" spans="4:13">
      <c r="D148" s="57"/>
      <c r="E148" s="57"/>
      <c r="G148" s="53"/>
      <c r="H148" s="53"/>
      <c r="I148" s="53"/>
      <c r="J148" s="53"/>
      <c r="K148" s="53"/>
      <c r="L148" s="53"/>
    </row>
    <row r="149" spans="4:13">
      <c r="M149" s="50">
        <f>IFERROR(VLOOKUP(C149,[6]t1!A$4:C$523,2,0),0)</f>
        <v>0</v>
      </c>
    </row>
    <row r="150" spans="4:13">
      <c r="D150" s="57"/>
      <c r="E150" s="57"/>
      <c r="G150" s="53"/>
      <c r="H150" s="53"/>
      <c r="I150" s="53"/>
      <c r="J150" s="53"/>
      <c r="K150" s="53"/>
      <c r="L150" s="53"/>
    </row>
    <row r="151" spans="4:13">
      <c r="M151" s="50">
        <f>IFERROR(VLOOKUP(C151,[6]t1!A$4:C$523,2,0),0)</f>
        <v>0</v>
      </c>
    </row>
    <row r="152" spans="4:13">
      <c r="D152" s="57"/>
      <c r="E152" s="57"/>
      <c r="G152" s="53"/>
      <c r="H152" s="53"/>
      <c r="I152" s="53"/>
      <c r="J152" s="53"/>
      <c r="K152" s="53"/>
      <c r="L152" s="53"/>
    </row>
    <row r="153" spans="4:13">
      <c r="M153" s="50">
        <f>IFERROR(VLOOKUP(C153,[6]t1!A$4:C$523,2,0),0)</f>
        <v>0</v>
      </c>
    </row>
    <row r="154" spans="4:13">
      <c r="D154" s="57"/>
      <c r="E154" s="57"/>
      <c r="G154" s="53"/>
      <c r="H154" s="53"/>
      <c r="I154" s="53"/>
      <c r="J154" s="53"/>
      <c r="K154" s="53"/>
      <c r="L154" s="53"/>
    </row>
    <row r="155" spans="4:13">
      <c r="M155" s="50">
        <f>IFERROR(VLOOKUP(C155,[6]t1!A$4:C$523,2,0),0)</f>
        <v>0</v>
      </c>
    </row>
    <row r="156" spans="4:13">
      <c r="D156" s="57"/>
      <c r="E156" s="57"/>
      <c r="G156" s="53"/>
      <c r="H156" s="53"/>
      <c r="I156" s="53"/>
      <c r="J156" s="53"/>
      <c r="K156" s="53"/>
      <c r="L156" s="53"/>
    </row>
    <row r="157" spans="4:13">
      <c r="M157" s="50">
        <f>IFERROR(VLOOKUP(C157,[6]t1!A$4:C$523,2,0),0)</f>
        <v>0</v>
      </c>
    </row>
    <row r="158" spans="4:13">
      <c r="D158" s="57"/>
      <c r="E158" s="57"/>
      <c r="G158" s="53"/>
      <c r="H158" s="53"/>
      <c r="I158" s="53"/>
      <c r="J158" s="53"/>
      <c r="K158" s="53"/>
      <c r="L158" s="53"/>
    </row>
    <row r="159" spans="4:13">
      <c r="M159" s="50">
        <f>IFERROR(VLOOKUP(C159,[6]t1!A$4:C$523,2,0),0)</f>
        <v>0</v>
      </c>
    </row>
    <row r="160" spans="4:13">
      <c r="D160" s="57"/>
      <c r="E160" s="57"/>
      <c r="G160" s="53"/>
      <c r="H160" s="53"/>
      <c r="I160" s="53"/>
      <c r="J160" s="53"/>
      <c r="K160" s="53"/>
      <c r="L160" s="53"/>
    </row>
    <row r="161" spans="4:13">
      <c r="M161" s="50">
        <f>IFERROR(VLOOKUP(C161,[6]t1!A$4:C$523,2,0),0)</f>
        <v>0</v>
      </c>
    </row>
    <row r="162" spans="4:13">
      <c r="D162" s="57"/>
      <c r="E162" s="57"/>
      <c r="G162" s="53"/>
      <c r="H162" s="53"/>
      <c r="I162" s="53"/>
      <c r="J162" s="53"/>
      <c r="K162" s="53"/>
      <c r="L162" s="53"/>
    </row>
    <row r="163" spans="4:13">
      <c r="M163" s="50">
        <f>IFERROR(VLOOKUP(C163,[6]t1!A$4:C$523,2,0),0)</f>
        <v>0</v>
      </c>
    </row>
    <row r="164" spans="4:13">
      <c r="D164" s="57"/>
      <c r="E164" s="57"/>
      <c r="G164" s="53"/>
      <c r="H164" s="53"/>
      <c r="I164" s="53"/>
      <c r="J164" s="53"/>
      <c r="K164" s="53"/>
      <c r="L164" s="53"/>
    </row>
    <row r="165" spans="4:13">
      <c r="M165" s="50">
        <f>IFERROR(VLOOKUP(C165,[6]t1!A$4:C$523,2,0),0)</f>
        <v>0</v>
      </c>
    </row>
    <row r="166" spans="4:13">
      <c r="D166" s="57"/>
      <c r="E166" s="57"/>
      <c r="G166" s="53"/>
      <c r="H166" s="53"/>
      <c r="I166" s="53"/>
      <c r="J166" s="53"/>
      <c r="K166" s="53"/>
      <c r="L166" s="53"/>
    </row>
    <row r="167" spans="4:13">
      <c r="M167" s="50">
        <f>IFERROR(VLOOKUP(C167,[6]t1!A$4:C$523,2,0),0)</f>
        <v>0</v>
      </c>
    </row>
    <row r="168" spans="4:13">
      <c r="D168" s="57"/>
      <c r="E168" s="57"/>
      <c r="G168" s="53"/>
      <c r="H168" s="53"/>
      <c r="I168" s="53"/>
      <c r="J168" s="53"/>
      <c r="K168" s="53"/>
      <c r="L168" s="53"/>
    </row>
    <row r="169" spans="4:13">
      <c r="M169" s="50">
        <f>IFERROR(VLOOKUP(C169,[6]t1!A$4:C$523,2,0),0)</f>
        <v>0</v>
      </c>
    </row>
    <row r="170" spans="4:13">
      <c r="D170" s="57"/>
      <c r="E170" s="57"/>
      <c r="G170" s="53"/>
      <c r="H170" s="53"/>
      <c r="I170" s="53"/>
      <c r="J170" s="53"/>
      <c r="K170" s="53"/>
      <c r="L170" s="53"/>
    </row>
    <row r="171" spans="4:13">
      <c r="M171" s="50">
        <f>IFERROR(VLOOKUP(C171,[6]t1!A$4:C$523,2,0),0)</f>
        <v>0</v>
      </c>
    </row>
    <row r="172" spans="4:13">
      <c r="D172" s="57"/>
      <c r="E172" s="57"/>
      <c r="G172" s="53"/>
      <c r="H172" s="53"/>
      <c r="I172" s="53"/>
      <c r="J172" s="53"/>
      <c r="K172" s="53"/>
      <c r="L172" s="53"/>
    </row>
    <row r="173" spans="4:13">
      <c r="M173" s="50">
        <f>IFERROR(VLOOKUP(C173,[6]t1!A$4:C$523,2,0),0)</f>
        <v>0</v>
      </c>
    </row>
    <row r="174" spans="4:13">
      <c r="D174" s="57"/>
      <c r="E174" s="57"/>
      <c r="G174" s="53"/>
      <c r="H174" s="53"/>
      <c r="I174" s="53"/>
      <c r="J174" s="53"/>
      <c r="K174" s="53"/>
      <c r="L174" s="53"/>
    </row>
    <row r="175" spans="4:13">
      <c r="M175" s="50">
        <f>IFERROR(VLOOKUP(C175,[6]t1!A$4:C$523,2,0),0)</f>
        <v>0</v>
      </c>
    </row>
    <row r="176" spans="4:13">
      <c r="D176" s="57"/>
      <c r="E176" s="57"/>
      <c r="G176" s="53"/>
      <c r="H176" s="53"/>
      <c r="I176" s="53"/>
      <c r="J176" s="53"/>
      <c r="K176" s="53"/>
      <c r="L176" s="53"/>
    </row>
    <row r="177" spans="4:13">
      <c r="M177" s="50">
        <f>IFERROR(VLOOKUP(C177,[6]t1!A$4:C$523,2,0),0)</f>
        <v>0</v>
      </c>
    </row>
    <row r="178" spans="4:13">
      <c r="D178" s="57"/>
      <c r="E178" s="57"/>
      <c r="G178" s="53"/>
      <c r="H178" s="53"/>
      <c r="I178" s="53"/>
      <c r="J178" s="53"/>
      <c r="K178" s="53"/>
      <c r="L178" s="53"/>
    </row>
    <row r="179" spans="4:13">
      <c r="M179" s="50">
        <f>IFERROR(VLOOKUP(C179,[6]t1!A$4:C$523,2,0),0)</f>
        <v>0</v>
      </c>
    </row>
    <row r="180" spans="4:13">
      <c r="D180" s="57"/>
      <c r="E180" s="57"/>
      <c r="G180" s="53"/>
      <c r="H180" s="53"/>
      <c r="I180" s="53"/>
      <c r="J180" s="53"/>
      <c r="K180" s="53"/>
      <c r="L180" s="53"/>
    </row>
    <row r="181" spans="4:13">
      <c r="M181" s="50">
        <f>IFERROR(VLOOKUP(C181,[6]t1!A$4:C$523,2,0),0)</f>
        <v>0</v>
      </c>
    </row>
    <row r="182" spans="4:13">
      <c r="D182" s="57"/>
      <c r="E182" s="57"/>
      <c r="G182" s="53"/>
      <c r="H182" s="53"/>
      <c r="I182" s="53"/>
      <c r="J182" s="53"/>
      <c r="K182" s="53"/>
      <c r="L182" s="53"/>
    </row>
    <row r="183" spans="4:13">
      <c r="M183" s="50">
        <f>IFERROR(VLOOKUP(C183,[6]t1!A$4:C$523,2,0),0)</f>
        <v>0</v>
      </c>
    </row>
    <row r="184" spans="4:13">
      <c r="D184" s="57"/>
      <c r="E184" s="57"/>
      <c r="G184" s="53"/>
      <c r="H184" s="53"/>
      <c r="I184" s="53"/>
      <c r="J184" s="53"/>
      <c r="K184" s="53"/>
      <c r="L184" s="53"/>
    </row>
    <row r="185" spans="4:13">
      <c r="M185" s="50">
        <f>IFERROR(VLOOKUP(C185,[6]t1!A$4:C$523,2,0),0)</f>
        <v>0</v>
      </c>
    </row>
    <row r="186" spans="4:13">
      <c r="D186" s="57"/>
      <c r="E186" s="57"/>
      <c r="G186" s="53"/>
      <c r="H186" s="53"/>
      <c r="I186" s="53"/>
      <c r="J186" s="53"/>
      <c r="K186" s="53"/>
      <c r="L186" s="53"/>
    </row>
    <row r="187" spans="4:13">
      <c r="M187" s="50">
        <f>IFERROR(VLOOKUP(C187,[6]t1!A$4:C$523,2,0),0)</f>
        <v>0</v>
      </c>
    </row>
    <row r="188" spans="4:13">
      <c r="D188" s="57"/>
      <c r="E188" s="57"/>
      <c r="G188" s="53"/>
      <c r="H188" s="53"/>
      <c r="I188" s="53"/>
      <c r="J188" s="53"/>
      <c r="K188" s="53"/>
      <c r="L188" s="53"/>
    </row>
    <row r="189" spans="4:13">
      <c r="M189" s="50">
        <f>IFERROR(VLOOKUP(C189,[6]t1!A$4:C$523,2,0),0)</f>
        <v>0</v>
      </c>
    </row>
    <row r="190" spans="4:13">
      <c r="D190" s="57"/>
      <c r="E190" s="57"/>
      <c r="G190" s="53"/>
      <c r="H190" s="53"/>
      <c r="I190" s="53"/>
      <c r="J190" s="53"/>
      <c r="K190" s="53"/>
      <c r="L190" s="53"/>
    </row>
    <row r="191" spans="4:13">
      <c r="M191" s="50">
        <f>IFERROR(VLOOKUP(C191,[6]t1!A$4:C$523,2,0),0)</f>
        <v>0</v>
      </c>
    </row>
    <row r="192" spans="4:13">
      <c r="D192" s="57"/>
      <c r="E192" s="57"/>
      <c r="G192" s="53"/>
      <c r="H192" s="53"/>
      <c r="I192" s="53"/>
      <c r="J192" s="53"/>
      <c r="K192" s="53"/>
      <c r="L192" s="53"/>
    </row>
    <row r="193" spans="4:13">
      <c r="M193" s="50">
        <f>IFERROR(VLOOKUP(C193,[6]t1!A$4:C$523,2,0),0)</f>
        <v>0</v>
      </c>
    </row>
    <row r="194" spans="4:13">
      <c r="D194" s="57"/>
      <c r="E194" s="57"/>
      <c r="G194" s="53"/>
      <c r="H194" s="53"/>
      <c r="I194" s="53"/>
      <c r="J194" s="53"/>
      <c r="K194" s="53"/>
      <c r="L194" s="53"/>
    </row>
    <row r="195" spans="4:13">
      <c r="M195" s="50">
        <f>IFERROR(VLOOKUP(C195,[6]t1!A$4:C$523,2,0),0)</f>
        <v>0</v>
      </c>
    </row>
    <row r="196" spans="4:13">
      <c r="D196" s="57"/>
      <c r="E196" s="57"/>
      <c r="G196" s="53"/>
      <c r="H196" s="53"/>
      <c r="I196" s="53"/>
      <c r="J196" s="53"/>
      <c r="K196" s="53"/>
      <c r="L196" s="53"/>
    </row>
    <row r="197" spans="4:13">
      <c r="M197" s="50">
        <f>IFERROR(VLOOKUP(C197,[6]t1!A$4:C$523,2,0),0)</f>
        <v>0</v>
      </c>
    </row>
    <row r="198" spans="4:13">
      <c r="D198" s="57"/>
      <c r="E198" s="57"/>
      <c r="G198" s="53"/>
      <c r="H198" s="53"/>
      <c r="I198" s="53"/>
      <c r="J198" s="53"/>
      <c r="K198" s="53"/>
      <c r="L198" s="53"/>
    </row>
    <row r="199" spans="4:13">
      <c r="M199" s="50">
        <f>IFERROR(VLOOKUP(C199,[6]t1!A$4:C$523,2,0),0)</f>
        <v>0</v>
      </c>
    </row>
    <row r="200" spans="4:13">
      <c r="D200" s="57"/>
      <c r="E200" s="57"/>
      <c r="G200" s="53"/>
      <c r="H200" s="53"/>
      <c r="I200" s="53"/>
      <c r="J200" s="53"/>
      <c r="K200" s="53"/>
      <c r="L200" s="53"/>
    </row>
    <row r="201" spans="4:13">
      <c r="M201" s="50">
        <f>IFERROR(VLOOKUP(C201,[6]t1!A$4:C$523,2,0),0)</f>
        <v>0</v>
      </c>
    </row>
    <row r="202" spans="4:13">
      <c r="D202" s="57"/>
      <c r="E202" s="57"/>
      <c r="G202" s="53"/>
      <c r="H202" s="53"/>
      <c r="I202" s="53"/>
      <c r="J202" s="53"/>
      <c r="K202" s="53"/>
      <c r="L202" s="53"/>
    </row>
    <row r="203" spans="4:13">
      <c r="M203" s="50">
        <f>IFERROR(VLOOKUP(C203,[6]t1!A$4:C$523,2,0),0)</f>
        <v>0</v>
      </c>
    </row>
    <row r="204" spans="4:13">
      <c r="D204" s="57"/>
      <c r="E204" s="57"/>
      <c r="G204" s="53"/>
      <c r="H204" s="53"/>
      <c r="I204" s="53"/>
      <c r="J204" s="53"/>
      <c r="K204" s="53"/>
      <c r="L204" s="53"/>
    </row>
    <row r="205" spans="4:13">
      <c r="M205" s="50">
        <f>IFERROR(VLOOKUP(C205,[6]t1!A$4:C$523,2,0),0)</f>
        <v>0</v>
      </c>
    </row>
    <row r="206" spans="4:13">
      <c r="D206" s="57"/>
      <c r="E206" s="57"/>
      <c r="G206" s="53"/>
      <c r="H206" s="53"/>
      <c r="I206" s="53"/>
      <c r="J206" s="53"/>
      <c r="K206" s="53"/>
      <c r="L206" s="53"/>
    </row>
    <row r="207" spans="4:13">
      <c r="M207" s="50">
        <f>IFERROR(VLOOKUP(C207,[6]t1!A$4:C$523,2,0),0)</f>
        <v>0</v>
      </c>
    </row>
    <row r="208" spans="4:13">
      <c r="D208" s="57"/>
      <c r="E208" s="57"/>
      <c r="G208" s="53"/>
      <c r="H208" s="53"/>
      <c r="I208" s="53"/>
      <c r="J208" s="53"/>
      <c r="K208" s="53"/>
      <c r="L208" s="53"/>
    </row>
    <row r="209" spans="4:13">
      <c r="M209" s="50">
        <f>IFERROR(VLOOKUP(C209,[6]t1!A$4:C$523,2,0),0)</f>
        <v>0</v>
      </c>
    </row>
    <row r="210" spans="4:13">
      <c r="D210" s="57"/>
      <c r="E210" s="57"/>
      <c r="G210" s="53"/>
      <c r="H210" s="53"/>
      <c r="I210" s="53"/>
      <c r="J210" s="53"/>
      <c r="K210" s="53"/>
      <c r="L210" s="53"/>
    </row>
    <row r="211" spans="4:13">
      <c r="M211" s="50">
        <f>IFERROR(VLOOKUP(C211,[6]t1!A$4:C$523,2,0),0)</f>
        <v>0</v>
      </c>
    </row>
    <row r="212" spans="4:13">
      <c r="D212" s="57"/>
      <c r="E212" s="57"/>
      <c r="G212" s="53"/>
      <c r="H212" s="53"/>
      <c r="I212" s="53"/>
      <c r="J212" s="53"/>
      <c r="K212" s="53"/>
      <c r="L212" s="53"/>
    </row>
    <row r="213" spans="4:13">
      <c r="M213" s="50">
        <f>IFERROR(VLOOKUP(C213,[6]t1!A$4:C$523,2,0),0)</f>
        <v>0</v>
      </c>
    </row>
    <row r="214" spans="4:13">
      <c r="D214" s="57"/>
      <c r="E214" s="57"/>
      <c r="G214" s="53"/>
      <c r="H214" s="53"/>
      <c r="I214" s="53"/>
      <c r="J214" s="53"/>
      <c r="K214" s="53"/>
      <c r="L214" s="53"/>
    </row>
    <row r="215" spans="4:13">
      <c r="M215" s="50">
        <f>IFERROR(VLOOKUP(C215,[6]t1!A$4:C$523,2,0),0)</f>
        <v>0</v>
      </c>
    </row>
    <row r="216" spans="4:13">
      <c r="D216" s="57"/>
      <c r="E216" s="57"/>
      <c r="G216" s="53"/>
      <c r="H216" s="53"/>
      <c r="I216" s="53"/>
      <c r="J216" s="53"/>
      <c r="K216" s="53"/>
      <c r="L216" s="53"/>
    </row>
    <row r="217" spans="4:13">
      <c r="M217" s="50">
        <f>IFERROR(VLOOKUP(C217,[6]t1!A$4:C$523,2,0),0)</f>
        <v>0</v>
      </c>
    </row>
    <row r="218" spans="4:13">
      <c r="D218" s="57"/>
      <c r="E218" s="57"/>
      <c r="G218" s="53"/>
      <c r="H218" s="53"/>
      <c r="I218" s="53"/>
      <c r="J218" s="53"/>
      <c r="K218" s="53"/>
      <c r="L218" s="53"/>
    </row>
    <row r="220" spans="4:13">
      <c r="D220" s="57"/>
      <c r="E220" s="57"/>
    </row>
    <row r="222" spans="4:13">
      <c r="D222" s="57"/>
      <c r="E222" s="57"/>
    </row>
    <row r="224" spans="4:13">
      <c r="D224" s="57"/>
      <c r="E224" s="57"/>
    </row>
    <row r="226" spans="4:5">
      <c r="D226" s="57"/>
      <c r="E226" s="57"/>
    </row>
    <row r="228" spans="4:5">
      <c r="D228" s="57"/>
      <c r="E228" s="57"/>
    </row>
    <row r="230" spans="4:5">
      <c r="D230" s="57"/>
      <c r="E230" s="57"/>
    </row>
    <row r="232" spans="4:5">
      <c r="D232" s="57"/>
      <c r="E232" s="57"/>
    </row>
    <row r="234" spans="4:5">
      <c r="D234" s="57"/>
      <c r="E234" s="57"/>
    </row>
    <row r="236" spans="4:5">
      <c r="D236" s="57"/>
      <c r="E236" s="57"/>
    </row>
    <row r="238" spans="4:5">
      <c r="D238" s="57"/>
      <c r="E238" s="57"/>
    </row>
    <row r="240" spans="4:5">
      <c r="D240" s="57"/>
      <c r="E240" s="57"/>
    </row>
    <row r="242" spans="4:5">
      <c r="D242" s="57"/>
      <c r="E242" s="57"/>
    </row>
    <row r="244" spans="4:5">
      <c r="D244" s="57"/>
      <c r="E244" s="57"/>
    </row>
    <row r="246" spans="4:5">
      <c r="D246" s="57"/>
      <c r="E246" s="57"/>
    </row>
    <row r="248" spans="4:5">
      <c r="D248" s="57"/>
      <c r="E248" s="57"/>
    </row>
    <row r="250" spans="4:5">
      <c r="D250" s="57"/>
      <c r="E250" s="57"/>
    </row>
    <row r="252" spans="4:5">
      <c r="D252" s="57"/>
      <c r="E252" s="57"/>
    </row>
    <row r="254" spans="4:5">
      <c r="D254" s="57"/>
      <c r="E254" s="57"/>
    </row>
    <row r="256" spans="4:5">
      <c r="D256" s="57"/>
      <c r="E256" s="57"/>
    </row>
    <row r="258" spans="4:14">
      <c r="D258" s="57"/>
      <c r="E258" s="57"/>
      <c r="G258" s="55"/>
      <c r="H258" s="55"/>
      <c r="I258" s="55"/>
      <c r="J258" s="55"/>
      <c r="K258" s="55"/>
      <c r="L258" s="55"/>
      <c r="M258" s="55"/>
      <c r="N258" s="55"/>
    </row>
    <row r="259" spans="4:14">
      <c r="G259" s="55"/>
      <c r="H259" s="55"/>
      <c r="I259" s="55"/>
      <c r="J259" s="55"/>
      <c r="K259" s="55"/>
      <c r="L259" s="55"/>
      <c r="M259" s="55"/>
      <c r="N259" s="55"/>
    </row>
    <row r="260" spans="4:14">
      <c r="D260" s="57"/>
      <c r="E260" s="57"/>
      <c r="G260" s="55"/>
      <c r="H260" s="55"/>
      <c r="I260" s="55"/>
      <c r="J260" s="55"/>
      <c r="K260" s="55"/>
      <c r="L260" s="55"/>
      <c r="M260" s="55"/>
      <c r="N260" s="55"/>
    </row>
    <row r="261" spans="4:14">
      <c r="G261" s="55"/>
      <c r="H261" s="55"/>
      <c r="I261" s="55"/>
      <c r="J261" s="55"/>
      <c r="K261" s="55"/>
      <c r="L261" s="55"/>
      <c r="M261" s="55"/>
      <c r="N261" s="55"/>
    </row>
    <row r="262" spans="4:14">
      <c r="D262" s="57"/>
      <c r="E262" s="57"/>
      <c r="G262" s="55"/>
      <c r="H262" s="55"/>
      <c r="I262" s="55"/>
      <c r="J262" s="55"/>
      <c r="K262" s="55"/>
      <c r="L262" s="55"/>
      <c r="M262" s="55"/>
      <c r="N262" s="55"/>
    </row>
    <row r="263" spans="4:14">
      <c r="G263" s="55"/>
      <c r="H263" s="55"/>
      <c r="I263" s="55"/>
      <c r="J263" s="55"/>
      <c r="K263" s="55"/>
      <c r="L263" s="55"/>
      <c r="M263" s="55"/>
      <c r="N263" s="55"/>
    </row>
    <row r="264" spans="4:14">
      <c r="D264" s="57"/>
      <c r="E264" s="57"/>
      <c r="G264" s="55"/>
      <c r="H264" s="55"/>
      <c r="I264" s="55"/>
      <c r="J264" s="55"/>
      <c r="K264" s="55"/>
      <c r="L264" s="55"/>
      <c r="M264" s="55"/>
      <c r="N264" s="55"/>
    </row>
    <row r="266" spans="4:14">
      <c r="D266" s="57"/>
      <c r="E266" s="57"/>
    </row>
    <row r="267" spans="4:14">
      <c r="G267" s="56"/>
      <c r="H267" s="56"/>
      <c r="I267" s="56"/>
      <c r="J267" s="56"/>
      <c r="K267" s="56"/>
      <c r="L267" s="56"/>
      <c r="M267" s="56"/>
      <c r="N267" s="56"/>
    </row>
  </sheetData>
  <mergeCells count="21">
    <mergeCell ref="O5:O7"/>
    <mergeCell ref="M5:M7"/>
    <mergeCell ref="H5:H7"/>
    <mergeCell ref="I5:I7"/>
    <mergeCell ref="J5:J7"/>
    <mergeCell ref="K5:K7"/>
    <mergeCell ref="L5:L7"/>
    <mergeCell ref="N5:N7"/>
    <mergeCell ref="E5:E7"/>
    <mergeCell ref="F5:F7"/>
    <mergeCell ref="G5:G7"/>
    <mergeCell ref="A3:C3"/>
    <mergeCell ref="A5:A6"/>
    <mergeCell ref="B5:B6"/>
    <mergeCell ref="C5:C6"/>
    <mergeCell ref="D5:D7"/>
    <mergeCell ref="S5:S7"/>
    <mergeCell ref="T5:T7"/>
    <mergeCell ref="P5:P7"/>
    <mergeCell ref="Q5:Q7"/>
    <mergeCell ref="R5:R7"/>
  </mergeCells>
  <pageMargins left="0" right="0" top="0" bottom="0" header="0" footer="0"/>
  <pageSetup scale="90" orientation="portrait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21"/>
  <sheetViews>
    <sheetView showZeros="0" zoomScale="92" zoomScaleNormal="92" workbookViewId="0">
      <selection activeCell="AC11" sqref="AC11"/>
    </sheetView>
  </sheetViews>
  <sheetFormatPr defaultRowHeight="17.100000000000001" customHeight="1" outlineLevelCol="1"/>
  <cols>
    <col min="1" max="1" width="4.28515625" style="66" customWidth="1"/>
    <col min="2" max="2" width="21.85546875" style="66" bestFit="1" customWidth="1"/>
    <col min="3" max="3" width="7.85546875" style="66" customWidth="1"/>
    <col min="4" max="5" width="4.5703125" style="66" customWidth="1"/>
    <col min="6" max="6" width="9.140625" style="66" customWidth="1" outlineLevel="1"/>
    <col min="7" max="7" width="11" style="66" hidden="1" customWidth="1" outlineLevel="1"/>
    <col min="8" max="8" width="9.85546875" style="66" customWidth="1"/>
    <col min="9" max="9" width="7.85546875" style="66" customWidth="1"/>
    <col min="10" max="10" width="6" style="66" customWidth="1"/>
    <col min="11" max="14" width="5.28515625" style="66" customWidth="1"/>
    <col min="15" max="15" width="6.85546875" style="105" customWidth="1"/>
    <col min="16" max="16" width="7.42578125" style="66" customWidth="1"/>
    <col min="17" max="17" width="5.85546875" style="66" customWidth="1"/>
    <col min="18" max="18" width="4.5703125" style="66" customWidth="1"/>
    <col min="19" max="19" width="7.28515625" style="66" customWidth="1"/>
    <col min="20" max="21" width="8.28515625" style="66" hidden="1" customWidth="1"/>
    <col min="22" max="22" width="4.7109375" style="66" hidden="1" customWidth="1"/>
    <col min="23" max="23" width="5.140625" style="66" hidden="1" customWidth="1"/>
    <col min="24" max="24" width="9.5703125" style="105" customWidth="1"/>
    <col min="25" max="25" width="6.28515625" style="66" customWidth="1"/>
    <col min="26" max="26" width="5.7109375" style="66" customWidth="1"/>
    <col min="27" max="27" width="8.5703125" style="105" customWidth="1"/>
    <col min="28" max="28" width="9.140625" style="66"/>
    <col min="29" max="31" width="12.85546875" style="66" bestFit="1" customWidth="1"/>
    <col min="32" max="247" width="9.140625" style="66"/>
    <col min="248" max="248" width="4.28515625" style="66" customWidth="1"/>
    <col min="249" max="249" width="21.85546875" style="66" bestFit="1" customWidth="1"/>
    <col min="250" max="250" width="7.85546875" style="66" customWidth="1"/>
    <col min="251" max="252" width="4.5703125" style="66" customWidth="1"/>
    <col min="253" max="253" width="7.28515625" style="66" customWidth="1"/>
    <col min="254" max="255" width="0" style="66" hidden="1" customWidth="1"/>
    <col min="256" max="256" width="9.85546875" style="66" customWidth="1"/>
    <col min="257" max="261" width="0" style="66" hidden="1" customWidth="1"/>
    <col min="262" max="262" width="5.28515625" style="66" customWidth="1"/>
    <col min="263" max="263" width="5.5703125" style="66" customWidth="1"/>
    <col min="264" max="264" width="8.140625" style="66" customWidth="1"/>
    <col min="265" max="266" width="4.5703125" style="66" customWidth="1"/>
    <col min="267" max="267" width="4.85546875" style="66" customWidth="1"/>
    <col min="268" max="269" width="0" style="66" hidden="1" customWidth="1"/>
    <col min="270" max="270" width="4.7109375" style="66" customWidth="1"/>
    <col min="271" max="271" width="0" style="66" hidden="1" customWidth="1"/>
    <col min="272" max="272" width="9.5703125" style="66" customWidth="1"/>
    <col min="273" max="273" width="6.28515625" style="66" customWidth="1"/>
    <col min="274" max="274" width="5.7109375" style="66" customWidth="1"/>
    <col min="275" max="275" width="8.5703125" style="66" customWidth="1"/>
    <col min="276" max="281" width="0" style="66" hidden="1" customWidth="1"/>
    <col min="282" max="282" width="11.5703125" style="66" bestFit="1" customWidth="1"/>
    <col min="283" max="283" width="12.85546875" style="66" bestFit="1" customWidth="1"/>
    <col min="284" max="503" width="9.140625" style="66"/>
    <col min="504" max="504" width="4.28515625" style="66" customWidth="1"/>
    <col min="505" max="505" width="21.85546875" style="66" bestFit="1" customWidth="1"/>
    <col min="506" max="506" width="7.85546875" style="66" customWidth="1"/>
    <col min="507" max="508" width="4.5703125" style="66" customWidth="1"/>
    <col min="509" max="509" width="7.28515625" style="66" customWidth="1"/>
    <col min="510" max="511" width="0" style="66" hidden="1" customWidth="1"/>
    <col min="512" max="512" width="9.85546875" style="66" customWidth="1"/>
    <col min="513" max="517" width="0" style="66" hidden="1" customWidth="1"/>
    <col min="518" max="518" width="5.28515625" style="66" customWidth="1"/>
    <col min="519" max="519" width="5.5703125" style="66" customWidth="1"/>
    <col min="520" max="520" width="8.140625" style="66" customWidth="1"/>
    <col min="521" max="522" width="4.5703125" style="66" customWidth="1"/>
    <col min="523" max="523" width="4.85546875" style="66" customWidth="1"/>
    <col min="524" max="525" width="0" style="66" hidden="1" customWidth="1"/>
    <col min="526" max="526" width="4.7109375" style="66" customWidth="1"/>
    <col min="527" max="527" width="0" style="66" hidden="1" customWidth="1"/>
    <col min="528" max="528" width="9.5703125" style="66" customWidth="1"/>
    <col min="529" max="529" width="6.28515625" style="66" customWidth="1"/>
    <col min="530" max="530" width="5.7109375" style="66" customWidth="1"/>
    <col min="531" max="531" width="8.5703125" style="66" customWidth="1"/>
    <col min="532" max="537" width="0" style="66" hidden="1" customWidth="1"/>
    <col min="538" max="538" width="11.5703125" style="66" bestFit="1" customWidth="1"/>
    <col min="539" max="539" width="12.85546875" style="66" bestFit="1" customWidth="1"/>
    <col min="540" max="759" width="9.140625" style="66"/>
    <col min="760" max="760" width="4.28515625" style="66" customWidth="1"/>
    <col min="761" max="761" width="21.85546875" style="66" bestFit="1" customWidth="1"/>
    <col min="762" max="762" width="7.85546875" style="66" customWidth="1"/>
    <col min="763" max="764" width="4.5703125" style="66" customWidth="1"/>
    <col min="765" max="765" width="7.28515625" style="66" customWidth="1"/>
    <col min="766" max="767" width="0" style="66" hidden="1" customWidth="1"/>
    <col min="768" max="768" width="9.85546875" style="66" customWidth="1"/>
    <col min="769" max="773" width="0" style="66" hidden="1" customWidth="1"/>
    <col min="774" max="774" width="5.28515625" style="66" customWidth="1"/>
    <col min="775" max="775" width="5.5703125" style="66" customWidth="1"/>
    <col min="776" max="776" width="8.140625" style="66" customWidth="1"/>
    <col min="777" max="778" width="4.5703125" style="66" customWidth="1"/>
    <col min="779" max="779" width="4.85546875" style="66" customWidth="1"/>
    <col min="780" max="781" width="0" style="66" hidden="1" customWidth="1"/>
    <col min="782" max="782" width="4.7109375" style="66" customWidth="1"/>
    <col min="783" max="783" width="0" style="66" hidden="1" customWidth="1"/>
    <col min="784" max="784" width="9.5703125" style="66" customWidth="1"/>
    <col min="785" max="785" width="6.28515625" style="66" customWidth="1"/>
    <col min="786" max="786" width="5.7109375" style="66" customWidth="1"/>
    <col min="787" max="787" width="8.5703125" style="66" customWidth="1"/>
    <col min="788" max="793" width="0" style="66" hidden="1" customWidth="1"/>
    <col min="794" max="794" width="11.5703125" style="66" bestFit="1" customWidth="1"/>
    <col min="795" max="795" width="12.85546875" style="66" bestFit="1" customWidth="1"/>
    <col min="796" max="1015" width="9.140625" style="66"/>
    <col min="1016" max="1016" width="4.28515625" style="66" customWidth="1"/>
    <col min="1017" max="1017" width="21.85546875" style="66" bestFit="1" customWidth="1"/>
    <col min="1018" max="1018" width="7.85546875" style="66" customWidth="1"/>
    <col min="1019" max="1020" width="4.5703125" style="66" customWidth="1"/>
    <col min="1021" max="1021" width="7.28515625" style="66" customWidth="1"/>
    <col min="1022" max="1023" width="0" style="66" hidden="1" customWidth="1"/>
    <col min="1024" max="1024" width="9.85546875" style="66" customWidth="1"/>
    <col min="1025" max="1029" width="0" style="66" hidden="1" customWidth="1"/>
    <col min="1030" max="1030" width="5.28515625" style="66" customWidth="1"/>
    <col min="1031" max="1031" width="5.5703125" style="66" customWidth="1"/>
    <col min="1032" max="1032" width="8.140625" style="66" customWidth="1"/>
    <col min="1033" max="1034" width="4.5703125" style="66" customWidth="1"/>
    <col min="1035" max="1035" width="4.85546875" style="66" customWidth="1"/>
    <col min="1036" max="1037" width="0" style="66" hidden="1" customWidth="1"/>
    <col min="1038" max="1038" width="4.7109375" style="66" customWidth="1"/>
    <col min="1039" max="1039" width="0" style="66" hidden="1" customWidth="1"/>
    <col min="1040" max="1040" width="9.5703125" style="66" customWidth="1"/>
    <col min="1041" max="1041" width="6.28515625" style="66" customWidth="1"/>
    <col min="1042" max="1042" width="5.7109375" style="66" customWidth="1"/>
    <col min="1043" max="1043" width="8.5703125" style="66" customWidth="1"/>
    <col min="1044" max="1049" width="0" style="66" hidden="1" customWidth="1"/>
    <col min="1050" max="1050" width="11.5703125" style="66" bestFit="1" customWidth="1"/>
    <col min="1051" max="1051" width="12.85546875" style="66" bestFit="1" customWidth="1"/>
    <col min="1052" max="1271" width="9.140625" style="66"/>
    <col min="1272" max="1272" width="4.28515625" style="66" customWidth="1"/>
    <col min="1273" max="1273" width="21.85546875" style="66" bestFit="1" customWidth="1"/>
    <col min="1274" max="1274" width="7.85546875" style="66" customWidth="1"/>
    <col min="1275" max="1276" width="4.5703125" style="66" customWidth="1"/>
    <col min="1277" max="1277" width="7.28515625" style="66" customWidth="1"/>
    <col min="1278" max="1279" width="0" style="66" hidden="1" customWidth="1"/>
    <col min="1280" max="1280" width="9.85546875" style="66" customWidth="1"/>
    <col min="1281" max="1285" width="0" style="66" hidden="1" customWidth="1"/>
    <col min="1286" max="1286" width="5.28515625" style="66" customWidth="1"/>
    <col min="1287" max="1287" width="5.5703125" style="66" customWidth="1"/>
    <col min="1288" max="1288" width="8.140625" style="66" customWidth="1"/>
    <col min="1289" max="1290" width="4.5703125" style="66" customWidth="1"/>
    <col min="1291" max="1291" width="4.85546875" style="66" customWidth="1"/>
    <col min="1292" max="1293" width="0" style="66" hidden="1" customWidth="1"/>
    <col min="1294" max="1294" width="4.7109375" style="66" customWidth="1"/>
    <col min="1295" max="1295" width="0" style="66" hidden="1" customWidth="1"/>
    <col min="1296" max="1296" width="9.5703125" style="66" customWidth="1"/>
    <col min="1297" max="1297" width="6.28515625" style="66" customWidth="1"/>
    <col min="1298" max="1298" width="5.7109375" style="66" customWidth="1"/>
    <col min="1299" max="1299" width="8.5703125" style="66" customWidth="1"/>
    <col min="1300" max="1305" width="0" style="66" hidden="1" customWidth="1"/>
    <col min="1306" max="1306" width="11.5703125" style="66" bestFit="1" customWidth="1"/>
    <col min="1307" max="1307" width="12.85546875" style="66" bestFit="1" customWidth="1"/>
    <col min="1308" max="1527" width="9.140625" style="66"/>
    <col min="1528" max="1528" width="4.28515625" style="66" customWidth="1"/>
    <col min="1529" max="1529" width="21.85546875" style="66" bestFit="1" customWidth="1"/>
    <col min="1530" max="1530" width="7.85546875" style="66" customWidth="1"/>
    <col min="1531" max="1532" width="4.5703125" style="66" customWidth="1"/>
    <col min="1533" max="1533" width="7.28515625" style="66" customWidth="1"/>
    <col min="1534" max="1535" width="0" style="66" hidden="1" customWidth="1"/>
    <col min="1536" max="1536" width="9.85546875" style="66" customWidth="1"/>
    <col min="1537" max="1541" width="0" style="66" hidden="1" customWidth="1"/>
    <col min="1542" max="1542" width="5.28515625" style="66" customWidth="1"/>
    <col min="1543" max="1543" width="5.5703125" style="66" customWidth="1"/>
    <col min="1544" max="1544" width="8.140625" style="66" customWidth="1"/>
    <col min="1545" max="1546" width="4.5703125" style="66" customWidth="1"/>
    <col min="1547" max="1547" width="4.85546875" style="66" customWidth="1"/>
    <col min="1548" max="1549" width="0" style="66" hidden="1" customWidth="1"/>
    <col min="1550" max="1550" width="4.7109375" style="66" customWidth="1"/>
    <col min="1551" max="1551" width="0" style="66" hidden="1" customWidth="1"/>
    <col min="1552" max="1552" width="9.5703125" style="66" customWidth="1"/>
    <col min="1553" max="1553" width="6.28515625" style="66" customWidth="1"/>
    <col min="1554" max="1554" width="5.7109375" style="66" customWidth="1"/>
    <col min="1555" max="1555" width="8.5703125" style="66" customWidth="1"/>
    <col min="1556" max="1561" width="0" style="66" hidden="1" customWidth="1"/>
    <col min="1562" max="1562" width="11.5703125" style="66" bestFit="1" customWidth="1"/>
    <col min="1563" max="1563" width="12.85546875" style="66" bestFit="1" customWidth="1"/>
    <col min="1564" max="1783" width="9.140625" style="66"/>
    <col min="1784" max="1784" width="4.28515625" style="66" customWidth="1"/>
    <col min="1785" max="1785" width="21.85546875" style="66" bestFit="1" customWidth="1"/>
    <col min="1786" max="1786" width="7.85546875" style="66" customWidth="1"/>
    <col min="1787" max="1788" width="4.5703125" style="66" customWidth="1"/>
    <col min="1789" max="1789" width="7.28515625" style="66" customWidth="1"/>
    <col min="1790" max="1791" width="0" style="66" hidden="1" customWidth="1"/>
    <col min="1792" max="1792" width="9.85546875" style="66" customWidth="1"/>
    <col min="1793" max="1797" width="0" style="66" hidden="1" customWidth="1"/>
    <col min="1798" max="1798" width="5.28515625" style="66" customWidth="1"/>
    <col min="1799" max="1799" width="5.5703125" style="66" customWidth="1"/>
    <col min="1800" max="1800" width="8.140625" style="66" customWidth="1"/>
    <col min="1801" max="1802" width="4.5703125" style="66" customWidth="1"/>
    <col min="1803" max="1803" width="4.85546875" style="66" customWidth="1"/>
    <col min="1804" max="1805" width="0" style="66" hidden="1" customWidth="1"/>
    <col min="1806" max="1806" width="4.7109375" style="66" customWidth="1"/>
    <col min="1807" max="1807" width="0" style="66" hidden="1" customWidth="1"/>
    <col min="1808" max="1808" width="9.5703125" style="66" customWidth="1"/>
    <col min="1809" max="1809" width="6.28515625" style="66" customWidth="1"/>
    <col min="1810" max="1810" width="5.7109375" style="66" customWidth="1"/>
    <col min="1811" max="1811" width="8.5703125" style="66" customWidth="1"/>
    <col min="1812" max="1817" width="0" style="66" hidden="1" customWidth="1"/>
    <col min="1818" max="1818" width="11.5703125" style="66" bestFit="1" customWidth="1"/>
    <col min="1819" max="1819" width="12.85546875" style="66" bestFit="1" customWidth="1"/>
    <col min="1820" max="2039" width="9.140625" style="66"/>
    <col min="2040" max="2040" width="4.28515625" style="66" customWidth="1"/>
    <col min="2041" max="2041" width="21.85546875" style="66" bestFit="1" customWidth="1"/>
    <col min="2042" max="2042" width="7.85546875" style="66" customWidth="1"/>
    <col min="2043" max="2044" width="4.5703125" style="66" customWidth="1"/>
    <col min="2045" max="2045" width="7.28515625" style="66" customWidth="1"/>
    <col min="2046" max="2047" width="0" style="66" hidden="1" customWidth="1"/>
    <col min="2048" max="2048" width="9.85546875" style="66" customWidth="1"/>
    <col min="2049" max="2053" width="0" style="66" hidden="1" customWidth="1"/>
    <col min="2054" max="2054" width="5.28515625" style="66" customWidth="1"/>
    <col min="2055" max="2055" width="5.5703125" style="66" customWidth="1"/>
    <col min="2056" max="2056" width="8.140625" style="66" customWidth="1"/>
    <col min="2057" max="2058" width="4.5703125" style="66" customWidth="1"/>
    <col min="2059" max="2059" width="4.85546875" style="66" customWidth="1"/>
    <col min="2060" max="2061" width="0" style="66" hidden="1" customWidth="1"/>
    <col min="2062" max="2062" width="4.7109375" style="66" customWidth="1"/>
    <col min="2063" max="2063" width="0" style="66" hidden="1" customWidth="1"/>
    <col min="2064" max="2064" width="9.5703125" style="66" customWidth="1"/>
    <col min="2065" max="2065" width="6.28515625" style="66" customWidth="1"/>
    <col min="2066" max="2066" width="5.7109375" style="66" customWidth="1"/>
    <col min="2067" max="2067" width="8.5703125" style="66" customWidth="1"/>
    <col min="2068" max="2073" width="0" style="66" hidden="1" customWidth="1"/>
    <col min="2074" max="2074" width="11.5703125" style="66" bestFit="1" customWidth="1"/>
    <col min="2075" max="2075" width="12.85546875" style="66" bestFit="1" customWidth="1"/>
    <col min="2076" max="2295" width="9.140625" style="66"/>
    <col min="2296" max="2296" width="4.28515625" style="66" customWidth="1"/>
    <col min="2297" max="2297" width="21.85546875" style="66" bestFit="1" customWidth="1"/>
    <col min="2298" max="2298" width="7.85546875" style="66" customWidth="1"/>
    <col min="2299" max="2300" width="4.5703125" style="66" customWidth="1"/>
    <col min="2301" max="2301" width="7.28515625" style="66" customWidth="1"/>
    <col min="2302" max="2303" width="0" style="66" hidden="1" customWidth="1"/>
    <col min="2304" max="2304" width="9.85546875" style="66" customWidth="1"/>
    <col min="2305" max="2309" width="0" style="66" hidden="1" customWidth="1"/>
    <col min="2310" max="2310" width="5.28515625" style="66" customWidth="1"/>
    <col min="2311" max="2311" width="5.5703125" style="66" customWidth="1"/>
    <col min="2312" max="2312" width="8.140625" style="66" customWidth="1"/>
    <col min="2313" max="2314" width="4.5703125" style="66" customWidth="1"/>
    <col min="2315" max="2315" width="4.85546875" style="66" customWidth="1"/>
    <col min="2316" max="2317" width="0" style="66" hidden="1" customWidth="1"/>
    <col min="2318" max="2318" width="4.7109375" style="66" customWidth="1"/>
    <col min="2319" max="2319" width="0" style="66" hidden="1" customWidth="1"/>
    <col min="2320" max="2320" width="9.5703125" style="66" customWidth="1"/>
    <col min="2321" max="2321" width="6.28515625" style="66" customWidth="1"/>
    <col min="2322" max="2322" width="5.7109375" style="66" customWidth="1"/>
    <col min="2323" max="2323" width="8.5703125" style="66" customWidth="1"/>
    <col min="2324" max="2329" width="0" style="66" hidden="1" customWidth="1"/>
    <col min="2330" max="2330" width="11.5703125" style="66" bestFit="1" customWidth="1"/>
    <col min="2331" max="2331" width="12.85546875" style="66" bestFit="1" customWidth="1"/>
    <col min="2332" max="2551" width="9.140625" style="66"/>
    <col min="2552" max="2552" width="4.28515625" style="66" customWidth="1"/>
    <col min="2553" max="2553" width="21.85546875" style="66" bestFit="1" customWidth="1"/>
    <col min="2554" max="2554" width="7.85546875" style="66" customWidth="1"/>
    <col min="2555" max="2556" width="4.5703125" style="66" customWidth="1"/>
    <col min="2557" max="2557" width="7.28515625" style="66" customWidth="1"/>
    <col min="2558" max="2559" width="0" style="66" hidden="1" customWidth="1"/>
    <col min="2560" max="2560" width="9.85546875" style="66" customWidth="1"/>
    <col min="2561" max="2565" width="0" style="66" hidden="1" customWidth="1"/>
    <col min="2566" max="2566" width="5.28515625" style="66" customWidth="1"/>
    <col min="2567" max="2567" width="5.5703125" style="66" customWidth="1"/>
    <col min="2568" max="2568" width="8.140625" style="66" customWidth="1"/>
    <col min="2569" max="2570" width="4.5703125" style="66" customWidth="1"/>
    <col min="2571" max="2571" width="4.85546875" style="66" customWidth="1"/>
    <col min="2572" max="2573" width="0" style="66" hidden="1" customWidth="1"/>
    <col min="2574" max="2574" width="4.7109375" style="66" customWidth="1"/>
    <col min="2575" max="2575" width="0" style="66" hidden="1" customWidth="1"/>
    <col min="2576" max="2576" width="9.5703125" style="66" customWidth="1"/>
    <col min="2577" max="2577" width="6.28515625" style="66" customWidth="1"/>
    <col min="2578" max="2578" width="5.7109375" style="66" customWidth="1"/>
    <col min="2579" max="2579" width="8.5703125" style="66" customWidth="1"/>
    <col min="2580" max="2585" width="0" style="66" hidden="1" customWidth="1"/>
    <col min="2586" max="2586" width="11.5703125" style="66" bestFit="1" customWidth="1"/>
    <col min="2587" max="2587" width="12.85546875" style="66" bestFit="1" customWidth="1"/>
    <col min="2588" max="2807" width="9.140625" style="66"/>
    <col min="2808" max="2808" width="4.28515625" style="66" customWidth="1"/>
    <col min="2809" max="2809" width="21.85546875" style="66" bestFit="1" customWidth="1"/>
    <col min="2810" max="2810" width="7.85546875" style="66" customWidth="1"/>
    <col min="2811" max="2812" width="4.5703125" style="66" customWidth="1"/>
    <col min="2813" max="2813" width="7.28515625" style="66" customWidth="1"/>
    <col min="2814" max="2815" width="0" style="66" hidden="1" customWidth="1"/>
    <col min="2816" max="2816" width="9.85546875" style="66" customWidth="1"/>
    <col min="2817" max="2821" width="0" style="66" hidden="1" customWidth="1"/>
    <col min="2822" max="2822" width="5.28515625" style="66" customWidth="1"/>
    <col min="2823" max="2823" width="5.5703125" style="66" customWidth="1"/>
    <col min="2824" max="2824" width="8.140625" style="66" customWidth="1"/>
    <col min="2825" max="2826" width="4.5703125" style="66" customWidth="1"/>
    <col min="2827" max="2827" width="4.85546875" style="66" customWidth="1"/>
    <col min="2828" max="2829" width="0" style="66" hidden="1" customWidth="1"/>
    <col min="2830" max="2830" width="4.7109375" style="66" customWidth="1"/>
    <col min="2831" max="2831" width="0" style="66" hidden="1" customWidth="1"/>
    <col min="2832" max="2832" width="9.5703125" style="66" customWidth="1"/>
    <col min="2833" max="2833" width="6.28515625" style="66" customWidth="1"/>
    <col min="2834" max="2834" width="5.7109375" style="66" customWidth="1"/>
    <col min="2835" max="2835" width="8.5703125" style="66" customWidth="1"/>
    <col min="2836" max="2841" width="0" style="66" hidden="1" customWidth="1"/>
    <col min="2842" max="2842" width="11.5703125" style="66" bestFit="1" customWidth="1"/>
    <col min="2843" max="2843" width="12.85546875" style="66" bestFit="1" customWidth="1"/>
    <col min="2844" max="3063" width="9.140625" style="66"/>
    <col min="3064" max="3064" width="4.28515625" style="66" customWidth="1"/>
    <col min="3065" max="3065" width="21.85546875" style="66" bestFit="1" customWidth="1"/>
    <col min="3066" max="3066" width="7.85546875" style="66" customWidth="1"/>
    <col min="3067" max="3068" width="4.5703125" style="66" customWidth="1"/>
    <col min="3069" max="3069" width="7.28515625" style="66" customWidth="1"/>
    <col min="3070" max="3071" width="0" style="66" hidden="1" customWidth="1"/>
    <col min="3072" max="3072" width="9.85546875" style="66" customWidth="1"/>
    <col min="3073" max="3077" width="0" style="66" hidden="1" customWidth="1"/>
    <col min="3078" max="3078" width="5.28515625" style="66" customWidth="1"/>
    <col min="3079" max="3079" width="5.5703125" style="66" customWidth="1"/>
    <col min="3080" max="3080" width="8.140625" style="66" customWidth="1"/>
    <col min="3081" max="3082" width="4.5703125" style="66" customWidth="1"/>
    <col min="3083" max="3083" width="4.85546875" style="66" customWidth="1"/>
    <col min="3084" max="3085" width="0" style="66" hidden="1" customWidth="1"/>
    <col min="3086" max="3086" width="4.7109375" style="66" customWidth="1"/>
    <col min="3087" max="3087" width="0" style="66" hidden="1" customWidth="1"/>
    <col min="3088" max="3088" width="9.5703125" style="66" customWidth="1"/>
    <col min="3089" max="3089" width="6.28515625" style="66" customWidth="1"/>
    <col min="3090" max="3090" width="5.7109375" style="66" customWidth="1"/>
    <col min="3091" max="3091" width="8.5703125" style="66" customWidth="1"/>
    <col min="3092" max="3097" width="0" style="66" hidden="1" customWidth="1"/>
    <col min="3098" max="3098" width="11.5703125" style="66" bestFit="1" customWidth="1"/>
    <col min="3099" max="3099" width="12.85546875" style="66" bestFit="1" customWidth="1"/>
    <col min="3100" max="3319" width="9.140625" style="66"/>
    <col min="3320" max="3320" width="4.28515625" style="66" customWidth="1"/>
    <col min="3321" max="3321" width="21.85546875" style="66" bestFit="1" customWidth="1"/>
    <col min="3322" max="3322" width="7.85546875" style="66" customWidth="1"/>
    <col min="3323" max="3324" width="4.5703125" style="66" customWidth="1"/>
    <col min="3325" max="3325" width="7.28515625" style="66" customWidth="1"/>
    <col min="3326" max="3327" width="0" style="66" hidden="1" customWidth="1"/>
    <col min="3328" max="3328" width="9.85546875" style="66" customWidth="1"/>
    <col min="3329" max="3333" width="0" style="66" hidden="1" customWidth="1"/>
    <col min="3334" max="3334" width="5.28515625" style="66" customWidth="1"/>
    <col min="3335" max="3335" width="5.5703125" style="66" customWidth="1"/>
    <col min="3336" max="3336" width="8.140625" style="66" customWidth="1"/>
    <col min="3337" max="3338" width="4.5703125" style="66" customWidth="1"/>
    <col min="3339" max="3339" width="4.85546875" style="66" customWidth="1"/>
    <col min="3340" max="3341" width="0" style="66" hidden="1" customWidth="1"/>
    <col min="3342" max="3342" width="4.7109375" style="66" customWidth="1"/>
    <col min="3343" max="3343" width="0" style="66" hidden="1" customWidth="1"/>
    <col min="3344" max="3344" width="9.5703125" style="66" customWidth="1"/>
    <col min="3345" max="3345" width="6.28515625" style="66" customWidth="1"/>
    <col min="3346" max="3346" width="5.7109375" style="66" customWidth="1"/>
    <col min="3347" max="3347" width="8.5703125" style="66" customWidth="1"/>
    <col min="3348" max="3353" width="0" style="66" hidden="1" customWidth="1"/>
    <col min="3354" max="3354" width="11.5703125" style="66" bestFit="1" customWidth="1"/>
    <col min="3355" max="3355" width="12.85546875" style="66" bestFit="1" customWidth="1"/>
    <col min="3356" max="3575" width="9.140625" style="66"/>
    <col min="3576" max="3576" width="4.28515625" style="66" customWidth="1"/>
    <col min="3577" max="3577" width="21.85546875" style="66" bestFit="1" customWidth="1"/>
    <col min="3578" max="3578" width="7.85546875" style="66" customWidth="1"/>
    <col min="3579" max="3580" width="4.5703125" style="66" customWidth="1"/>
    <col min="3581" max="3581" width="7.28515625" style="66" customWidth="1"/>
    <col min="3582" max="3583" width="0" style="66" hidden="1" customWidth="1"/>
    <col min="3584" max="3584" width="9.85546875" style="66" customWidth="1"/>
    <col min="3585" max="3589" width="0" style="66" hidden="1" customWidth="1"/>
    <col min="3590" max="3590" width="5.28515625" style="66" customWidth="1"/>
    <col min="3591" max="3591" width="5.5703125" style="66" customWidth="1"/>
    <col min="3592" max="3592" width="8.140625" style="66" customWidth="1"/>
    <col min="3593" max="3594" width="4.5703125" style="66" customWidth="1"/>
    <col min="3595" max="3595" width="4.85546875" style="66" customWidth="1"/>
    <col min="3596" max="3597" width="0" style="66" hidden="1" customWidth="1"/>
    <col min="3598" max="3598" width="4.7109375" style="66" customWidth="1"/>
    <col min="3599" max="3599" width="0" style="66" hidden="1" customWidth="1"/>
    <col min="3600" max="3600" width="9.5703125" style="66" customWidth="1"/>
    <col min="3601" max="3601" width="6.28515625" style="66" customWidth="1"/>
    <col min="3602" max="3602" width="5.7109375" style="66" customWidth="1"/>
    <col min="3603" max="3603" width="8.5703125" style="66" customWidth="1"/>
    <col min="3604" max="3609" width="0" style="66" hidden="1" customWidth="1"/>
    <col min="3610" max="3610" width="11.5703125" style="66" bestFit="1" customWidth="1"/>
    <col min="3611" max="3611" width="12.85546875" style="66" bestFit="1" customWidth="1"/>
    <col min="3612" max="3831" width="9.140625" style="66"/>
    <col min="3832" max="3832" width="4.28515625" style="66" customWidth="1"/>
    <col min="3833" max="3833" width="21.85546875" style="66" bestFit="1" customWidth="1"/>
    <col min="3834" max="3834" width="7.85546875" style="66" customWidth="1"/>
    <col min="3835" max="3836" width="4.5703125" style="66" customWidth="1"/>
    <col min="3837" max="3837" width="7.28515625" style="66" customWidth="1"/>
    <col min="3838" max="3839" width="0" style="66" hidden="1" customWidth="1"/>
    <col min="3840" max="3840" width="9.85546875" style="66" customWidth="1"/>
    <col min="3841" max="3845" width="0" style="66" hidden="1" customWidth="1"/>
    <col min="3846" max="3846" width="5.28515625" style="66" customWidth="1"/>
    <col min="3847" max="3847" width="5.5703125" style="66" customWidth="1"/>
    <col min="3848" max="3848" width="8.140625" style="66" customWidth="1"/>
    <col min="3849" max="3850" width="4.5703125" style="66" customWidth="1"/>
    <col min="3851" max="3851" width="4.85546875" style="66" customWidth="1"/>
    <col min="3852" max="3853" width="0" style="66" hidden="1" customWidth="1"/>
    <col min="3854" max="3854" width="4.7109375" style="66" customWidth="1"/>
    <col min="3855" max="3855" width="0" style="66" hidden="1" customWidth="1"/>
    <col min="3856" max="3856" width="9.5703125" style="66" customWidth="1"/>
    <col min="3857" max="3857" width="6.28515625" style="66" customWidth="1"/>
    <col min="3858" max="3858" width="5.7109375" style="66" customWidth="1"/>
    <col min="3859" max="3859" width="8.5703125" style="66" customWidth="1"/>
    <col min="3860" max="3865" width="0" style="66" hidden="1" customWidth="1"/>
    <col min="3866" max="3866" width="11.5703125" style="66" bestFit="1" customWidth="1"/>
    <col min="3867" max="3867" width="12.85546875" style="66" bestFit="1" customWidth="1"/>
    <col min="3868" max="4087" width="9.140625" style="66"/>
    <col min="4088" max="4088" width="4.28515625" style="66" customWidth="1"/>
    <col min="4089" max="4089" width="21.85546875" style="66" bestFit="1" customWidth="1"/>
    <col min="4090" max="4090" width="7.85546875" style="66" customWidth="1"/>
    <col min="4091" max="4092" width="4.5703125" style="66" customWidth="1"/>
    <col min="4093" max="4093" width="7.28515625" style="66" customWidth="1"/>
    <col min="4094" max="4095" width="0" style="66" hidden="1" customWidth="1"/>
    <col min="4096" max="4096" width="9.85546875" style="66" customWidth="1"/>
    <col min="4097" max="4101" width="0" style="66" hidden="1" customWidth="1"/>
    <col min="4102" max="4102" width="5.28515625" style="66" customWidth="1"/>
    <col min="4103" max="4103" width="5.5703125" style="66" customWidth="1"/>
    <col min="4104" max="4104" width="8.140625" style="66" customWidth="1"/>
    <col min="4105" max="4106" width="4.5703125" style="66" customWidth="1"/>
    <col min="4107" max="4107" width="4.85546875" style="66" customWidth="1"/>
    <col min="4108" max="4109" width="0" style="66" hidden="1" customWidth="1"/>
    <col min="4110" max="4110" width="4.7109375" style="66" customWidth="1"/>
    <col min="4111" max="4111" width="0" style="66" hidden="1" customWidth="1"/>
    <col min="4112" max="4112" width="9.5703125" style="66" customWidth="1"/>
    <col min="4113" max="4113" width="6.28515625" style="66" customWidth="1"/>
    <col min="4114" max="4114" width="5.7109375" style="66" customWidth="1"/>
    <col min="4115" max="4115" width="8.5703125" style="66" customWidth="1"/>
    <col min="4116" max="4121" width="0" style="66" hidden="1" customWidth="1"/>
    <col min="4122" max="4122" width="11.5703125" style="66" bestFit="1" customWidth="1"/>
    <col min="4123" max="4123" width="12.85546875" style="66" bestFit="1" customWidth="1"/>
    <col min="4124" max="4343" width="9.140625" style="66"/>
    <col min="4344" max="4344" width="4.28515625" style="66" customWidth="1"/>
    <col min="4345" max="4345" width="21.85546875" style="66" bestFit="1" customWidth="1"/>
    <col min="4346" max="4346" width="7.85546875" style="66" customWidth="1"/>
    <col min="4347" max="4348" width="4.5703125" style="66" customWidth="1"/>
    <col min="4349" max="4349" width="7.28515625" style="66" customWidth="1"/>
    <col min="4350" max="4351" width="0" style="66" hidden="1" customWidth="1"/>
    <col min="4352" max="4352" width="9.85546875" style="66" customWidth="1"/>
    <col min="4353" max="4357" width="0" style="66" hidden="1" customWidth="1"/>
    <col min="4358" max="4358" width="5.28515625" style="66" customWidth="1"/>
    <col min="4359" max="4359" width="5.5703125" style="66" customWidth="1"/>
    <col min="4360" max="4360" width="8.140625" style="66" customWidth="1"/>
    <col min="4361" max="4362" width="4.5703125" style="66" customWidth="1"/>
    <col min="4363" max="4363" width="4.85546875" style="66" customWidth="1"/>
    <col min="4364" max="4365" width="0" style="66" hidden="1" customWidth="1"/>
    <col min="4366" max="4366" width="4.7109375" style="66" customWidth="1"/>
    <col min="4367" max="4367" width="0" style="66" hidden="1" customWidth="1"/>
    <col min="4368" max="4368" width="9.5703125" style="66" customWidth="1"/>
    <col min="4369" max="4369" width="6.28515625" style="66" customWidth="1"/>
    <col min="4370" max="4370" width="5.7109375" style="66" customWidth="1"/>
    <col min="4371" max="4371" width="8.5703125" style="66" customWidth="1"/>
    <col min="4372" max="4377" width="0" style="66" hidden="1" customWidth="1"/>
    <col min="4378" max="4378" width="11.5703125" style="66" bestFit="1" customWidth="1"/>
    <col min="4379" max="4379" width="12.85546875" style="66" bestFit="1" customWidth="1"/>
    <col min="4380" max="4599" width="9.140625" style="66"/>
    <col min="4600" max="4600" width="4.28515625" style="66" customWidth="1"/>
    <col min="4601" max="4601" width="21.85546875" style="66" bestFit="1" customWidth="1"/>
    <col min="4602" max="4602" width="7.85546875" style="66" customWidth="1"/>
    <col min="4603" max="4604" width="4.5703125" style="66" customWidth="1"/>
    <col min="4605" max="4605" width="7.28515625" style="66" customWidth="1"/>
    <col min="4606" max="4607" width="0" style="66" hidden="1" customWidth="1"/>
    <col min="4608" max="4608" width="9.85546875" style="66" customWidth="1"/>
    <col min="4609" max="4613" width="0" style="66" hidden="1" customWidth="1"/>
    <col min="4614" max="4614" width="5.28515625" style="66" customWidth="1"/>
    <col min="4615" max="4615" width="5.5703125" style="66" customWidth="1"/>
    <col min="4616" max="4616" width="8.140625" style="66" customWidth="1"/>
    <col min="4617" max="4618" width="4.5703125" style="66" customWidth="1"/>
    <col min="4619" max="4619" width="4.85546875" style="66" customWidth="1"/>
    <col min="4620" max="4621" width="0" style="66" hidden="1" customWidth="1"/>
    <col min="4622" max="4622" width="4.7109375" style="66" customWidth="1"/>
    <col min="4623" max="4623" width="0" style="66" hidden="1" customWidth="1"/>
    <col min="4624" max="4624" width="9.5703125" style="66" customWidth="1"/>
    <col min="4625" max="4625" width="6.28515625" style="66" customWidth="1"/>
    <col min="4626" max="4626" width="5.7109375" style="66" customWidth="1"/>
    <col min="4627" max="4627" width="8.5703125" style="66" customWidth="1"/>
    <col min="4628" max="4633" width="0" style="66" hidden="1" customWidth="1"/>
    <col min="4634" max="4634" width="11.5703125" style="66" bestFit="1" customWidth="1"/>
    <col min="4635" max="4635" width="12.85546875" style="66" bestFit="1" customWidth="1"/>
    <col min="4636" max="4855" width="9.140625" style="66"/>
    <col min="4856" max="4856" width="4.28515625" style="66" customWidth="1"/>
    <col min="4857" max="4857" width="21.85546875" style="66" bestFit="1" customWidth="1"/>
    <col min="4858" max="4858" width="7.85546875" style="66" customWidth="1"/>
    <col min="4859" max="4860" width="4.5703125" style="66" customWidth="1"/>
    <col min="4861" max="4861" width="7.28515625" style="66" customWidth="1"/>
    <col min="4862" max="4863" width="0" style="66" hidden="1" customWidth="1"/>
    <col min="4864" max="4864" width="9.85546875" style="66" customWidth="1"/>
    <col min="4865" max="4869" width="0" style="66" hidden="1" customWidth="1"/>
    <col min="4870" max="4870" width="5.28515625" style="66" customWidth="1"/>
    <col min="4871" max="4871" width="5.5703125" style="66" customWidth="1"/>
    <col min="4872" max="4872" width="8.140625" style="66" customWidth="1"/>
    <col min="4873" max="4874" width="4.5703125" style="66" customWidth="1"/>
    <col min="4875" max="4875" width="4.85546875" style="66" customWidth="1"/>
    <col min="4876" max="4877" width="0" style="66" hidden="1" customWidth="1"/>
    <col min="4878" max="4878" width="4.7109375" style="66" customWidth="1"/>
    <col min="4879" max="4879" width="0" style="66" hidden="1" customWidth="1"/>
    <col min="4880" max="4880" width="9.5703125" style="66" customWidth="1"/>
    <col min="4881" max="4881" width="6.28515625" style="66" customWidth="1"/>
    <col min="4882" max="4882" width="5.7109375" style="66" customWidth="1"/>
    <col min="4883" max="4883" width="8.5703125" style="66" customWidth="1"/>
    <col min="4884" max="4889" width="0" style="66" hidden="1" customWidth="1"/>
    <col min="4890" max="4890" width="11.5703125" style="66" bestFit="1" customWidth="1"/>
    <col min="4891" max="4891" width="12.85546875" style="66" bestFit="1" customWidth="1"/>
    <col min="4892" max="5111" width="9.140625" style="66"/>
    <col min="5112" max="5112" width="4.28515625" style="66" customWidth="1"/>
    <col min="5113" max="5113" width="21.85546875" style="66" bestFit="1" customWidth="1"/>
    <col min="5114" max="5114" width="7.85546875" style="66" customWidth="1"/>
    <col min="5115" max="5116" width="4.5703125" style="66" customWidth="1"/>
    <col min="5117" max="5117" width="7.28515625" style="66" customWidth="1"/>
    <col min="5118" max="5119" width="0" style="66" hidden="1" customWidth="1"/>
    <col min="5120" max="5120" width="9.85546875" style="66" customWidth="1"/>
    <col min="5121" max="5125" width="0" style="66" hidden="1" customWidth="1"/>
    <col min="5126" max="5126" width="5.28515625" style="66" customWidth="1"/>
    <col min="5127" max="5127" width="5.5703125" style="66" customWidth="1"/>
    <col min="5128" max="5128" width="8.140625" style="66" customWidth="1"/>
    <col min="5129" max="5130" width="4.5703125" style="66" customWidth="1"/>
    <col min="5131" max="5131" width="4.85546875" style="66" customWidth="1"/>
    <col min="5132" max="5133" width="0" style="66" hidden="1" customWidth="1"/>
    <col min="5134" max="5134" width="4.7109375" style="66" customWidth="1"/>
    <col min="5135" max="5135" width="0" style="66" hidden="1" customWidth="1"/>
    <col min="5136" max="5136" width="9.5703125" style="66" customWidth="1"/>
    <col min="5137" max="5137" width="6.28515625" style="66" customWidth="1"/>
    <col min="5138" max="5138" width="5.7109375" style="66" customWidth="1"/>
    <col min="5139" max="5139" width="8.5703125" style="66" customWidth="1"/>
    <col min="5140" max="5145" width="0" style="66" hidden="1" customWidth="1"/>
    <col min="5146" max="5146" width="11.5703125" style="66" bestFit="1" customWidth="1"/>
    <col min="5147" max="5147" width="12.85546875" style="66" bestFit="1" customWidth="1"/>
    <col min="5148" max="5367" width="9.140625" style="66"/>
    <col min="5368" max="5368" width="4.28515625" style="66" customWidth="1"/>
    <col min="5369" max="5369" width="21.85546875" style="66" bestFit="1" customWidth="1"/>
    <col min="5370" max="5370" width="7.85546875" style="66" customWidth="1"/>
    <col min="5371" max="5372" width="4.5703125" style="66" customWidth="1"/>
    <col min="5373" max="5373" width="7.28515625" style="66" customWidth="1"/>
    <col min="5374" max="5375" width="0" style="66" hidden="1" customWidth="1"/>
    <col min="5376" max="5376" width="9.85546875" style="66" customWidth="1"/>
    <col min="5377" max="5381" width="0" style="66" hidden="1" customWidth="1"/>
    <col min="5382" max="5382" width="5.28515625" style="66" customWidth="1"/>
    <col min="5383" max="5383" width="5.5703125" style="66" customWidth="1"/>
    <col min="5384" max="5384" width="8.140625" style="66" customWidth="1"/>
    <col min="5385" max="5386" width="4.5703125" style="66" customWidth="1"/>
    <col min="5387" max="5387" width="4.85546875" style="66" customWidth="1"/>
    <col min="5388" max="5389" width="0" style="66" hidden="1" customWidth="1"/>
    <col min="5390" max="5390" width="4.7109375" style="66" customWidth="1"/>
    <col min="5391" max="5391" width="0" style="66" hidden="1" customWidth="1"/>
    <col min="5392" max="5392" width="9.5703125" style="66" customWidth="1"/>
    <col min="5393" max="5393" width="6.28515625" style="66" customWidth="1"/>
    <col min="5394" max="5394" width="5.7109375" style="66" customWidth="1"/>
    <col min="5395" max="5395" width="8.5703125" style="66" customWidth="1"/>
    <col min="5396" max="5401" width="0" style="66" hidden="1" customWidth="1"/>
    <col min="5402" max="5402" width="11.5703125" style="66" bestFit="1" customWidth="1"/>
    <col min="5403" max="5403" width="12.85546875" style="66" bestFit="1" customWidth="1"/>
    <col min="5404" max="5623" width="9.140625" style="66"/>
    <col min="5624" max="5624" width="4.28515625" style="66" customWidth="1"/>
    <col min="5625" max="5625" width="21.85546875" style="66" bestFit="1" customWidth="1"/>
    <col min="5626" max="5626" width="7.85546875" style="66" customWidth="1"/>
    <col min="5627" max="5628" width="4.5703125" style="66" customWidth="1"/>
    <col min="5629" max="5629" width="7.28515625" style="66" customWidth="1"/>
    <col min="5630" max="5631" width="0" style="66" hidden="1" customWidth="1"/>
    <col min="5632" max="5632" width="9.85546875" style="66" customWidth="1"/>
    <col min="5633" max="5637" width="0" style="66" hidden="1" customWidth="1"/>
    <col min="5638" max="5638" width="5.28515625" style="66" customWidth="1"/>
    <col min="5639" max="5639" width="5.5703125" style="66" customWidth="1"/>
    <col min="5640" max="5640" width="8.140625" style="66" customWidth="1"/>
    <col min="5641" max="5642" width="4.5703125" style="66" customWidth="1"/>
    <col min="5643" max="5643" width="4.85546875" style="66" customWidth="1"/>
    <col min="5644" max="5645" width="0" style="66" hidden="1" customWidth="1"/>
    <col min="5646" max="5646" width="4.7109375" style="66" customWidth="1"/>
    <col min="5647" max="5647" width="0" style="66" hidden="1" customWidth="1"/>
    <col min="5648" max="5648" width="9.5703125" style="66" customWidth="1"/>
    <col min="5649" max="5649" width="6.28515625" style="66" customWidth="1"/>
    <col min="5650" max="5650" width="5.7109375" style="66" customWidth="1"/>
    <col min="5651" max="5651" width="8.5703125" style="66" customWidth="1"/>
    <col min="5652" max="5657" width="0" style="66" hidden="1" customWidth="1"/>
    <col min="5658" max="5658" width="11.5703125" style="66" bestFit="1" customWidth="1"/>
    <col min="5659" max="5659" width="12.85546875" style="66" bestFit="1" customWidth="1"/>
    <col min="5660" max="5879" width="9.140625" style="66"/>
    <col min="5880" max="5880" width="4.28515625" style="66" customWidth="1"/>
    <col min="5881" max="5881" width="21.85546875" style="66" bestFit="1" customWidth="1"/>
    <col min="5882" max="5882" width="7.85546875" style="66" customWidth="1"/>
    <col min="5883" max="5884" width="4.5703125" style="66" customWidth="1"/>
    <col min="5885" max="5885" width="7.28515625" style="66" customWidth="1"/>
    <col min="5886" max="5887" width="0" style="66" hidden="1" customWidth="1"/>
    <col min="5888" max="5888" width="9.85546875" style="66" customWidth="1"/>
    <col min="5889" max="5893" width="0" style="66" hidden="1" customWidth="1"/>
    <col min="5894" max="5894" width="5.28515625" style="66" customWidth="1"/>
    <col min="5895" max="5895" width="5.5703125" style="66" customWidth="1"/>
    <col min="5896" max="5896" width="8.140625" style="66" customWidth="1"/>
    <col min="5897" max="5898" width="4.5703125" style="66" customWidth="1"/>
    <col min="5899" max="5899" width="4.85546875" style="66" customWidth="1"/>
    <col min="5900" max="5901" width="0" style="66" hidden="1" customWidth="1"/>
    <col min="5902" max="5902" width="4.7109375" style="66" customWidth="1"/>
    <col min="5903" max="5903" width="0" style="66" hidden="1" customWidth="1"/>
    <col min="5904" max="5904" width="9.5703125" style="66" customWidth="1"/>
    <col min="5905" max="5905" width="6.28515625" style="66" customWidth="1"/>
    <col min="5906" max="5906" width="5.7109375" style="66" customWidth="1"/>
    <col min="5907" max="5907" width="8.5703125" style="66" customWidth="1"/>
    <col min="5908" max="5913" width="0" style="66" hidden="1" customWidth="1"/>
    <col min="5914" max="5914" width="11.5703125" style="66" bestFit="1" customWidth="1"/>
    <col min="5915" max="5915" width="12.85546875" style="66" bestFit="1" customWidth="1"/>
    <col min="5916" max="6135" width="9.140625" style="66"/>
    <col min="6136" max="6136" width="4.28515625" style="66" customWidth="1"/>
    <col min="6137" max="6137" width="21.85546875" style="66" bestFit="1" customWidth="1"/>
    <col min="6138" max="6138" width="7.85546875" style="66" customWidth="1"/>
    <col min="6139" max="6140" width="4.5703125" style="66" customWidth="1"/>
    <col min="6141" max="6141" width="7.28515625" style="66" customWidth="1"/>
    <col min="6142" max="6143" width="0" style="66" hidden="1" customWidth="1"/>
    <col min="6144" max="6144" width="9.85546875" style="66" customWidth="1"/>
    <col min="6145" max="6149" width="0" style="66" hidden="1" customWidth="1"/>
    <col min="6150" max="6150" width="5.28515625" style="66" customWidth="1"/>
    <col min="6151" max="6151" width="5.5703125" style="66" customWidth="1"/>
    <col min="6152" max="6152" width="8.140625" style="66" customWidth="1"/>
    <col min="6153" max="6154" width="4.5703125" style="66" customWidth="1"/>
    <col min="6155" max="6155" width="4.85546875" style="66" customWidth="1"/>
    <col min="6156" max="6157" width="0" style="66" hidden="1" customWidth="1"/>
    <col min="6158" max="6158" width="4.7109375" style="66" customWidth="1"/>
    <col min="6159" max="6159" width="0" style="66" hidden="1" customWidth="1"/>
    <col min="6160" max="6160" width="9.5703125" style="66" customWidth="1"/>
    <col min="6161" max="6161" width="6.28515625" style="66" customWidth="1"/>
    <col min="6162" max="6162" width="5.7109375" style="66" customWidth="1"/>
    <col min="6163" max="6163" width="8.5703125" style="66" customWidth="1"/>
    <col min="6164" max="6169" width="0" style="66" hidden="1" customWidth="1"/>
    <col min="6170" max="6170" width="11.5703125" style="66" bestFit="1" customWidth="1"/>
    <col min="6171" max="6171" width="12.85546875" style="66" bestFit="1" customWidth="1"/>
    <col min="6172" max="6391" width="9.140625" style="66"/>
    <col min="6392" max="6392" width="4.28515625" style="66" customWidth="1"/>
    <col min="6393" max="6393" width="21.85546875" style="66" bestFit="1" customWidth="1"/>
    <col min="6394" max="6394" width="7.85546875" style="66" customWidth="1"/>
    <col min="6395" max="6396" width="4.5703125" style="66" customWidth="1"/>
    <col min="6397" max="6397" width="7.28515625" style="66" customWidth="1"/>
    <col min="6398" max="6399" width="0" style="66" hidden="1" customWidth="1"/>
    <col min="6400" max="6400" width="9.85546875" style="66" customWidth="1"/>
    <col min="6401" max="6405" width="0" style="66" hidden="1" customWidth="1"/>
    <col min="6406" max="6406" width="5.28515625" style="66" customWidth="1"/>
    <col min="6407" max="6407" width="5.5703125" style="66" customWidth="1"/>
    <col min="6408" max="6408" width="8.140625" style="66" customWidth="1"/>
    <col min="6409" max="6410" width="4.5703125" style="66" customWidth="1"/>
    <col min="6411" max="6411" width="4.85546875" style="66" customWidth="1"/>
    <col min="6412" max="6413" width="0" style="66" hidden="1" customWidth="1"/>
    <col min="6414" max="6414" width="4.7109375" style="66" customWidth="1"/>
    <col min="6415" max="6415" width="0" style="66" hidden="1" customWidth="1"/>
    <col min="6416" max="6416" width="9.5703125" style="66" customWidth="1"/>
    <col min="6417" max="6417" width="6.28515625" style="66" customWidth="1"/>
    <col min="6418" max="6418" width="5.7109375" style="66" customWidth="1"/>
    <col min="6419" max="6419" width="8.5703125" style="66" customWidth="1"/>
    <col min="6420" max="6425" width="0" style="66" hidden="1" customWidth="1"/>
    <col min="6426" max="6426" width="11.5703125" style="66" bestFit="1" customWidth="1"/>
    <col min="6427" max="6427" width="12.85546875" style="66" bestFit="1" customWidth="1"/>
    <col min="6428" max="6647" width="9.140625" style="66"/>
    <col min="6648" max="6648" width="4.28515625" style="66" customWidth="1"/>
    <col min="6649" max="6649" width="21.85546875" style="66" bestFit="1" customWidth="1"/>
    <col min="6650" max="6650" width="7.85546875" style="66" customWidth="1"/>
    <col min="6651" max="6652" width="4.5703125" style="66" customWidth="1"/>
    <col min="6653" max="6653" width="7.28515625" style="66" customWidth="1"/>
    <col min="6654" max="6655" width="0" style="66" hidden="1" customWidth="1"/>
    <col min="6656" max="6656" width="9.85546875" style="66" customWidth="1"/>
    <col min="6657" max="6661" width="0" style="66" hidden="1" customWidth="1"/>
    <col min="6662" max="6662" width="5.28515625" style="66" customWidth="1"/>
    <col min="6663" max="6663" width="5.5703125" style="66" customWidth="1"/>
    <col min="6664" max="6664" width="8.140625" style="66" customWidth="1"/>
    <col min="6665" max="6666" width="4.5703125" style="66" customWidth="1"/>
    <col min="6667" max="6667" width="4.85546875" style="66" customWidth="1"/>
    <col min="6668" max="6669" width="0" style="66" hidden="1" customWidth="1"/>
    <col min="6670" max="6670" width="4.7109375" style="66" customWidth="1"/>
    <col min="6671" max="6671" width="0" style="66" hidden="1" customWidth="1"/>
    <col min="6672" max="6672" width="9.5703125" style="66" customWidth="1"/>
    <col min="6673" max="6673" width="6.28515625" style="66" customWidth="1"/>
    <col min="6674" max="6674" width="5.7109375" style="66" customWidth="1"/>
    <col min="6675" max="6675" width="8.5703125" style="66" customWidth="1"/>
    <col min="6676" max="6681" width="0" style="66" hidden="1" customWidth="1"/>
    <col min="6682" max="6682" width="11.5703125" style="66" bestFit="1" customWidth="1"/>
    <col min="6683" max="6683" width="12.85546875" style="66" bestFit="1" customWidth="1"/>
    <col min="6684" max="6903" width="9.140625" style="66"/>
    <col min="6904" max="6904" width="4.28515625" style="66" customWidth="1"/>
    <col min="6905" max="6905" width="21.85546875" style="66" bestFit="1" customWidth="1"/>
    <col min="6906" max="6906" width="7.85546875" style="66" customWidth="1"/>
    <col min="6907" max="6908" width="4.5703125" style="66" customWidth="1"/>
    <col min="6909" max="6909" width="7.28515625" style="66" customWidth="1"/>
    <col min="6910" max="6911" width="0" style="66" hidden="1" customWidth="1"/>
    <col min="6912" max="6912" width="9.85546875" style="66" customWidth="1"/>
    <col min="6913" max="6917" width="0" style="66" hidden="1" customWidth="1"/>
    <col min="6918" max="6918" width="5.28515625" style="66" customWidth="1"/>
    <col min="6919" max="6919" width="5.5703125" style="66" customWidth="1"/>
    <col min="6920" max="6920" width="8.140625" style="66" customWidth="1"/>
    <col min="6921" max="6922" width="4.5703125" style="66" customWidth="1"/>
    <col min="6923" max="6923" width="4.85546875" style="66" customWidth="1"/>
    <col min="6924" max="6925" width="0" style="66" hidden="1" customWidth="1"/>
    <col min="6926" max="6926" width="4.7109375" style="66" customWidth="1"/>
    <col min="6927" max="6927" width="0" style="66" hidden="1" customWidth="1"/>
    <col min="6928" max="6928" width="9.5703125" style="66" customWidth="1"/>
    <col min="6929" max="6929" width="6.28515625" style="66" customWidth="1"/>
    <col min="6930" max="6930" width="5.7109375" style="66" customWidth="1"/>
    <col min="6931" max="6931" width="8.5703125" style="66" customWidth="1"/>
    <col min="6932" max="6937" width="0" style="66" hidden="1" customWidth="1"/>
    <col min="6938" max="6938" width="11.5703125" style="66" bestFit="1" customWidth="1"/>
    <col min="6939" max="6939" width="12.85546875" style="66" bestFit="1" customWidth="1"/>
    <col min="6940" max="7159" width="9.140625" style="66"/>
    <col min="7160" max="7160" width="4.28515625" style="66" customWidth="1"/>
    <col min="7161" max="7161" width="21.85546875" style="66" bestFit="1" customWidth="1"/>
    <col min="7162" max="7162" width="7.85546875" style="66" customWidth="1"/>
    <col min="7163" max="7164" width="4.5703125" style="66" customWidth="1"/>
    <col min="7165" max="7165" width="7.28515625" style="66" customWidth="1"/>
    <col min="7166" max="7167" width="0" style="66" hidden="1" customWidth="1"/>
    <col min="7168" max="7168" width="9.85546875" style="66" customWidth="1"/>
    <col min="7169" max="7173" width="0" style="66" hidden="1" customWidth="1"/>
    <col min="7174" max="7174" width="5.28515625" style="66" customWidth="1"/>
    <col min="7175" max="7175" width="5.5703125" style="66" customWidth="1"/>
    <col min="7176" max="7176" width="8.140625" style="66" customWidth="1"/>
    <col min="7177" max="7178" width="4.5703125" style="66" customWidth="1"/>
    <col min="7179" max="7179" width="4.85546875" style="66" customWidth="1"/>
    <col min="7180" max="7181" width="0" style="66" hidden="1" customWidth="1"/>
    <col min="7182" max="7182" width="4.7109375" style="66" customWidth="1"/>
    <col min="7183" max="7183" width="0" style="66" hidden="1" customWidth="1"/>
    <col min="7184" max="7184" width="9.5703125" style="66" customWidth="1"/>
    <col min="7185" max="7185" width="6.28515625" style="66" customWidth="1"/>
    <col min="7186" max="7186" width="5.7109375" style="66" customWidth="1"/>
    <col min="7187" max="7187" width="8.5703125" style="66" customWidth="1"/>
    <col min="7188" max="7193" width="0" style="66" hidden="1" customWidth="1"/>
    <col min="7194" max="7194" width="11.5703125" style="66" bestFit="1" customWidth="1"/>
    <col min="7195" max="7195" width="12.85546875" style="66" bestFit="1" customWidth="1"/>
    <col min="7196" max="7415" width="9.140625" style="66"/>
    <col min="7416" max="7416" width="4.28515625" style="66" customWidth="1"/>
    <col min="7417" max="7417" width="21.85546875" style="66" bestFit="1" customWidth="1"/>
    <col min="7418" max="7418" width="7.85546875" style="66" customWidth="1"/>
    <col min="7419" max="7420" width="4.5703125" style="66" customWidth="1"/>
    <col min="7421" max="7421" width="7.28515625" style="66" customWidth="1"/>
    <col min="7422" max="7423" width="0" style="66" hidden="1" customWidth="1"/>
    <col min="7424" max="7424" width="9.85546875" style="66" customWidth="1"/>
    <col min="7425" max="7429" width="0" style="66" hidden="1" customWidth="1"/>
    <col min="7430" max="7430" width="5.28515625" style="66" customWidth="1"/>
    <col min="7431" max="7431" width="5.5703125" style="66" customWidth="1"/>
    <col min="7432" max="7432" width="8.140625" style="66" customWidth="1"/>
    <col min="7433" max="7434" width="4.5703125" style="66" customWidth="1"/>
    <col min="7435" max="7435" width="4.85546875" style="66" customWidth="1"/>
    <col min="7436" max="7437" width="0" style="66" hidden="1" customWidth="1"/>
    <col min="7438" max="7438" width="4.7109375" style="66" customWidth="1"/>
    <col min="7439" max="7439" width="0" style="66" hidden="1" customWidth="1"/>
    <col min="7440" max="7440" width="9.5703125" style="66" customWidth="1"/>
    <col min="7441" max="7441" width="6.28515625" style="66" customWidth="1"/>
    <col min="7442" max="7442" width="5.7109375" style="66" customWidth="1"/>
    <col min="7443" max="7443" width="8.5703125" style="66" customWidth="1"/>
    <col min="7444" max="7449" width="0" style="66" hidden="1" customWidth="1"/>
    <col min="7450" max="7450" width="11.5703125" style="66" bestFit="1" customWidth="1"/>
    <col min="7451" max="7451" width="12.85546875" style="66" bestFit="1" customWidth="1"/>
    <col min="7452" max="7671" width="9.140625" style="66"/>
    <col min="7672" max="7672" width="4.28515625" style="66" customWidth="1"/>
    <col min="7673" max="7673" width="21.85546875" style="66" bestFit="1" customWidth="1"/>
    <col min="7674" max="7674" width="7.85546875" style="66" customWidth="1"/>
    <col min="7675" max="7676" width="4.5703125" style="66" customWidth="1"/>
    <col min="7677" max="7677" width="7.28515625" style="66" customWidth="1"/>
    <col min="7678" max="7679" width="0" style="66" hidden="1" customWidth="1"/>
    <col min="7680" max="7680" width="9.85546875" style="66" customWidth="1"/>
    <col min="7681" max="7685" width="0" style="66" hidden="1" customWidth="1"/>
    <col min="7686" max="7686" width="5.28515625" style="66" customWidth="1"/>
    <col min="7687" max="7687" width="5.5703125" style="66" customWidth="1"/>
    <col min="7688" max="7688" width="8.140625" style="66" customWidth="1"/>
    <col min="7689" max="7690" width="4.5703125" style="66" customWidth="1"/>
    <col min="7691" max="7691" width="4.85546875" style="66" customWidth="1"/>
    <col min="7692" max="7693" width="0" style="66" hidden="1" customWidth="1"/>
    <col min="7694" max="7694" width="4.7109375" style="66" customWidth="1"/>
    <col min="7695" max="7695" width="0" style="66" hidden="1" customWidth="1"/>
    <col min="7696" max="7696" width="9.5703125" style="66" customWidth="1"/>
    <col min="7697" max="7697" width="6.28515625" style="66" customWidth="1"/>
    <col min="7698" max="7698" width="5.7109375" style="66" customWidth="1"/>
    <col min="7699" max="7699" width="8.5703125" style="66" customWidth="1"/>
    <col min="7700" max="7705" width="0" style="66" hidden="1" customWidth="1"/>
    <col min="7706" max="7706" width="11.5703125" style="66" bestFit="1" customWidth="1"/>
    <col min="7707" max="7707" width="12.85546875" style="66" bestFit="1" customWidth="1"/>
    <col min="7708" max="7927" width="9.140625" style="66"/>
    <col min="7928" max="7928" width="4.28515625" style="66" customWidth="1"/>
    <col min="7929" max="7929" width="21.85546875" style="66" bestFit="1" customWidth="1"/>
    <col min="7930" max="7930" width="7.85546875" style="66" customWidth="1"/>
    <col min="7931" max="7932" width="4.5703125" style="66" customWidth="1"/>
    <col min="7933" max="7933" width="7.28515625" style="66" customWidth="1"/>
    <col min="7934" max="7935" width="0" style="66" hidden="1" customWidth="1"/>
    <col min="7936" max="7936" width="9.85546875" style="66" customWidth="1"/>
    <col min="7937" max="7941" width="0" style="66" hidden="1" customWidth="1"/>
    <col min="7942" max="7942" width="5.28515625" style="66" customWidth="1"/>
    <col min="7943" max="7943" width="5.5703125" style="66" customWidth="1"/>
    <col min="7944" max="7944" width="8.140625" style="66" customWidth="1"/>
    <col min="7945" max="7946" width="4.5703125" style="66" customWidth="1"/>
    <col min="7947" max="7947" width="4.85546875" style="66" customWidth="1"/>
    <col min="7948" max="7949" width="0" style="66" hidden="1" customWidth="1"/>
    <col min="7950" max="7950" width="4.7109375" style="66" customWidth="1"/>
    <col min="7951" max="7951" width="0" style="66" hidden="1" customWidth="1"/>
    <col min="7952" max="7952" width="9.5703125" style="66" customWidth="1"/>
    <col min="7953" max="7953" width="6.28515625" style="66" customWidth="1"/>
    <col min="7954" max="7954" width="5.7109375" style="66" customWidth="1"/>
    <col min="7955" max="7955" width="8.5703125" style="66" customWidth="1"/>
    <col min="7956" max="7961" width="0" style="66" hidden="1" customWidth="1"/>
    <col min="7962" max="7962" width="11.5703125" style="66" bestFit="1" customWidth="1"/>
    <col min="7963" max="7963" width="12.85546875" style="66" bestFit="1" customWidth="1"/>
    <col min="7964" max="8183" width="9.140625" style="66"/>
    <col min="8184" max="8184" width="4.28515625" style="66" customWidth="1"/>
    <col min="8185" max="8185" width="21.85546875" style="66" bestFit="1" customWidth="1"/>
    <col min="8186" max="8186" width="7.85546875" style="66" customWidth="1"/>
    <col min="8187" max="8188" width="4.5703125" style="66" customWidth="1"/>
    <col min="8189" max="8189" width="7.28515625" style="66" customWidth="1"/>
    <col min="8190" max="8191" width="0" style="66" hidden="1" customWidth="1"/>
    <col min="8192" max="8192" width="9.85546875" style="66" customWidth="1"/>
    <col min="8193" max="8197" width="0" style="66" hidden="1" customWidth="1"/>
    <col min="8198" max="8198" width="5.28515625" style="66" customWidth="1"/>
    <col min="8199" max="8199" width="5.5703125" style="66" customWidth="1"/>
    <col min="8200" max="8200" width="8.140625" style="66" customWidth="1"/>
    <col min="8201" max="8202" width="4.5703125" style="66" customWidth="1"/>
    <col min="8203" max="8203" width="4.85546875" style="66" customWidth="1"/>
    <col min="8204" max="8205" width="0" style="66" hidden="1" customWidth="1"/>
    <col min="8206" max="8206" width="4.7109375" style="66" customWidth="1"/>
    <col min="8207" max="8207" width="0" style="66" hidden="1" customWidth="1"/>
    <col min="8208" max="8208" width="9.5703125" style="66" customWidth="1"/>
    <col min="8209" max="8209" width="6.28515625" style="66" customWidth="1"/>
    <col min="8210" max="8210" width="5.7109375" style="66" customWidth="1"/>
    <col min="8211" max="8211" width="8.5703125" style="66" customWidth="1"/>
    <col min="8212" max="8217" width="0" style="66" hidden="1" customWidth="1"/>
    <col min="8218" max="8218" width="11.5703125" style="66" bestFit="1" customWidth="1"/>
    <col min="8219" max="8219" width="12.85546875" style="66" bestFit="1" customWidth="1"/>
    <col min="8220" max="8439" width="9.140625" style="66"/>
    <col min="8440" max="8440" width="4.28515625" style="66" customWidth="1"/>
    <col min="8441" max="8441" width="21.85546875" style="66" bestFit="1" customWidth="1"/>
    <col min="8442" max="8442" width="7.85546875" style="66" customWidth="1"/>
    <col min="8443" max="8444" width="4.5703125" style="66" customWidth="1"/>
    <col min="8445" max="8445" width="7.28515625" style="66" customWidth="1"/>
    <col min="8446" max="8447" width="0" style="66" hidden="1" customWidth="1"/>
    <col min="8448" max="8448" width="9.85546875" style="66" customWidth="1"/>
    <col min="8449" max="8453" width="0" style="66" hidden="1" customWidth="1"/>
    <col min="8454" max="8454" width="5.28515625" style="66" customWidth="1"/>
    <col min="8455" max="8455" width="5.5703125" style="66" customWidth="1"/>
    <col min="8456" max="8456" width="8.140625" style="66" customWidth="1"/>
    <col min="8457" max="8458" width="4.5703125" style="66" customWidth="1"/>
    <col min="8459" max="8459" width="4.85546875" style="66" customWidth="1"/>
    <col min="8460" max="8461" width="0" style="66" hidden="1" customWidth="1"/>
    <col min="8462" max="8462" width="4.7109375" style="66" customWidth="1"/>
    <col min="8463" max="8463" width="0" style="66" hidden="1" customWidth="1"/>
    <col min="8464" max="8464" width="9.5703125" style="66" customWidth="1"/>
    <col min="8465" max="8465" width="6.28515625" style="66" customWidth="1"/>
    <col min="8466" max="8466" width="5.7109375" style="66" customWidth="1"/>
    <col min="8467" max="8467" width="8.5703125" style="66" customWidth="1"/>
    <col min="8468" max="8473" width="0" style="66" hidden="1" customWidth="1"/>
    <col min="8474" max="8474" width="11.5703125" style="66" bestFit="1" customWidth="1"/>
    <col min="8475" max="8475" width="12.85546875" style="66" bestFit="1" customWidth="1"/>
    <col min="8476" max="8695" width="9.140625" style="66"/>
    <col min="8696" max="8696" width="4.28515625" style="66" customWidth="1"/>
    <col min="8697" max="8697" width="21.85546875" style="66" bestFit="1" customWidth="1"/>
    <col min="8698" max="8698" width="7.85546875" style="66" customWidth="1"/>
    <col min="8699" max="8700" width="4.5703125" style="66" customWidth="1"/>
    <col min="8701" max="8701" width="7.28515625" style="66" customWidth="1"/>
    <col min="8702" max="8703" width="0" style="66" hidden="1" customWidth="1"/>
    <col min="8704" max="8704" width="9.85546875" style="66" customWidth="1"/>
    <col min="8705" max="8709" width="0" style="66" hidden="1" customWidth="1"/>
    <col min="8710" max="8710" width="5.28515625" style="66" customWidth="1"/>
    <col min="8711" max="8711" width="5.5703125" style="66" customWidth="1"/>
    <col min="8712" max="8712" width="8.140625" style="66" customWidth="1"/>
    <col min="8713" max="8714" width="4.5703125" style="66" customWidth="1"/>
    <col min="8715" max="8715" width="4.85546875" style="66" customWidth="1"/>
    <col min="8716" max="8717" width="0" style="66" hidden="1" customWidth="1"/>
    <col min="8718" max="8718" width="4.7109375" style="66" customWidth="1"/>
    <col min="8719" max="8719" width="0" style="66" hidden="1" customWidth="1"/>
    <col min="8720" max="8720" width="9.5703125" style="66" customWidth="1"/>
    <col min="8721" max="8721" width="6.28515625" style="66" customWidth="1"/>
    <col min="8722" max="8722" width="5.7109375" style="66" customWidth="1"/>
    <col min="8723" max="8723" width="8.5703125" style="66" customWidth="1"/>
    <col min="8724" max="8729" width="0" style="66" hidden="1" customWidth="1"/>
    <col min="8730" max="8730" width="11.5703125" style="66" bestFit="1" customWidth="1"/>
    <col min="8731" max="8731" width="12.85546875" style="66" bestFit="1" customWidth="1"/>
    <col min="8732" max="8951" width="9.140625" style="66"/>
    <col min="8952" max="8952" width="4.28515625" style="66" customWidth="1"/>
    <col min="8953" max="8953" width="21.85546875" style="66" bestFit="1" customWidth="1"/>
    <col min="8954" max="8954" width="7.85546875" style="66" customWidth="1"/>
    <col min="8955" max="8956" width="4.5703125" style="66" customWidth="1"/>
    <col min="8957" max="8957" width="7.28515625" style="66" customWidth="1"/>
    <col min="8958" max="8959" width="0" style="66" hidden="1" customWidth="1"/>
    <col min="8960" max="8960" width="9.85546875" style="66" customWidth="1"/>
    <col min="8961" max="8965" width="0" style="66" hidden="1" customWidth="1"/>
    <col min="8966" max="8966" width="5.28515625" style="66" customWidth="1"/>
    <col min="8967" max="8967" width="5.5703125" style="66" customWidth="1"/>
    <col min="8968" max="8968" width="8.140625" style="66" customWidth="1"/>
    <col min="8969" max="8970" width="4.5703125" style="66" customWidth="1"/>
    <col min="8971" max="8971" width="4.85546875" style="66" customWidth="1"/>
    <col min="8972" max="8973" width="0" style="66" hidden="1" customWidth="1"/>
    <col min="8974" max="8974" width="4.7109375" style="66" customWidth="1"/>
    <col min="8975" max="8975" width="0" style="66" hidden="1" customWidth="1"/>
    <col min="8976" max="8976" width="9.5703125" style="66" customWidth="1"/>
    <col min="8977" max="8977" width="6.28515625" style="66" customWidth="1"/>
    <col min="8978" max="8978" width="5.7109375" style="66" customWidth="1"/>
    <col min="8979" max="8979" width="8.5703125" style="66" customWidth="1"/>
    <col min="8980" max="8985" width="0" style="66" hidden="1" customWidth="1"/>
    <col min="8986" max="8986" width="11.5703125" style="66" bestFit="1" customWidth="1"/>
    <col min="8987" max="8987" width="12.85546875" style="66" bestFit="1" customWidth="1"/>
    <col min="8988" max="9207" width="9.140625" style="66"/>
    <col min="9208" max="9208" width="4.28515625" style="66" customWidth="1"/>
    <col min="9209" max="9209" width="21.85546875" style="66" bestFit="1" customWidth="1"/>
    <col min="9210" max="9210" width="7.85546875" style="66" customWidth="1"/>
    <col min="9211" max="9212" width="4.5703125" style="66" customWidth="1"/>
    <col min="9213" max="9213" width="7.28515625" style="66" customWidth="1"/>
    <col min="9214" max="9215" width="0" style="66" hidden="1" customWidth="1"/>
    <col min="9216" max="9216" width="9.85546875" style="66" customWidth="1"/>
    <col min="9217" max="9221" width="0" style="66" hidden="1" customWidth="1"/>
    <col min="9222" max="9222" width="5.28515625" style="66" customWidth="1"/>
    <col min="9223" max="9223" width="5.5703125" style="66" customWidth="1"/>
    <col min="9224" max="9224" width="8.140625" style="66" customWidth="1"/>
    <col min="9225" max="9226" width="4.5703125" style="66" customWidth="1"/>
    <col min="9227" max="9227" width="4.85546875" style="66" customWidth="1"/>
    <col min="9228" max="9229" width="0" style="66" hidden="1" customWidth="1"/>
    <col min="9230" max="9230" width="4.7109375" style="66" customWidth="1"/>
    <col min="9231" max="9231" width="0" style="66" hidden="1" customWidth="1"/>
    <col min="9232" max="9232" width="9.5703125" style="66" customWidth="1"/>
    <col min="9233" max="9233" width="6.28515625" style="66" customWidth="1"/>
    <col min="9234" max="9234" width="5.7109375" style="66" customWidth="1"/>
    <col min="9235" max="9235" width="8.5703125" style="66" customWidth="1"/>
    <col min="9236" max="9241" width="0" style="66" hidden="1" customWidth="1"/>
    <col min="9242" max="9242" width="11.5703125" style="66" bestFit="1" customWidth="1"/>
    <col min="9243" max="9243" width="12.85546875" style="66" bestFit="1" customWidth="1"/>
    <col min="9244" max="9463" width="9.140625" style="66"/>
    <col min="9464" max="9464" width="4.28515625" style="66" customWidth="1"/>
    <col min="9465" max="9465" width="21.85546875" style="66" bestFit="1" customWidth="1"/>
    <col min="9466" max="9466" width="7.85546875" style="66" customWidth="1"/>
    <col min="9467" max="9468" width="4.5703125" style="66" customWidth="1"/>
    <col min="9469" max="9469" width="7.28515625" style="66" customWidth="1"/>
    <col min="9470" max="9471" width="0" style="66" hidden="1" customWidth="1"/>
    <col min="9472" max="9472" width="9.85546875" style="66" customWidth="1"/>
    <col min="9473" max="9477" width="0" style="66" hidden="1" customWidth="1"/>
    <col min="9478" max="9478" width="5.28515625" style="66" customWidth="1"/>
    <col min="9479" max="9479" width="5.5703125" style="66" customWidth="1"/>
    <col min="9480" max="9480" width="8.140625" style="66" customWidth="1"/>
    <col min="9481" max="9482" width="4.5703125" style="66" customWidth="1"/>
    <col min="9483" max="9483" width="4.85546875" style="66" customWidth="1"/>
    <col min="9484" max="9485" width="0" style="66" hidden="1" customWidth="1"/>
    <col min="9486" max="9486" width="4.7109375" style="66" customWidth="1"/>
    <col min="9487" max="9487" width="0" style="66" hidden="1" customWidth="1"/>
    <col min="9488" max="9488" width="9.5703125" style="66" customWidth="1"/>
    <col min="9489" max="9489" width="6.28515625" style="66" customWidth="1"/>
    <col min="9490" max="9490" width="5.7109375" style="66" customWidth="1"/>
    <col min="9491" max="9491" width="8.5703125" style="66" customWidth="1"/>
    <col min="9492" max="9497" width="0" style="66" hidden="1" customWidth="1"/>
    <col min="9498" max="9498" width="11.5703125" style="66" bestFit="1" customWidth="1"/>
    <col min="9499" max="9499" width="12.85546875" style="66" bestFit="1" customWidth="1"/>
    <col min="9500" max="9719" width="9.140625" style="66"/>
    <col min="9720" max="9720" width="4.28515625" style="66" customWidth="1"/>
    <col min="9721" max="9721" width="21.85546875" style="66" bestFit="1" customWidth="1"/>
    <col min="9722" max="9722" width="7.85546875" style="66" customWidth="1"/>
    <col min="9723" max="9724" width="4.5703125" style="66" customWidth="1"/>
    <col min="9725" max="9725" width="7.28515625" style="66" customWidth="1"/>
    <col min="9726" max="9727" width="0" style="66" hidden="1" customWidth="1"/>
    <col min="9728" max="9728" width="9.85546875" style="66" customWidth="1"/>
    <col min="9729" max="9733" width="0" style="66" hidden="1" customWidth="1"/>
    <col min="9734" max="9734" width="5.28515625" style="66" customWidth="1"/>
    <col min="9735" max="9735" width="5.5703125" style="66" customWidth="1"/>
    <col min="9736" max="9736" width="8.140625" style="66" customWidth="1"/>
    <col min="9737" max="9738" width="4.5703125" style="66" customWidth="1"/>
    <col min="9739" max="9739" width="4.85546875" style="66" customWidth="1"/>
    <col min="9740" max="9741" width="0" style="66" hidden="1" customWidth="1"/>
    <col min="9742" max="9742" width="4.7109375" style="66" customWidth="1"/>
    <col min="9743" max="9743" width="0" style="66" hidden="1" customWidth="1"/>
    <col min="9744" max="9744" width="9.5703125" style="66" customWidth="1"/>
    <col min="9745" max="9745" width="6.28515625" style="66" customWidth="1"/>
    <col min="9746" max="9746" width="5.7109375" style="66" customWidth="1"/>
    <col min="9747" max="9747" width="8.5703125" style="66" customWidth="1"/>
    <col min="9748" max="9753" width="0" style="66" hidden="1" customWidth="1"/>
    <col min="9754" max="9754" width="11.5703125" style="66" bestFit="1" customWidth="1"/>
    <col min="9755" max="9755" width="12.85546875" style="66" bestFit="1" customWidth="1"/>
    <col min="9756" max="9975" width="9.140625" style="66"/>
    <col min="9976" max="9976" width="4.28515625" style="66" customWidth="1"/>
    <col min="9977" max="9977" width="21.85546875" style="66" bestFit="1" customWidth="1"/>
    <col min="9978" max="9978" width="7.85546875" style="66" customWidth="1"/>
    <col min="9979" max="9980" width="4.5703125" style="66" customWidth="1"/>
    <col min="9981" max="9981" width="7.28515625" style="66" customWidth="1"/>
    <col min="9982" max="9983" width="0" style="66" hidden="1" customWidth="1"/>
    <col min="9984" max="9984" width="9.85546875" style="66" customWidth="1"/>
    <col min="9985" max="9989" width="0" style="66" hidden="1" customWidth="1"/>
    <col min="9990" max="9990" width="5.28515625" style="66" customWidth="1"/>
    <col min="9991" max="9991" width="5.5703125" style="66" customWidth="1"/>
    <col min="9992" max="9992" width="8.140625" style="66" customWidth="1"/>
    <col min="9993" max="9994" width="4.5703125" style="66" customWidth="1"/>
    <col min="9995" max="9995" width="4.85546875" style="66" customWidth="1"/>
    <col min="9996" max="9997" width="0" style="66" hidden="1" customWidth="1"/>
    <col min="9998" max="9998" width="4.7109375" style="66" customWidth="1"/>
    <col min="9999" max="9999" width="0" style="66" hidden="1" customWidth="1"/>
    <col min="10000" max="10000" width="9.5703125" style="66" customWidth="1"/>
    <col min="10001" max="10001" width="6.28515625" style="66" customWidth="1"/>
    <col min="10002" max="10002" width="5.7109375" style="66" customWidth="1"/>
    <col min="10003" max="10003" width="8.5703125" style="66" customWidth="1"/>
    <col min="10004" max="10009" width="0" style="66" hidden="1" customWidth="1"/>
    <col min="10010" max="10010" width="11.5703125" style="66" bestFit="1" customWidth="1"/>
    <col min="10011" max="10011" width="12.85546875" style="66" bestFit="1" customWidth="1"/>
    <col min="10012" max="10231" width="9.140625" style="66"/>
    <col min="10232" max="10232" width="4.28515625" style="66" customWidth="1"/>
    <col min="10233" max="10233" width="21.85546875" style="66" bestFit="1" customWidth="1"/>
    <col min="10234" max="10234" width="7.85546875" style="66" customWidth="1"/>
    <col min="10235" max="10236" width="4.5703125" style="66" customWidth="1"/>
    <col min="10237" max="10237" width="7.28515625" style="66" customWidth="1"/>
    <col min="10238" max="10239" width="0" style="66" hidden="1" customWidth="1"/>
    <col min="10240" max="10240" width="9.85546875" style="66" customWidth="1"/>
    <col min="10241" max="10245" width="0" style="66" hidden="1" customWidth="1"/>
    <col min="10246" max="10246" width="5.28515625" style="66" customWidth="1"/>
    <col min="10247" max="10247" width="5.5703125" style="66" customWidth="1"/>
    <col min="10248" max="10248" width="8.140625" style="66" customWidth="1"/>
    <col min="10249" max="10250" width="4.5703125" style="66" customWidth="1"/>
    <col min="10251" max="10251" width="4.85546875" style="66" customWidth="1"/>
    <col min="10252" max="10253" width="0" style="66" hidden="1" customWidth="1"/>
    <col min="10254" max="10254" width="4.7109375" style="66" customWidth="1"/>
    <col min="10255" max="10255" width="0" style="66" hidden="1" customWidth="1"/>
    <col min="10256" max="10256" width="9.5703125" style="66" customWidth="1"/>
    <col min="10257" max="10257" width="6.28515625" style="66" customWidth="1"/>
    <col min="10258" max="10258" width="5.7109375" style="66" customWidth="1"/>
    <col min="10259" max="10259" width="8.5703125" style="66" customWidth="1"/>
    <col min="10260" max="10265" width="0" style="66" hidden="1" customWidth="1"/>
    <col min="10266" max="10266" width="11.5703125" style="66" bestFit="1" customWidth="1"/>
    <col min="10267" max="10267" width="12.85546875" style="66" bestFit="1" customWidth="1"/>
    <col min="10268" max="10487" width="9.140625" style="66"/>
    <col min="10488" max="10488" width="4.28515625" style="66" customWidth="1"/>
    <col min="10489" max="10489" width="21.85546875" style="66" bestFit="1" customWidth="1"/>
    <col min="10490" max="10490" width="7.85546875" style="66" customWidth="1"/>
    <col min="10491" max="10492" width="4.5703125" style="66" customWidth="1"/>
    <col min="10493" max="10493" width="7.28515625" style="66" customWidth="1"/>
    <col min="10494" max="10495" width="0" style="66" hidden="1" customWidth="1"/>
    <col min="10496" max="10496" width="9.85546875" style="66" customWidth="1"/>
    <col min="10497" max="10501" width="0" style="66" hidden="1" customWidth="1"/>
    <col min="10502" max="10502" width="5.28515625" style="66" customWidth="1"/>
    <col min="10503" max="10503" width="5.5703125" style="66" customWidth="1"/>
    <col min="10504" max="10504" width="8.140625" style="66" customWidth="1"/>
    <col min="10505" max="10506" width="4.5703125" style="66" customWidth="1"/>
    <col min="10507" max="10507" width="4.85546875" style="66" customWidth="1"/>
    <col min="10508" max="10509" width="0" style="66" hidden="1" customWidth="1"/>
    <col min="10510" max="10510" width="4.7109375" style="66" customWidth="1"/>
    <col min="10511" max="10511" width="0" style="66" hidden="1" customWidth="1"/>
    <col min="10512" max="10512" width="9.5703125" style="66" customWidth="1"/>
    <col min="10513" max="10513" width="6.28515625" style="66" customWidth="1"/>
    <col min="10514" max="10514" width="5.7109375" style="66" customWidth="1"/>
    <col min="10515" max="10515" width="8.5703125" style="66" customWidth="1"/>
    <col min="10516" max="10521" width="0" style="66" hidden="1" customWidth="1"/>
    <col min="10522" max="10522" width="11.5703125" style="66" bestFit="1" customWidth="1"/>
    <col min="10523" max="10523" width="12.85546875" style="66" bestFit="1" customWidth="1"/>
    <col min="10524" max="10743" width="9.140625" style="66"/>
    <col min="10744" max="10744" width="4.28515625" style="66" customWidth="1"/>
    <col min="10745" max="10745" width="21.85546875" style="66" bestFit="1" customWidth="1"/>
    <col min="10746" max="10746" width="7.85546875" style="66" customWidth="1"/>
    <col min="10747" max="10748" width="4.5703125" style="66" customWidth="1"/>
    <col min="10749" max="10749" width="7.28515625" style="66" customWidth="1"/>
    <col min="10750" max="10751" width="0" style="66" hidden="1" customWidth="1"/>
    <col min="10752" max="10752" width="9.85546875" style="66" customWidth="1"/>
    <col min="10753" max="10757" width="0" style="66" hidden="1" customWidth="1"/>
    <col min="10758" max="10758" width="5.28515625" style="66" customWidth="1"/>
    <col min="10759" max="10759" width="5.5703125" style="66" customWidth="1"/>
    <col min="10760" max="10760" width="8.140625" style="66" customWidth="1"/>
    <col min="10761" max="10762" width="4.5703125" style="66" customWidth="1"/>
    <col min="10763" max="10763" width="4.85546875" style="66" customWidth="1"/>
    <col min="10764" max="10765" width="0" style="66" hidden="1" customWidth="1"/>
    <col min="10766" max="10766" width="4.7109375" style="66" customWidth="1"/>
    <col min="10767" max="10767" width="0" style="66" hidden="1" customWidth="1"/>
    <col min="10768" max="10768" width="9.5703125" style="66" customWidth="1"/>
    <col min="10769" max="10769" width="6.28515625" style="66" customWidth="1"/>
    <col min="10770" max="10770" width="5.7109375" style="66" customWidth="1"/>
    <col min="10771" max="10771" width="8.5703125" style="66" customWidth="1"/>
    <col min="10772" max="10777" width="0" style="66" hidden="1" customWidth="1"/>
    <col min="10778" max="10778" width="11.5703125" style="66" bestFit="1" customWidth="1"/>
    <col min="10779" max="10779" width="12.85546875" style="66" bestFit="1" customWidth="1"/>
    <col min="10780" max="10999" width="9.140625" style="66"/>
    <col min="11000" max="11000" width="4.28515625" style="66" customWidth="1"/>
    <col min="11001" max="11001" width="21.85546875" style="66" bestFit="1" customWidth="1"/>
    <col min="11002" max="11002" width="7.85546875" style="66" customWidth="1"/>
    <col min="11003" max="11004" width="4.5703125" style="66" customWidth="1"/>
    <col min="11005" max="11005" width="7.28515625" style="66" customWidth="1"/>
    <col min="11006" max="11007" width="0" style="66" hidden="1" customWidth="1"/>
    <col min="11008" max="11008" width="9.85546875" style="66" customWidth="1"/>
    <col min="11009" max="11013" width="0" style="66" hidden="1" customWidth="1"/>
    <col min="11014" max="11014" width="5.28515625" style="66" customWidth="1"/>
    <col min="11015" max="11015" width="5.5703125" style="66" customWidth="1"/>
    <col min="11016" max="11016" width="8.140625" style="66" customWidth="1"/>
    <col min="11017" max="11018" width="4.5703125" style="66" customWidth="1"/>
    <col min="11019" max="11019" width="4.85546875" style="66" customWidth="1"/>
    <col min="11020" max="11021" width="0" style="66" hidden="1" customWidth="1"/>
    <col min="11022" max="11022" width="4.7109375" style="66" customWidth="1"/>
    <col min="11023" max="11023" width="0" style="66" hidden="1" customWidth="1"/>
    <col min="11024" max="11024" width="9.5703125" style="66" customWidth="1"/>
    <col min="11025" max="11025" width="6.28515625" style="66" customWidth="1"/>
    <col min="11026" max="11026" width="5.7109375" style="66" customWidth="1"/>
    <col min="11027" max="11027" width="8.5703125" style="66" customWidth="1"/>
    <col min="11028" max="11033" width="0" style="66" hidden="1" customWidth="1"/>
    <col min="11034" max="11034" width="11.5703125" style="66" bestFit="1" customWidth="1"/>
    <col min="11035" max="11035" width="12.85546875" style="66" bestFit="1" customWidth="1"/>
    <col min="11036" max="11255" width="9.140625" style="66"/>
    <col min="11256" max="11256" width="4.28515625" style="66" customWidth="1"/>
    <col min="11257" max="11257" width="21.85546875" style="66" bestFit="1" customWidth="1"/>
    <col min="11258" max="11258" width="7.85546875" style="66" customWidth="1"/>
    <col min="11259" max="11260" width="4.5703125" style="66" customWidth="1"/>
    <col min="11261" max="11261" width="7.28515625" style="66" customWidth="1"/>
    <col min="11262" max="11263" width="0" style="66" hidden="1" customWidth="1"/>
    <col min="11264" max="11264" width="9.85546875" style="66" customWidth="1"/>
    <col min="11265" max="11269" width="0" style="66" hidden="1" customWidth="1"/>
    <col min="11270" max="11270" width="5.28515625" style="66" customWidth="1"/>
    <col min="11271" max="11271" width="5.5703125" style="66" customWidth="1"/>
    <col min="11272" max="11272" width="8.140625" style="66" customWidth="1"/>
    <col min="11273" max="11274" width="4.5703125" style="66" customWidth="1"/>
    <col min="11275" max="11275" width="4.85546875" style="66" customWidth="1"/>
    <col min="11276" max="11277" width="0" style="66" hidden="1" customWidth="1"/>
    <col min="11278" max="11278" width="4.7109375" style="66" customWidth="1"/>
    <col min="11279" max="11279" width="0" style="66" hidden="1" customWidth="1"/>
    <col min="11280" max="11280" width="9.5703125" style="66" customWidth="1"/>
    <col min="11281" max="11281" width="6.28515625" style="66" customWidth="1"/>
    <col min="11282" max="11282" width="5.7109375" style="66" customWidth="1"/>
    <col min="11283" max="11283" width="8.5703125" style="66" customWidth="1"/>
    <col min="11284" max="11289" width="0" style="66" hidden="1" customWidth="1"/>
    <col min="11290" max="11290" width="11.5703125" style="66" bestFit="1" customWidth="1"/>
    <col min="11291" max="11291" width="12.85546875" style="66" bestFit="1" customWidth="1"/>
    <col min="11292" max="11511" width="9.140625" style="66"/>
    <col min="11512" max="11512" width="4.28515625" style="66" customWidth="1"/>
    <col min="11513" max="11513" width="21.85546875" style="66" bestFit="1" customWidth="1"/>
    <col min="11514" max="11514" width="7.85546875" style="66" customWidth="1"/>
    <col min="11515" max="11516" width="4.5703125" style="66" customWidth="1"/>
    <col min="11517" max="11517" width="7.28515625" style="66" customWidth="1"/>
    <col min="11518" max="11519" width="0" style="66" hidden="1" customWidth="1"/>
    <col min="11520" max="11520" width="9.85546875" style="66" customWidth="1"/>
    <col min="11521" max="11525" width="0" style="66" hidden="1" customWidth="1"/>
    <col min="11526" max="11526" width="5.28515625" style="66" customWidth="1"/>
    <col min="11527" max="11527" width="5.5703125" style="66" customWidth="1"/>
    <col min="11528" max="11528" width="8.140625" style="66" customWidth="1"/>
    <col min="11529" max="11530" width="4.5703125" style="66" customWidth="1"/>
    <col min="11531" max="11531" width="4.85546875" style="66" customWidth="1"/>
    <col min="11532" max="11533" width="0" style="66" hidden="1" customWidth="1"/>
    <col min="11534" max="11534" width="4.7109375" style="66" customWidth="1"/>
    <col min="11535" max="11535" width="0" style="66" hidden="1" customWidth="1"/>
    <col min="11536" max="11536" width="9.5703125" style="66" customWidth="1"/>
    <col min="11537" max="11537" width="6.28515625" style="66" customWidth="1"/>
    <col min="11538" max="11538" width="5.7109375" style="66" customWidth="1"/>
    <col min="11539" max="11539" width="8.5703125" style="66" customWidth="1"/>
    <col min="11540" max="11545" width="0" style="66" hidden="1" customWidth="1"/>
    <col min="11546" max="11546" width="11.5703125" style="66" bestFit="1" customWidth="1"/>
    <col min="11547" max="11547" width="12.85546875" style="66" bestFit="1" customWidth="1"/>
    <col min="11548" max="11767" width="9.140625" style="66"/>
    <col min="11768" max="11768" width="4.28515625" style="66" customWidth="1"/>
    <col min="11769" max="11769" width="21.85546875" style="66" bestFit="1" customWidth="1"/>
    <col min="11770" max="11770" width="7.85546875" style="66" customWidth="1"/>
    <col min="11771" max="11772" width="4.5703125" style="66" customWidth="1"/>
    <col min="11773" max="11773" width="7.28515625" style="66" customWidth="1"/>
    <col min="11774" max="11775" width="0" style="66" hidden="1" customWidth="1"/>
    <col min="11776" max="11776" width="9.85546875" style="66" customWidth="1"/>
    <col min="11777" max="11781" width="0" style="66" hidden="1" customWidth="1"/>
    <col min="11782" max="11782" width="5.28515625" style="66" customWidth="1"/>
    <col min="11783" max="11783" width="5.5703125" style="66" customWidth="1"/>
    <col min="11784" max="11784" width="8.140625" style="66" customWidth="1"/>
    <col min="11785" max="11786" width="4.5703125" style="66" customWidth="1"/>
    <col min="11787" max="11787" width="4.85546875" style="66" customWidth="1"/>
    <col min="11788" max="11789" width="0" style="66" hidden="1" customWidth="1"/>
    <col min="11790" max="11790" width="4.7109375" style="66" customWidth="1"/>
    <col min="11791" max="11791" width="0" style="66" hidden="1" customWidth="1"/>
    <col min="11792" max="11792" width="9.5703125" style="66" customWidth="1"/>
    <col min="11793" max="11793" width="6.28515625" style="66" customWidth="1"/>
    <col min="11794" max="11794" width="5.7109375" style="66" customWidth="1"/>
    <col min="11795" max="11795" width="8.5703125" style="66" customWidth="1"/>
    <col min="11796" max="11801" width="0" style="66" hidden="1" customWidth="1"/>
    <col min="11802" max="11802" width="11.5703125" style="66" bestFit="1" customWidth="1"/>
    <col min="11803" max="11803" width="12.85546875" style="66" bestFit="1" customWidth="1"/>
    <col min="11804" max="12023" width="9.140625" style="66"/>
    <col min="12024" max="12024" width="4.28515625" style="66" customWidth="1"/>
    <col min="12025" max="12025" width="21.85546875" style="66" bestFit="1" customWidth="1"/>
    <col min="12026" max="12026" width="7.85546875" style="66" customWidth="1"/>
    <col min="12027" max="12028" width="4.5703125" style="66" customWidth="1"/>
    <col min="12029" max="12029" width="7.28515625" style="66" customWidth="1"/>
    <col min="12030" max="12031" width="0" style="66" hidden="1" customWidth="1"/>
    <col min="12032" max="12032" width="9.85546875" style="66" customWidth="1"/>
    <col min="12033" max="12037" width="0" style="66" hidden="1" customWidth="1"/>
    <col min="12038" max="12038" width="5.28515625" style="66" customWidth="1"/>
    <col min="12039" max="12039" width="5.5703125" style="66" customWidth="1"/>
    <col min="12040" max="12040" width="8.140625" style="66" customWidth="1"/>
    <col min="12041" max="12042" width="4.5703125" style="66" customWidth="1"/>
    <col min="12043" max="12043" width="4.85546875" style="66" customWidth="1"/>
    <col min="12044" max="12045" width="0" style="66" hidden="1" customWidth="1"/>
    <col min="12046" max="12046" width="4.7109375" style="66" customWidth="1"/>
    <col min="12047" max="12047" width="0" style="66" hidden="1" customWidth="1"/>
    <col min="12048" max="12048" width="9.5703125" style="66" customWidth="1"/>
    <col min="12049" max="12049" width="6.28515625" style="66" customWidth="1"/>
    <col min="12050" max="12050" width="5.7109375" style="66" customWidth="1"/>
    <col min="12051" max="12051" width="8.5703125" style="66" customWidth="1"/>
    <col min="12052" max="12057" width="0" style="66" hidden="1" customWidth="1"/>
    <col min="12058" max="12058" width="11.5703125" style="66" bestFit="1" customWidth="1"/>
    <col min="12059" max="12059" width="12.85546875" style="66" bestFit="1" customWidth="1"/>
    <col min="12060" max="12279" width="9.140625" style="66"/>
    <col min="12280" max="12280" width="4.28515625" style="66" customWidth="1"/>
    <col min="12281" max="12281" width="21.85546875" style="66" bestFit="1" customWidth="1"/>
    <col min="12282" max="12282" width="7.85546875" style="66" customWidth="1"/>
    <col min="12283" max="12284" width="4.5703125" style="66" customWidth="1"/>
    <col min="12285" max="12285" width="7.28515625" style="66" customWidth="1"/>
    <col min="12286" max="12287" width="0" style="66" hidden="1" customWidth="1"/>
    <col min="12288" max="12288" width="9.85546875" style="66" customWidth="1"/>
    <col min="12289" max="12293" width="0" style="66" hidden="1" customWidth="1"/>
    <col min="12294" max="12294" width="5.28515625" style="66" customWidth="1"/>
    <col min="12295" max="12295" width="5.5703125" style="66" customWidth="1"/>
    <col min="12296" max="12296" width="8.140625" style="66" customWidth="1"/>
    <col min="12297" max="12298" width="4.5703125" style="66" customWidth="1"/>
    <col min="12299" max="12299" width="4.85546875" style="66" customWidth="1"/>
    <col min="12300" max="12301" width="0" style="66" hidden="1" customWidth="1"/>
    <col min="12302" max="12302" width="4.7109375" style="66" customWidth="1"/>
    <col min="12303" max="12303" width="0" style="66" hidden="1" customWidth="1"/>
    <col min="12304" max="12304" width="9.5703125" style="66" customWidth="1"/>
    <col min="12305" max="12305" width="6.28515625" style="66" customWidth="1"/>
    <col min="12306" max="12306" width="5.7109375" style="66" customWidth="1"/>
    <col min="12307" max="12307" width="8.5703125" style="66" customWidth="1"/>
    <col min="12308" max="12313" width="0" style="66" hidden="1" customWidth="1"/>
    <col min="12314" max="12314" width="11.5703125" style="66" bestFit="1" customWidth="1"/>
    <col min="12315" max="12315" width="12.85546875" style="66" bestFit="1" customWidth="1"/>
    <col min="12316" max="12535" width="9.140625" style="66"/>
    <col min="12536" max="12536" width="4.28515625" style="66" customWidth="1"/>
    <col min="12537" max="12537" width="21.85546875" style="66" bestFit="1" customWidth="1"/>
    <col min="12538" max="12538" width="7.85546875" style="66" customWidth="1"/>
    <col min="12539" max="12540" width="4.5703125" style="66" customWidth="1"/>
    <col min="12541" max="12541" width="7.28515625" style="66" customWidth="1"/>
    <col min="12542" max="12543" width="0" style="66" hidden="1" customWidth="1"/>
    <col min="12544" max="12544" width="9.85546875" style="66" customWidth="1"/>
    <col min="12545" max="12549" width="0" style="66" hidden="1" customWidth="1"/>
    <col min="12550" max="12550" width="5.28515625" style="66" customWidth="1"/>
    <col min="12551" max="12551" width="5.5703125" style="66" customWidth="1"/>
    <col min="12552" max="12552" width="8.140625" style="66" customWidth="1"/>
    <col min="12553" max="12554" width="4.5703125" style="66" customWidth="1"/>
    <col min="12555" max="12555" width="4.85546875" style="66" customWidth="1"/>
    <col min="12556" max="12557" width="0" style="66" hidden="1" customWidth="1"/>
    <col min="12558" max="12558" width="4.7109375" style="66" customWidth="1"/>
    <col min="12559" max="12559" width="0" style="66" hidden="1" customWidth="1"/>
    <col min="12560" max="12560" width="9.5703125" style="66" customWidth="1"/>
    <col min="12561" max="12561" width="6.28515625" style="66" customWidth="1"/>
    <col min="12562" max="12562" width="5.7109375" style="66" customWidth="1"/>
    <col min="12563" max="12563" width="8.5703125" style="66" customWidth="1"/>
    <col min="12564" max="12569" width="0" style="66" hidden="1" customWidth="1"/>
    <col min="12570" max="12570" width="11.5703125" style="66" bestFit="1" customWidth="1"/>
    <col min="12571" max="12571" width="12.85546875" style="66" bestFit="1" customWidth="1"/>
    <col min="12572" max="12791" width="9.140625" style="66"/>
    <col min="12792" max="12792" width="4.28515625" style="66" customWidth="1"/>
    <col min="12793" max="12793" width="21.85546875" style="66" bestFit="1" customWidth="1"/>
    <col min="12794" max="12794" width="7.85546875" style="66" customWidth="1"/>
    <col min="12795" max="12796" width="4.5703125" style="66" customWidth="1"/>
    <col min="12797" max="12797" width="7.28515625" style="66" customWidth="1"/>
    <col min="12798" max="12799" width="0" style="66" hidden="1" customWidth="1"/>
    <col min="12800" max="12800" width="9.85546875" style="66" customWidth="1"/>
    <col min="12801" max="12805" width="0" style="66" hidden="1" customWidth="1"/>
    <col min="12806" max="12806" width="5.28515625" style="66" customWidth="1"/>
    <col min="12807" max="12807" width="5.5703125" style="66" customWidth="1"/>
    <col min="12808" max="12808" width="8.140625" style="66" customWidth="1"/>
    <col min="12809" max="12810" width="4.5703125" style="66" customWidth="1"/>
    <col min="12811" max="12811" width="4.85546875" style="66" customWidth="1"/>
    <col min="12812" max="12813" width="0" style="66" hidden="1" customWidth="1"/>
    <col min="12814" max="12814" width="4.7109375" style="66" customWidth="1"/>
    <col min="12815" max="12815" width="0" style="66" hidden="1" customWidth="1"/>
    <col min="12816" max="12816" width="9.5703125" style="66" customWidth="1"/>
    <col min="12817" max="12817" width="6.28515625" style="66" customWidth="1"/>
    <col min="12818" max="12818" width="5.7109375" style="66" customWidth="1"/>
    <col min="12819" max="12819" width="8.5703125" style="66" customWidth="1"/>
    <col min="12820" max="12825" width="0" style="66" hidden="1" customWidth="1"/>
    <col min="12826" max="12826" width="11.5703125" style="66" bestFit="1" customWidth="1"/>
    <col min="12827" max="12827" width="12.85546875" style="66" bestFit="1" customWidth="1"/>
    <col min="12828" max="13047" width="9.140625" style="66"/>
    <col min="13048" max="13048" width="4.28515625" style="66" customWidth="1"/>
    <col min="13049" max="13049" width="21.85546875" style="66" bestFit="1" customWidth="1"/>
    <col min="13050" max="13050" width="7.85546875" style="66" customWidth="1"/>
    <col min="13051" max="13052" width="4.5703125" style="66" customWidth="1"/>
    <col min="13053" max="13053" width="7.28515625" style="66" customWidth="1"/>
    <col min="13054" max="13055" width="0" style="66" hidden="1" customWidth="1"/>
    <col min="13056" max="13056" width="9.85546875" style="66" customWidth="1"/>
    <col min="13057" max="13061" width="0" style="66" hidden="1" customWidth="1"/>
    <col min="13062" max="13062" width="5.28515625" style="66" customWidth="1"/>
    <col min="13063" max="13063" width="5.5703125" style="66" customWidth="1"/>
    <col min="13064" max="13064" width="8.140625" style="66" customWidth="1"/>
    <col min="13065" max="13066" width="4.5703125" style="66" customWidth="1"/>
    <col min="13067" max="13067" width="4.85546875" style="66" customWidth="1"/>
    <col min="13068" max="13069" width="0" style="66" hidden="1" customWidth="1"/>
    <col min="13070" max="13070" width="4.7109375" style="66" customWidth="1"/>
    <col min="13071" max="13071" width="0" style="66" hidden="1" customWidth="1"/>
    <col min="13072" max="13072" width="9.5703125" style="66" customWidth="1"/>
    <col min="13073" max="13073" width="6.28515625" style="66" customWidth="1"/>
    <col min="13074" max="13074" width="5.7109375" style="66" customWidth="1"/>
    <col min="13075" max="13075" width="8.5703125" style="66" customWidth="1"/>
    <col min="13076" max="13081" width="0" style="66" hidden="1" customWidth="1"/>
    <col min="13082" max="13082" width="11.5703125" style="66" bestFit="1" customWidth="1"/>
    <col min="13083" max="13083" width="12.85546875" style="66" bestFit="1" customWidth="1"/>
    <col min="13084" max="13303" width="9.140625" style="66"/>
    <col min="13304" max="13304" width="4.28515625" style="66" customWidth="1"/>
    <col min="13305" max="13305" width="21.85546875" style="66" bestFit="1" customWidth="1"/>
    <col min="13306" max="13306" width="7.85546875" style="66" customWidth="1"/>
    <col min="13307" max="13308" width="4.5703125" style="66" customWidth="1"/>
    <col min="13309" max="13309" width="7.28515625" style="66" customWidth="1"/>
    <col min="13310" max="13311" width="0" style="66" hidden="1" customWidth="1"/>
    <col min="13312" max="13312" width="9.85546875" style="66" customWidth="1"/>
    <col min="13313" max="13317" width="0" style="66" hidden="1" customWidth="1"/>
    <col min="13318" max="13318" width="5.28515625" style="66" customWidth="1"/>
    <col min="13319" max="13319" width="5.5703125" style="66" customWidth="1"/>
    <col min="13320" max="13320" width="8.140625" style="66" customWidth="1"/>
    <col min="13321" max="13322" width="4.5703125" style="66" customWidth="1"/>
    <col min="13323" max="13323" width="4.85546875" style="66" customWidth="1"/>
    <col min="13324" max="13325" width="0" style="66" hidden="1" customWidth="1"/>
    <col min="13326" max="13326" width="4.7109375" style="66" customWidth="1"/>
    <col min="13327" max="13327" width="0" style="66" hidden="1" customWidth="1"/>
    <col min="13328" max="13328" width="9.5703125" style="66" customWidth="1"/>
    <col min="13329" max="13329" width="6.28515625" style="66" customWidth="1"/>
    <col min="13330" max="13330" width="5.7109375" style="66" customWidth="1"/>
    <col min="13331" max="13331" width="8.5703125" style="66" customWidth="1"/>
    <col min="13332" max="13337" width="0" style="66" hidden="1" customWidth="1"/>
    <col min="13338" max="13338" width="11.5703125" style="66" bestFit="1" customWidth="1"/>
    <col min="13339" max="13339" width="12.85546875" style="66" bestFit="1" customWidth="1"/>
    <col min="13340" max="13559" width="9.140625" style="66"/>
    <col min="13560" max="13560" width="4.28515625" style="66" customWidth="1"/>
    <col min="13561" max="13561" width="21.85546875" style="66" bestFit="1" customWidth="1"/>
    <col min="13562" max="13562" width="7.85546875" style="66" customWidth="1"/>
    <col min="13563" max="13564" width="4.5703125" style="66" customWidth="1"/>
    <col min="13565" max="13565" width="7.28515625" style="66" customWidth="1"/>
    <col min="13566" max="13567" width="0" style="66" hidden="1" customWidth="1"/>
    <col min="13568" max="13568" width="9.85546875" style="66" customWidth="1"/>
    <col min="13569" max="13573" width="0" style="66" hidden="1" customWidth="1"/>
    <col min="13574" max="13574" width="5.28515625" style="66" customWidth="1"/>
    <col min="13575" max="13575" width="5.5703125" style="66" customWidth="1"/>
    <col min="13576" max="13576" width="8.140625" style="66" customWidth="1"/>
    <col min="13577" max="13578" width="4.5703125" style="66" customWidth="1"/>
    <col min="13579" max="13579" width="4.85546875" style="66" customWidth="1"/>
    <col min="13580" max="13581" width="0" style="66" hidden="1" customWidth="1"/>
    <col min="13582" max="13582" width="4.7109375" style="66" customWidth="1"/>
    <col min="13583" max="13583" width="0" style="66" hidden="1" customWidth="1"/>
    <col min="13584" max="13584" width="9.5703125" style="66" customWidth="1"/>
    <col min="13585" max="13585" width="6.28515625" style="66" customWidth="1"/>
    <col min="13586" max="13586" width="5.7109375" style="66" customWidth="1"/>
    <col min="13587" max="13587" width="8.5703125" style="66" customWidth="1"/>
    <col min="13588" max="13593" width="0" style="66" hidden="1" customWidth="1"/>
    <col min="13594" max="13594" width="11.5703125" style="66" bestFit="1" customWidth="1"/>
    <col min="13595" max="13595" width="12.85546875" style="66" bestFit="1" customWidth="1"/>
    <col min="13596" max="13815" width="9.140625" style="66"/>
    <col min="13816" max="13816" width="4.28515625" style="66" customWidth="1"/>
    <col min="13817" max="13817" width="21.85546875" style="66" bestFit="1" customWidth="1"/>
    <col min="13818" max="13818" width="7.85546875" style="66" customWidth="1"/>
    <col min="13819" max="13820" width="4.5703125" style="66" customWidth="1"/>
    <col min="13821" max="13821" width="7.28515625" style="66" customWidth="1"/>
    <col min="13822" max="13823" width="0" style="66" hidden="1" customWidth="1"/>
    <col min="13824" max="13824" width="9.85546875" style="66" customWidth="1"/>
    <col min="13825" max="13829" width="0" style="66" hidden="1" customWidth="1"/>
    <col min="13830" max="13830" width="5.28515625" style="66" customWidth="1"/>
    <col min="13831" max="13831" width="5.5703125" style="66" customWidth="1"/>
    <col min="13832" max="13832" width="8.140625" style="66" customWidth="1"/>
    <col min="13833" max="13834" width="4.5703125" style="66" customWidth="1"/>
    <col min="13835" max="13835" width="4.85546875" style="66" customWidth="1"/>
    <col min="13836" max="13837" width="0" style="66" hidden="1" customWidth="1"/>
    <col min="13838" max="13838" width="4.7109375" style="66" customWidth="1"/>
    <col min="13839" max="13839" width="0" style="66" hidden="1" customWidth="1"/>
    <col min="13840" max="13840" width="9.5703125" style="66" customWidth="1"/>
    <col min="13841" max="13841" width="6.28515625" style="66" customWidth="1"/>
    <col min="13842" max="13842" width="5.7109375" style="66" customWidth="1"/>
    <col min="13843" max="13843" width="8.5703125" style="66" customWidth="1"/>
    <col min="13844" max="13849" width="0" style="66" hidden="1" customWidth="1"/>
    <col min="13850" max="13850" width="11.5703125" style="66" bestFit="1" customWidth="1"/>
    <col min="13851" max="13851" width="12.85546875" style="66" bestFit="1" customWidth="1"/>
    <col min="13852" max="14071" width="9.140625" style="66"/>
    <col min="14072" max="14072" width="4.28515625" style="66" customWidth="1"/>
    <col min="14073" max="14073" width="21.85546875" style="66" bestFit="1" customWidth="1"/>
    <col min="14074" max="14074" width="7.85546875" style="66" customWidth="1"/>
    <col min="14075" max="14076" width="4.5703125" style="66" customWidth="1"/>
    <col min="14077" max="14077" width="7.28515625" style="66" customWidth="1"/>
    <col min="14078" max="14079" width="0" style="66" hidden="1" customWidth="1"/>
    <col min="14080" max="14080" width="9.85546875" style="66" customWidth="1"/>
    <col min="14081" max="14085" width="0" style="66" hidden="1" customWidth="1"/>
    <col min="14086" max="14086" width="5.28515625" style="66" customWidth="1"/>
    <col min="14087" max="14087" width="5.5703125" style="66" customWidth="1"/>
    <col min="14088" max="14088" width="8.140625" style="66" customWidth="1"/>
    <col min="14089" max="14090" width="4.5703125" style="66" customWidth="1"/>
    <col min="14091" max="14091" width="4.85546875" style="66" customWidth="1"/>
    <col min="14092" max="14093" width="0" style="66" hidden="1" customWidth="1"/>
    <col min="14094" max="14094" width="4.7109375" style="66" customWidth="1"/>
    <col min="14095" max="14095" width="0" style="66" hidden="1" customWidth="1"/>
    <col min="14096" max="14096" width="9.5703125" style="66" customWidth="1"/>
    <col min="14097" max="14097" width="6.28515625" style="66" customWidth="1"/>
    <col min="14098" max="14098" width="5.7109375" style="66" customWidth="1"/>
    <col min="14099" max="14099" width="8.5703125" style="66" customWidth="1"/>
    <col min="14100" max="14105" width="0" style="66" hidden="1" customWidth="1"/>
    <col min="14106" max="14106" width="11.5703125" style="66" bestFit="1" customWidth="1"/>
    <col min="14107" max="14107" width="12.85546875" style="66" bestFit="1" customWidth="1"/>
    <col min="14108" max="14327" width="9.140625" style="66"/>
    <col min="14328" max="14328" width="4.28515625" style="66" customWidth="1"/>
    <col min="14329" max="14329" width="21.85546875" style="66" bestFit="1" customWidth="1"/>
    <col min="14330" max="14330" width="7.85546875" style="66" customWidth="1"/>
    <col min="14331" max="14332" width="4.5703125" style="66" customWidth="1"/>
    <col min="14333" max="14333" width="7.28515625" style="66" customWidth="1"/>
    <col min="14334" max="14335" width="0" style="66" hidden="1" customWidth="1"/>
    <col min="14336" max="14336" width="9.85546875" style="66" customWidth="1"/>
    <col min="14337" max="14341" width="0" style="66" hidden="1" customWidth="1"/>
    <col min="14342" max="14342" width="5.28515625" style="66" customWidth="1"/>
    <col min="14343" max="14343" width="5.5703125" style="66" customWidth="1"/>
    <col min="14344" max="14344" width="8.140625" style="66" customWidth="1"/>
    <col min="14345" max="14346" width="4.5703125" style="66" customWidth="1"/>
    <col min="14347" max="14347" width="4.85546875" style="66" customWidth="1"/>
    <col min="14348" max="14349" width="0" style="66" hidden="1" customWidth="1"/>
    <col min="14350" max="14350" width="4.7109375" style="66" customWidth="1"/>
    <col min="14351" max="14351" width="0" style="66" hidden="1" customWidth="1"/>
    <col min="14352" max="14352" width="9.5703125" style="66" customWidth="1"/>
    <col min="14353" max="14353" width="6.28515625" style="66" customWidth="1"/>
    <col min="14354" max="14354" width="5.7109375" style="66" customWidth="1"/>
    <col min="14355" max="14355" width="8.5703125" style="66" customWidth="1"/>
    <col min="14356" max="14361" width="0" style="66" hidden="1" customWidth="1"/>
    <col min="14362" max="14362" width="11.5703125" style="66" bestFit="1" customWidth="1"/>
    <col min="14363" max="14363" width="12.85546875" style="66" bestFit="1" customWidth="1"/>
    <col min="14364" max="14583" width="9.140625" style="66"/>
    <col min="14584" max="14584" width="4.28515625" style="66" customWidth="1"/>
    <col min="14585" max="14585" width="21.85546875" style="66" bestFit="1" customWidth="1"/>
    <col min="14586" max="14586" width="7.85546875" style="66" customWidth="1"/>
    <col min="14587" max="14588" width="4.5703125" style="66" customWidth="1"/>
    <col min="14589" max="14589" width="7.28515625" style="66" customWidth="1"/>
    <col min="14590" max="14591" width="0" style="66" hidden="1" customWidth="1"/>
    <col min="14592" max="14592" width="9.85546875" style="66" customWidth="1"/>
    <col min="14593" max="14597" width="0" style="66" hidden="1" customWidth="1"/>
    <col min="14598" max="14598" width="5.28515625" style="66" customWidth="1"/>
    <col min="14599" max="14599" width="5.5703125" style="66" customWidth="1"/>
    <col min="14600" max="14600" width="8.140625" style="66" customWidth="1"/>
    <col min="14601" max="14602" width="4.5703125" style="66" customWidth="1"/>
    <col min="14603" max="14603" width="4.85546875" style="66" customWidth="1"/>
    <col min="14604" max="14605" width="0" style="66" hidden="1" customWidth="1"/>
    <col min="14606" max="14606" width="4.7109375" style="66" customWidth="1"/>
    <col min="14607" max="14607" width="0" style="66" hidden="1" customWidth="1"/>
    <col min="14608" max="14608" width="9.5703125" style="66" customWidth="1"/>
    <col min="14609" max="14609" width="6.28515625" style="66" customWidth="1"/>
    <col min="14610" max="14610" width="5.7109375" style="66" customWidth="1"/>
    <col min="14611" max="14611" width="8.5703125" style="66" customWidth="1"/>
    <col min="14612" max="14617" width="0" style="66" hidden="1" customWidth="1"/>
    <col min="14618" max="14618" width="11.5703125" style="66" bestFit="1" customWidth="1"/>
    <col min="14619" max="14619" width="12.85546875" style="66" bestFit="1" customWidth="1"/>
    <col min="14620" max="14839" width="9.140625" style="66"/>
    <col min="14840" max="14840" width="4.28515625" style="66" customWidth="1"/>
    <col min="14841" max="14841" width="21.85546875" style="66" bestFit="1" customWidth="1"/>
    <col min="14842" max="14842" width="7.85546875" style="66" customWidth="1"/>
    <col min="14843" max="14844" width="4.5703125" style="66" customWidth="1"/>
    <col min="14845" max="14845" width="7.28515625" style="66" customWidth="1"/>
    <col min="14846" max="14847" width="0" style="66" hidden="1" customWidth="1"/>
    <col min="14848" max="14848" width="9.85546875" style="66" customWidth="1"/>
    <col min="14849" max="14853" width="0" style="66" hidden="1" customWidth="1"/>
    <col min="14854" max="14854" width="5.28515625" style="66" customWidth="1"/>
    <col min="14855" max="14855" width="5.5703125" style="66" customWidth="1"/>
    <col min="14856" max="14856" width="8.140625" style="66" customWidth="1"/>
    <col min="14857" max="14858" width="4.5703125" style="66" customWidth="1"/>
    <col min="14859" max="14859" width="4.85546875" style="66" customWidth="1"/>
    <col min="14860" max="14861" width="0" style="66" hidden="1" customWidth="1"/>
    <col min="14862" max="14862" width="4.7109375" style="66" customWidth="1"/>
    <col min="14863" max="14863" width="0" style="66" hidden="1" customWidth="1"/>
    <col min="14864" max="14864" width="9.5703125" style="66" customWidth="1"/>
    <col min="14865" max="14865" width="6.28515625" style="66" customWidth="1"/>
    <col min="14866" max="14866" width="5.7109375" style="66" customWidth="1"/>
    <col min="14867" max="14867" width="8.5703125" style="66" customWidth="1"/>
    <col min="14868" max="14873" width="0" style="66" hidden="1" customWidth="1"/>
    <col min="14874" max="14874" width="11.5703125" style="66" bestFit="1" customWidth="1"/>
    <col min="14875" max="14875" width="12.85546875" style="66" bestFit="1" customWidth="1"/>
    <col min="14876" max="15095" width="9.140625" style="66"/>
    <col min="15096" max="15096" width="4.28515625" style="66" customWidth="1"/>
    <col min="15097" max="15097" width="21.85546875" style="66" bestFit="1" customWidth="1"/>
    <col min="15098" max="15098" width="7.85546875" style="66" customWidth="1"/>
    <col min="15099" max="15100" width="4.5703125" style="66" customWidth="1"/>
    <col min="15101" max="15101" width="7.28515625" style="66" customWidth="1"/>
    <col min="15102" max="15103" width="0" style="66" hidden="1" customWidth="1"/>
    <col min="15104" max="15104" width="9.85546875" style="66" customWidth="1"/>
    <col min="15105" max="15109" width="0" style="66" hidden="1" customWidth="1"/>
    <col min="15110" max="15110" width="5.28515625" style="66" customWidth="1"/>
    <col min="15111" max="15111" width="5.5703125" style="66" customWidth="1"/>
    <col min="15112" max="15112" width="8.140625" style="66" customWidth="1"/>
    <col min="15113" max="15114" width="4.5703125" style="66" customWidth="1"/>
    <col min="15115" max="15115" width="4.85546875" style="66" customWidth="1"/>
    <col min="15116" max="15117" width="0" style="66" hidden="1" customWidth="1"/>
    <col min="15118" max="15118" width="4.7109375" style="66" customWidth="1"/>
    <col min="15119" max="15119" width="0" style="66" hidden="1" customWidth="1"/>
    <col min="15120" max="15120" width="9.5703125" style="66" customWidth="1"/>
    <col min="15121" max="15121" width="6.28515625" style="66" customWidth="1"/>
    <col min="15122" max="15122" width="5.7109375" style="66" customWidth="1"/>
    <col min="15123" max="15123" width="8.5703125" style="66" customWidth="1"/>
    <col min="15124" max="15129" width="0" style="66" hidden="1" customWidth="1"/>
    <col min="15130" max="15130" width="11.5703125" style="66" bestFit="1" customWidth="1"/>
    <col min="15131" max="15131" width="12.85546875" style="66" bestFit="1" customWidth="1"/>
    <col min="15132" max="15351" width="9.140625" style="66"/>
    <col min="15352" max="15352" width="4.28515625" style="66" customWidth="1"/>
    <col min="15353" max="15353" width="21.85546875" style="66" bestFit="1" customWidth="1"/>
    <col min="15354" max="15354" width="7.85546875" style="66" customWidth="1"/>
    <col min="15355" max="15356" width="4.5703125" style="66" customWidth="1"/>
    <col min="15357" max="15357" width="7.28515625" style="66" customWidth="1"/>
    <col min="15358" max="15359" width="0" style="66" hidden="1" customWidth="1"/>
    <col min="15360" max="15360" width="9.85546875" style="66" customWidth="1"/>
    <col min="15361" max="15365" width="0" style="66" hidden="1" customWidth="1"/>
    <col min="15366" max="15366" width="5.28515625" style="66" customWidth="1"/>
    <col min="15367" max="15367" width="5.5703125" style="66" customWidth="1"/>
    <col min="15368" max="15368" width="8.140625" style="66" customWidth="1"/>
    <col min="15369" max="15370" width="4.5703125" style="66" customWidth="1"/>
    <col min="15371" max="15371" width="4.85546875" style="66" customWidth="1"/>
    <col min="15372" max="15373" width="0" style="66" hidden="1" customWidth="1"/>
    <col min="15374" max="15374" width="4.7109375" style="66" customWidth="1"/>
    <col min="15375" max="15375" width="0" style="66" hidden="1" customWidth="1"/>
    <col min="15376" max="15376" width="9.5703125" style="66" customWidth="1"/>
    <col min="15377" max="15377" width="6.28515625" style="66" customWidth="1"/>
    <col min="15378" max="15378" width="5.7109375" style="66" customWidth="1"/>
    <col min="15379" max="15379" width="8.5703125" style="66" customWidth="1"/>
    <col min="15380" max="15385" width="0" style="66" hidden="1" customWidth="1"/>
    <col min="15386" max="15386" width="11.5703125" style="66" bestFit="1" customWidth="1"/>
    <col min="15387" max="15387" width="12.85546875" style="66" bestFit="1" customWidth="1"/>
    <col min="15388" max="15607" width="9.140625" style="66"/>
    <col min="15608" max="15608" width="4.28515625" style="66" customWidth="1"/>
    <col min="15609" max="15609" width="21.85546875" style="66" bestFit="1" customWidth="1"/>
    <col min="15610" max="15610" width="7.85546875" style="66" customWidth="1"/>
    <col min="15611" max="15612" width="4.5703125" style="66" customWidth="1"/>
    <col min="15613" max="15613" width="7.28515625" style="66" customWidth="1"/>
    <col min="15614" max="15615" width="0" style="66" hidden="1" customWidth="1"/>
    <col min="15616" max="15616" width="9.85546875" style="66" customWidth="1"/>
    <col min="15617" max="15621" width="0" style="66" hidden="1" customWidth="1"/>
    <col min="15622" max="15622" width="5.28515625" style="66" customWidth="1"/>
    <col min="15623" max="15623" width="5.5703125" style="66" customWidth="1"/>
    <col min="15624" max="15624" width="8.140625" style="66" customWidth="1"/>
    <col min="15625" max="15626" width="4.5703125" style="66" customWidth="1"/>
    <col min="15627" max="15627" width="4.85546875" style="66" customWidth="1"/>
    <col min="15628" max="15629" width="0" style="66" hidden="1" customWidth="1"/>
    <col min="15630" max="15630" width="4.7109375" style="66" customWidth="1"/>
    <col min="15631" max="15631" width="0" style="66" hidden="1" customWidth="1"/>
    <col min="15632" max="15632" width="9.5703125" style="66" customWidth="1"/>
    <col min="15633" max="15633" width="6.28515625" style="66" customWidth="1"/>
    <col min="15634" max="15634" width="5.7109375" style="66" customWidth="1"/>
    <col min="15635" max="15635" width="8.5703125" style="66" customWidth="1"/>
    <col min="15636" max="15641" width="0" style="66" hidden="1" customWidth="1"/>
    <col min="15642" max="15642" width="11.5703125" style="66" bestFit="1" customWidth="1"/>
    <col min="15643" max="15643" width="12.85546875" style="66" bestFit="1" customWidth="1"/>
    <col min="15644" max="15863" width="9.140625" style="66"/>
    <col min="15864" max="15864" width="4.28515625" style="66" customWidth="1"/>
    <col min="15865" max="15865" width="21.85546875" style="66" bestFit="1" customWidth="1"/>
    <col min="15866" max="15866" width="7.85546875" style="66" customWidth="1"/>
    <col min="15867" max="15868" width="4.5703125" style="66" customWidth="1"/>
    <col min="15869" max="15869" width="7.28515625" style="66" customWidth="1"/>
    <col min="15870" max="15871" width="0" style="66" hidden="1" customWidth="1"/>
    <col min="15872" max="15872" width="9.85546875" style="66" customWidth="1"/>
    <col min="15873" max="15877" width="0" style="66" hidden="1" customWidth="1"/>
    <col min="15878" max="15878" width="5.28515625" style="66" customWidth="1"/>
    <col min="15879" max="15879" width="5.5703125" style="66" customWidth="1"/>
    <col min="15880" max="15880" width="8.140625" style="66" customWidth="1"/>
    <col min="15881" max="15882" width="4.5703125" style="66" customWidth="1"/>
    <col min="15883" max="15883" width="4.85546875" style="66" customWidth="1"/>
    <col min="15884" max="15885" width="0" style="66" hidden="1" customWidth="1"/>
    <col min="15886" max="15886" width="4.7109375" style="66" customWidth="1"/>
    <col min="15887" max="15887" width="0" style="66" hidden="1" customWidth="1"/>
    <col min="15888" max="15888" width="9.5703125" style="66" customWidth="1"/>
    <col min="15889" max="15889" width="6.28515625" style="66" customWidth="1"/>
    <col min="15890" max="15890" width="5.7109375" style="66" customWidth="1"/>
    <col min="15891" max="15891" width="8.5703125" style="66" customWidth="1"/>
    <col min="15892" max="15897" width="0" style="66" hidden="1" customWidth="1"/>
    <col min="15898" max="15898" width="11.5703125" style="66" bestFit="1" customWidth="1"/>
    <col min="15899" max="15899" width="12.85546875" style="66" bestFit="1" customWidth="1"/>
    <col min="15900" max="16119" width="9.140625" style="66"/>
    <col min="16120" max="16120" width="4.28515625" style="66" customWidth="1"/>
    <col min="16121" max="16121" width="21.85546875" style="66" bestFit="1" customWidth="1"/>
    <col min="16122" max="16122" width="7.85546875" style="66" customWidth="1"/>
    <col min="16123" max="16124" width="4.5703125" style="66" customWidth="1"/>
    <col min="16125" max="16125" width="7.28515625" style="66" customWidth="1"/>
    <col min="16126" max="16127" width="0" style="66" hidden="1" customWidth="1"/>
    <col min="16128" max="16128" width="9.85546875" style="66" customWidth="1"/>
    <col min="16129" max="16133" width="0" style="66" hidden="1" customWidth="1"/>
    <col min="16134" max="16134" width="5.28515625" style="66" customWidth="1"/>
    <col min="16135" max="16135" width="5.5703125" style="66" customWidth="1"/>
    <col min="16136" max="16136" width="8.140625" style="66" customWidth="1"/>
    <col min="16137" max="16138" width="4.5703125" style="66" customWidth="1"/>
    <col min="16139" max="16139" width="4.85546875" style="66" customWidth="1"/>
    <col min="16140" max="16141" width="0" style="66" hidden="1" customWidth="1"/>
    <col min="16142" max="16142" width="4.7109375" style="66" customWidth="1"/>
    <col min="16143" max="16143" width="0" style="66" hidden="1" customWidth="1"/>
    <col min="16144" max="16144" width="9.5703125" style="66" customWidth="1"/>
    <col min="16145" max="16145" width="6.28515625" style="66" customWidth="1"/>
    <col min="16146" max="16146" width="5.7109375" style="66" customWidth="1"/>
    <col min="16147" max="16147" width="8.5703125" style="66" customWidth="1"/>
    <col min="16148" max="16153" width="0" style="66" hidden="1" customWidth="1"/>
    <col min="16154" max="16154" width="11.5703125" style="66" bestFit="1" customWidth="1"/>
    <col min="16155" max="16155" width="12.85546875" style="66" bestFit="1" customWidth="1"/>
    <col min="16156" max="16381" width="9.140625" style="66"/>
    <col min="16382" max="16384" width="9.140625" style="66" customWidth="1"/>
  </cols>
  <sheetData>
    <row r="1" spans="1:34" ht="17.100000000000001" customHeight="1">
      <c r="A1" s="60" t="s">
        <v>16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5"/>
      <c r="P1" s="64"/>
      <c r="Q1" s="64"/>
      <c r="R1" s="64"/>
      <c r="S1" s="64"/>
      <c r="T1" s="64"/>
      <c r="U1" s="64"/>
      <c r="V1" s="64"/>
      <c r="W1" s="64"/>
      <c r="X1" s="65"/>
      <c r="Y1" s="64"/>
      <c r="Z1" s="64"/>
      <c r="AA1" s="65"/>
    </row>
    <row r="2" spans="1:34" ht="17.100000000000001" hidden="1" customHeight="1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5"/>
      <c r="P2" s="64"/>
      <c r="Q2" s="64"/>
      <c r="R2" s="64"/>
      <c r="S2" s="64"/>
      <c r="T2" s="64"/>
      <c r="U2" s="64"/>
      <c r="V2" s="64"/>
      <c r="W2" s="64"/>
      <c r="X2" s="65"/>
      <c r="Y2" s="64"/>
      <c r="Z2" s="64"/>
      <c r="AA2" s="65"/>
    </row>
    <row r="3" spans="1:34" s="163" customFormat="1" ht="24" customHeight="1">
      <c r="A3" s="160" t="s">
        <v>17</v>
      </c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1"/>
      <c r="M3" s="160"/>
      <c r="N3" s="110" t="s">
        <v>18</v>
      </c>
      <c r="O3" s="160"/>
      <c r="P3" s="160"/>
      <c r="Q3" s="160"/>
      <c r="R3" s="160"/>
      <c r="S3" s="161"/>
      <c r="T3" s="161"/>
      <c r="U3" s="161"/>
      <c r="V3" s="161"/>
      <c r="W3" s="160"/>
      <c r="X3" s="161"/>
      <c r="Y3" s="160"/>
      <c r="Z3" s="160"/>
      <c r="AA3" s="162"/>
    </row>
    <row r="4" spans="1:34" s="163" customFormat="1" ht="21.6" customHeight="1">
      <c r="A4" s="160"/>
      <c r="B4" s="160"/>
      <c r="C4" s="160"/>
      <c r="D4" s="160"/>
      <c r="E4" s="160"/>
      <c r="F4" s="160"/>
      <c r="G4" s="164"/>
      <c r="H4" s="160"/>
      <c r="I4" s="160"/>
      <c r="J4" s="160"/>
      <c r="K4" s="160"/>
      <c r="L4" s="161"/>
      <c r="M4" s="160"/>
      <c r="N4" s="110" t="s">
        <v>200</v>
      </c>
      <c r="O4" s="160"/>
      <c r="P4" s="160"/>
      <c r="Q4" s="160"/>
      <c r="R4" s="160"/>
      <c r="S4" s="161"/>
      <c r="T4" s="161"/>
      <c r="U4" s="161"/>
      <c r="V4" s="161"/>
      <c r="W4" s="165"/>
      <c r="X4" s="164"/>
      <c r="Y4" s="164"/>
      <c r="Z4" s="164"/>
      <c r="AA4" s="166"/>
    </row>
    <row r="5" spans="1:34" ht="17.100000000000001" customHeight="1">
      <c r="A5" s="67"/>
      <c r="B5" s="69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8"/>
      <c r="P5" s="67"/>
      <c r="Q5" s="67"/>
      <c r="R5" s="67"/>
      <c r="S5" s="67"/>
      <c r="T5" s="67"/>
      <c r="U5" s="67"/>
      <c r="V5" s="67"/>
      <c r="W5" s="67"/>
      <c r="X5" s="70"/>
      <c r="Y5" s="67"/>
      <c r="Z5" s="67"/>
      <c r="AA5" s="68"/>
    </row>
    <row r="6" spans="1:34" ht="17.100000000000001" customHeight="1">
      <c r="A6" s="223" t="s">
        <v>19</v>
      </c>
      <c r="B6" s="223" t="s">
        <v>3</v>
      </c>
      <c r="C6" s="223" t="s">
        <v>20</v>
      </c>
      <c r="D6" s="218" t="s">
        <v>21</v>
      </c>
      <c r="E6" s="224"/>
      <c r="F6" s="218" t="s">
        <v>52</v>
      </c>
      <c r="G6" s="71"/>
      <c r="H6" s="262" t="s">
        <v>189</v>
      </c>
      <c r="I6" s="263"/>
      <c r="J6" s="263"/>
      <c r="K6" s="263"/>
      <c r="L6" s="263"/>
      <c r="M6" s="263"/>
      <c r="N6" s="264"/>
      <c r="O6" s="262" t="s">
        <v>183</v>
      </c>
      <c r="P6" s="263"/>
      <c r="Q6" s="263"/>
      <c r="R6" s="263"/>
      <c r="S6" s="263"/>
      <c r="T6" s="263"/>
      <c r="U6" s="263"/>
      <c r="V6" s="264"/>
      <c r="W6" s="234" t="s">
        <v>22</v>
      </c>
      <c r="X6" s="266" t="s">
        <v>23</v>
      </c>
      <c r="Y6" s="223" t="s">
        <v>176</v>
      </c>
      <c r="Z6" s="223"/>
      <c r="AA6" s="266" t="s">
        <v>24</v>
      </c>
      <c r="AB6" s="259" t="s">
        <v>5</v>
      </c>
      <c r="AC6" s="258" t="s">
        <v>197</v>
      </c>
      <c r="AD6" s="257" t="s">
        <v>198</v>
      </c>
      <c r="AE6" s="251" t="s">
        <v>195</v>
      </c>
      <c r="AF6" s="254" t="s">
        <v>199</v>
      </c>
      <c r="AG6" s="251" t="s">
        <v>25</v>
      </c>
      <c r="AH6" s="248" t="s">
        <v>173</v>
      </c>
    </row>
    <row r="7" spans="1:34" s="72" customFormat="1" ht="63" customHeight="1">
      <c r="A7" s="223"/>
      <c r="B7" s="223"/>
      <c r="C7" s="223"/>
      <c r="D7" s="219"/>
      <c r="E7" s="225"/>
      <c r="F7" s="219"/>
      <c r="G7" s="71"/>
      <c r="H7" s="234" t="s">
        <v>182</v>
      </c>
      <c r="I7" s="234" t="s">
        <v>27</v>
      </c>
      <c r="J7" s="234" t="s">
        <v>9</v>
      </c>
      <c r="K7" s="234" t="s">
        <v>26</v>
      </c>
      <c r="L7" s="234" t="s">
        <v>180</v>
      </c>
      <c r="M7" s="232" t="s">
        <v>28</v>
      </c>
      <c r="N7" s="234" t="s">
        <v>185</v>
      </c>
      <c r="O7" s="223" t="s">
        <v>184</v>
      </c>
      <c r="P7" s="230" t="s">
        <v>15</v>
      </c>
      <c r="Q7" s="234" t="s">
        <v>186</v>
      </c>
      <c r="R7" s="234" t="s">
        <v>178</v>
      </c>
      <c r="S7" s="234" t="s">
        <v>188</v>
      </c>
      <c r="T7" s="234" t="s">
        <v>29</v>
      </c>
      <c r="U7" s="234" t="s">
        <v>30</v>
      </c>
      <c r="V7" s="223"/>
      <c r="W7" s="265"/>
      <c r="X7" s="267"/>
      <c r="Y7" s="234" t="s">
        <v>31</v>
      </c>
      <c r="Z7" s="234" t="s">
        <v>177</v>
      </c>
      <c r="AA7" s="267"/>
      <c r="AB7" s="260"/>
      <c r="AC7" s="258"/>
      <c r="AD7" s="257"/>
      <c r="AE7" s="252"/>
      <c r="AF7" s="255"/>
      <c r="AG7" s="252"/>
      <c r="AH7" s="249"/>
    </row>
    <row r="8" spans="1:34" s="72" customFormat="1" ht="9" customHeight="1">
      <c r="A8" s="223"/>
      <c r="B8" s="223"/>
      <c r="C8" s="223"/>
      <c r="D8" s="226"/>
      <c r="E8" s="227"/>
      <c r="F8" s="220"/>
      <c r="G8" s="168"/>
      <c r="H8" s="265"/>
      <c r="I8" s="265"/>
      <c r="J8" s="265"/>
      <c r="K8" s="265"/>
      <c r="L8" s="265"/>
      <c r="M8" s="233"/>
      <c r="N8" s="265"/>
      <c r="O8" s="223"/>
      <c r="P8" s="231"/>
      <c r="Q8" s="265"/>
      <c r="R8" s="265"/>
      <c r="S8" s="265"/>
      <c r="T8" s="235"/>
      <c r="U8" s="235"/>
      <c r="V8" s="223"/>
      <c r="W8" s="71" t="s">
        <v>32</v>
      </c>
      <c r="X8" s="268"/>
      <c r="Y8" s="235"/>
      <c r="Z8" s="235"/>
      <c r="AA8" s="268"/>
      <c r="AB8" s="261"/>
      <c r="AC8" s="258"/>
      <c r="AD8" s="257"/>
      <c r="AE8" s="253"/>
      <c r="AF8" s="256"/>
      <c r="AG8" s="253"/>
      <c r="AH8" s="250"/>
    </row>
    <row r="9" spans="1:34" ht="20.25" customHeight="1">
      <c r="A9" s="73">
        <v>1</v>
      </c>
      <c r="B9" s="73">
        <v>2</v>
      </c>
      <c r="C9" s="73">
        <v>3</v>
      </c>
      <c r="D9" s="228">
        <v>4</v>
      </c>
      <c r="E9" s="229"/>
      <c r="F9" s="73"/>
      <c r="G9" s="73"/>
      <c r="H9" s="73">
        <v>5</v>
      </c>
      <c r="I9" s="73">
        <v>6</v>
      </c>
      <c r="J9" s="73">
        <v>7</v>
      </c>
      <c r="K9" s="73">
        <v>8</v>
      </c>
      <c r="L9" s="73">
        <v>9</v>
      </c>
      <c r="M9" s="75">
        <v>10</v>
      </c>
      <c r="N9" s="73">
        <v>11</v>
      </c>
      <c r="O9" s="73">
        <v>12</v>
      </c>
      <c r="P9" s="74">
        <v>13</v>
      </c>
      <c r="Q9" s="73">
        <v>14</v>
      </c>
      <c r="R9" s="73">
        <v>15</v>
      </c>
      <c r="S9" s="73">
        <v>16</v>
      </c>
      <c r="T9" s="73"/>
      <c r="U9" s="73"/>
      <c r="V9" s="73">
        <v>18</v>
      </c>
      <c r="W9" s="73">
        <v>19</v>
      </c>
      <c r="X9" s="76">
        <v>17</v>
      </c>
      <c r="Y9" s="73">
        <v>18</v>
      </c>
      <c r="Z9" s="73">
        <v>19</v>
      </c>
      <c r="AA9" s="76">
        <v>20</v>
      </c>
      <c r="AB9" s="76">
        <v>21</v>
      </c>
      <c r="AC9" s="158">
        <v>22</v>
      </c>
      <c r="AD9" s="141">
        <v>23</v>
      </c>
      <c r="AE9" s="149" t="s">
        <v>190</v>
      </c>
      <c r="AF9" s="141" t="s">
        <v>191</v>
      </c>
      <c r="AG9" s="150" t="s">
        <v>192</v>
      </c>
      <c r="AH9" s="152" t="s">
        <v>193</v>
      </c>
    </row>
    <row r="10" spans="1:34" ht="14.25" customHeight="1">
      <c r="A10" s="209">
        <v>1</v>
      </c>
      <c r="B10" s="211">
        <f>'Bang TH nop'!B9</f>
        <v>0</v>
      </c>
      <c r="C10" s="213">
        <f>+'Bang TH nop'!C9</f>
        <v>0</v>
      </c>
      <c r="D10" s="214">
        <f>'Bang TH nop'!E9</f>
        <v>0</v>
      </c>
      <c r="E10" s="215"/>
      <c r="F10" s="77"/>
      <c r="G10" s="77"/>
      <c r="H10" s="78">
        <f>'Bang TH nop'!G9</f>
        <v>0</v>
      </c>
      <c r="I10" s="79">
        <f>'Bang TH nop'!L9</f>
        <v>0</v>
      </c>
      <c r="J10" s="78">
        <f>'Bang TH nop'!H9</f>
        <v>0</v>
      </c>
      <c r="K10" s="78">
        <f>'Bang TH nop'!I9</f>
        <v>0</v>
      </c>
      <c r="L10" s="78">
        <f>+'Bang TH nop'!T9</f>
        <v>0</v>
      </c>
      <c r="M10" s="77"/>
      <c r="N10" s="79"/>
      <c r="O10" s="78"/>
      <c r="P10" s="80"/>
      <c r="Q10" s="78"/>
      <c r="R10" s="78"/>
      <c r="S10" s="78"/>
      <c r="T10" s="77"/>
      <c r="U10" s="77"/>
      <c r="V10" s="77"/>
      <c r="W10" s="77"/>
      <c r="X10" s="81"/>
      <c r="Y10" s="81"/>
      <c r="Z10" s="77"/>
      <c r="AA10" s="81"/>
      <c r="AB10" s="155"/>
      <c r="AC10" s="159"/>
      <c r="AD10" s="142"/>
      <c r="AE10" s="143"/>
      <c r="AF10" s="144"/>
      <c r="AG10" s="143"/>
      <c r="AH10" s="85"/>
    </row>
    <row r="11" spans="1:34" ht="14.25" customHeight="1">
      <c r="A11" s="210"/>
      <c r="B11" s="212"/>
      <c r="C11" s="210"/>
      <c r="D11" s="216">
        <f>+'Bang TH nop'!D9</f>
        <v>0</v>
      </c>
      <c r="E11" s="217"/>
      <c r="F11" s="82">
        <f>+'Bang TH nop'!F9</f>
        <v>0</v>
      </c>
      <c r="G11" s="82"/>
      <c r="H11" s="82">
        <f>(F11/26)*H10</f>
        <v>0</v>
      </c>
      <c r="I11" s="83">
        <f>(F11/26/8*150%)*I10</f>
        <v>0</v>
      </c>
      <c r="J11" s="83">
        <f>D11/26*J10</f>
        <v>0</v>
      </c>
      <c r="K11" s="83">
        <f>D11/26*K10</f>
        <v>0</v>
      </c>
      <c r="L11" s="82">
        <f>+F11/26*L10*2</f>
        <v>0</v>
      </c>
      <c r="M11" s="82">
        <f>+'Bang TH nop'!Q9</f>
        <v>0</v>
      </c>
      <c r="N11" s="83"/>
      <c r="O11" s="82">
        <f>'Bang TH nop'!N9</f>
        <v>0</v>
      </c>
      <c r="P11" s="83">
        <f>'Bang TH nop'!O9</f>
        <v>0</v>
      </c>
      <c r="Q11" s="83">
        <f>+'Bang TH nop'!K9</f>
        <v>0</v>
      </c>
      <c r="R11" s="82">
        <f>500000/26*H10</f>
        <v>0</v>
      </c>
      <c r="S11" s="82"/>
      <c r="T11" s="82"/>
      <c r="U11" s="82"/>
      <c r="V11" s="82"/>
      <c r="W11" s="82"/>
      <c r="X11" s="83">
        <f>SUM(H11:S11)</f>
        <v>0</v>
      </c>
      <c r="Y11" s="82">
        <f>+IF((26-(H10+J10+K10))&gt;12,0,D11*10.5%)</f>
        <v>0</v>
      </c>
      <c r="Z11" s="82"/>
      <c r="AA11" s="83"/>
      <c r="AB11" s="156">
        <f>+'Bang TH nop'!G9+'Bang TH nop'!T9</f>
        <v>0</v>
      </c>
      <c r="AC11" s="159">
        <f>+IFERROR(VLOOKUP(C10,'[7]Bản gốc T03'!$C$1:$J$2000,8,0),0)</f>
        <v>0</v>
      </c>
      <c r="AD11" s="84">
        <f>+IFERROR(VLOOKUP(C10,'[7]Bản gốc T03'!$C$1:$F$1000,4,0),0)</f>
        <v>0</v>
      </c>
      <c r="AE11" s="151" t="e">
        <f>+AD11/AC11</f>
        <v>#DIV/0!</v>
      </c>
      <c r="AF11" s="151" t="e">
        <f>AH11/AB11</f>
        <v>#DIV/0!</v>
      </c>
      <c r="AG11" s="146" t="e">
        <f>+AF11/AE11</f>
        <v>#DIV/0!</v>
      </c>
      <c r="AH11" s="148">
        <f>+X11-K11</f>
        <v>0</v>
      </c>
    </row>
    <row r="12" spans="1:34" ht="14.1" customHeight="1">
      <c r="A12" s="209">
        <v>2</v>
      </c>
      <c r="B12" s="211">
        <f>'Bang TH nop'!B11</f>
        <v>0</v>
      </c>
      <c r="C12" s="213">
        <f>'Bang TH nop'!C11</f>
        <v>0</v>
      </c>
      <c r="D12" s="214">
        <f>'Bang TH nop'!E11</f>
        <v>0</v>
      </c>
      <c r="E12" s="215"/>
      <c r="F12" s="77"/>
      <c r="G12" s="77"/>
      <c r="H12" s="78">
        <f>'Bang TH nop'!G11</f>
        <v>0</v>
      </c>
      <c r="I12" s="79">
        <f>'Bang TH nop'!L11</f>
        <v>0</v>
      </c>
      <c r="J12" s="78">
        <f>'Bang TH nop'!H11</f>
        <v>0</v>
      </c>
      <c r="K12" s="78">
        <f>'Bang TH nop'!I11</f>
        <v>0</v>
      </c>
      <c r="L12" s="78">
        <f>+'Bang TH nop'!T11</f>
        <v>0</v>
      </c>
      <c r="M12" s="77"/>
      <c r="N12" s="79"/>
      <c r="O12" s="78"/>
      <c r="P12" s="80"/>
      <c r="Q12" s="78"/>
      <c r="R12" s="78"/>
      <c r="S12" s="78"/>
      <c r="T12" s="77"/>
      <c r="U12" s="77"/>
      <c r="V12" s="77"/>
      <c r="W12" s="77"/>
      <c r="X12" s="81"/>
      <c r="Y12" s="81"/>
      <c r="Z12" s="77"/>
      <c r="AA12" s="81"/>
      <c r="AB12" s="155"/>
      <c r="AC12" s="159"/>
      <c r="AD12" s="142"/>
      <c r="AE12" s="143"/>
      <c r="AF12" s="144"/>
      <c r="AG12" s="143"/>
      <c r="AH12" s="85"/>
    </row>
    <row r="13" spans="1:34" ht="14.25" customHeight="1">
      <c r="A13" s="210"/>
      <c r="B13" s="212"/>
      <c r="C13" s="210"/>
      <c r="D13" s="216">
        <f>+'Bang TH nop'!D11</f>
        <v>0</v>
      </c>
      <c r="E13" s="217"/>
      <c r="F13" s="82">
        <f>+'Bang TH nop'!F11</f>
        <v>0</v>
      </c>
      <c r="G13" s="82"/>
      <c r="H13" s="82">
        <f t="shared" ref="H13" si="0">(F13/26)*H12</f>
        <v>0</v>
      </c>
      <c r="I13" s="83">
        <f t="shared" ref="I13" si="1">(F13/26/8*150%)*I12</f>
        <v>0</v>
      </c>
      <c r="J13" s="83">
        <f t="shared" ref="J13" si="2">D13/26*J12</f>
        <v>0</v>
      </c>
      <c r="K13" s="83">
        <f t="shared" ref="K13" si="3">D13/26*K12</f>
        <v>0</v>
      </c>
      <c r="L13" s="82">
        <f t="shared" ref="L13" si="4">+F13/26*L12*2</f>
        <v>0</v>
      </c>
      <c r="M13" s="82">
        <f>+'Bang TH nop'!Q11</f>
        <v>0</v>
      </c>
      <c r="N13" s="83"/>
      <c r="O13" s="82">
        <f>'Bang TH nop'!N11</f>
        <v>0</v>
      </c>
      <c r="P13" s="83">
        <f>'Bang TH nop'!O11</f>
        <v>0</v>
      </c>
      <c r="Q13" s="83">
        <f>+'Bang TH nop'!K11</f>
        <v>0</v>
      </c>
      <c r="R13" s="82"/>
      <c r="S13" s="82"/>
      <c r="T13" s="82"/>
      <c r="U13" s="82"/>
      <c r="V13" s="82"/>
      <c r="W13" s="82"/>
      <c r="X13" s="83">
        <f t="shared" ref="X13" si="5">SUM(H13:S13)</f>
        <v>0</v>
      </c>
      <c r="Y13" s="82">
        <f t="shared" ref="Y13" si="6">+IF((26-(H12+J12+K12))&gt;12,0,D13*10.5%)</f>
        <v>0</v>
      </c>
      <c r="Z13" s="82"/>
      <c r="AA13" s="83"/>
      <c r="AB13" s="156">
        <f>+'Bang TH nop'!G11+'Bang TH nop'!T11</f>
        <v>0</v>
      </c>
      <c r="AC13" s="159">
        <f>+IFERROR(VLOOKUP(C12,'[7]Bản gốc T03'!$C$1:$J$2000,8,0),0)</f>
        <v>0</v>
      </c>
      <c r="AD13" s="84">
        <f>+IFERROR(VLOOKUP(C12,'[7]Bản gốc T03'!$C$1:$F$1000,4,0),0)</f>
        <v>0</v>
      </c>
      <c r="AE13" s="151" t="e">
        <f t="shared" ref="AE13" si="7">+AD13/AC13</f>
        <v>#DIV/0!</v>
      </c>
      <c r="AF13" s="151" t="e">
        <f>X13/AB13</f>
        <v>#DIV/0!</v>
      </c>
      <c r="AG13" s="146" t="e">
        <f t="shared" ref="AG13" si="8">+AF13/AE13</f>
        <v>#DIV/0!</v>
      </c>
      <c r="AH13" s="148">
        <f>+X13-K13</f>
        <v>0</v>
      </c>
    </row>
    <row r="14" spans="1:34" ht="14.1" customHeight="1">
      <c r="A14" s="209">
        <v>3</v>
      </c>
      <c r="B14" s="211">
        <f>'Bang TH nop'!B13</f>
        <v>0</v>
      </c>
      <c r="C14" s="213">
        <f>'Bang TH nop'!C13</f>
        <v>0</v>
      </c>
      <c r="D14" s="214">
        <f>'Bang TH nop'!E13</f>
        <v>0</v>
      </c>
      <c r="E14" s="215"/>
      <c r="F14" s="77"/>
      <c r="G14" s="77"/>
      <c r="H14" s="78">
        <f>'Bang TH nop'!G13</f>
        <v>0</v>
      </c>
      <c r="I14" s="79">
        <f>'Bang TH nop'!L13</f>
        <v>0</v>
      </c>
      <c r="J14" s="78">
        <f>'Bang TH nop'!H13</f>
        <v>0</v>
      </c>
      <c r="K14" s="78">
        <f>'Bang TH nop'!I13</f>
        <v>0</v>
      </c>
      <c r="L14" s="78">
        <f>+'Bang TH nop'!T13</f>
        <v>0</v>
      </c>
      <c r="M14" s="77"/>
      <c r="N14" s="79"/>
      <c r="O14" s="78"/>
      <c r="P14" s="80"/>
      <c r="Q14" s="78"/>
      <c r="R14" s="78"/>
      <c r="S14" s="78"/>
      <c r="T14" s="77"/>
      <c r="U14" s="77"/>
      <c r="V14" s="77"/>
      <c r="W14" s="77"/>
      <c r="X14" s="81"/>
      <c r="Y14" s="81"/>
      <c r="Z14" s="77"/>
      <c r="AA14" s="81"/>
      <c r="AB14" s="155"/>
      <c r="AC14" s="159"/>
      <c r="AD14" s="142"/>
      <c r="AE14" s="143"/>
      <c r="AF14" s="144"/>
      <c r="AG14" s="143"/>
      <c r="AH14" s="85"/>
    </row>
    <row r="15" spans="1:34" ht="14.25" customHeight="1">
      <c r="A15" s="210"/>
      <c r="B15" s="212"/>
      <c r="C15" s="210"/>
      <c r="D15" s="216">
        <f>+'Bang TH nop'!D13</f>
        <v>0</v>
      </c>
      <c r="E15" s="217"/>
      <c r="F15" s="82">
        <f>+'Bang TH nop'!F13</f>
        <v>0</v>
      </c>
      <c r="G15" s="82"/>
      <c r="H15" s="82">
        <f t="shared" ref="H15" si="9">(F15/26)*H14</f>
        <v>0</v>
      </c>
      <c r="I15" s="83">
        <f t="shared" ref="I15" si="10">(F15/26/8*150%)*I14</f>
        <v>0</v>
      </c>
      <c r="J15" s="83">
        <f t="shared" ref="J15" si="11">D15/26*J14</f>
        <v>0</v>
      </c>
      <c r="K15" s="83">
        <f t="shared" ref="K15" si="12">D15/26*K14</f>
        <v>0</v>
      </c>
      <c r="L15" s="82">
        <f t="shared" ref="L15" si="13">+F15/26*L14*2</f>
        <v>0</v>
      </c>
      <c r="M15" s="82">
        <f>+'Bang TH nop'!Q13</f>
        <v>0</v>
      </c>
      <c r="N15" s="83"/>
      <c r="O15" s="82">
        <f>'Bang TH nop'!N13</f>
        <v>0</v>
      </c>
      <c r="P15" s="83">
        <f>'Bang TH nop'!O13</f>
        <v>0</v>
      </c>
      <c r="Q15" s="83">
        <f>+'Bang TH nop'!K13</f>
        <v>0</v>
      </c>
      <c r="R15" s="82"/>
      <c r="S15" s="82"/>
      <c r="T15" s="82"/>
      <c r="U15" s="82"/>
      <c r="V15" s="82"/>
      <c r="W15" s="82"/>
      <c r="X15" s="83">
        <f t="shared" ref="X15" si="14">SUM(H15:S15)</f>
        <v>0</v>
      </c>
      <c r="Y15" s="82">
        <f t="shared" ref="Y15" si="15">+IF((26-(H14+J14+K14))&gt;12,0,D15*10.5%)</f>
        <v>0</v>
      </c>
      <c r="Z15" s="82"/>
      <c r="AA15" s="83"/>
      <c r="AB15" s="156">
        <f>+'Bang TH nop'!G13+'Bang TH nop'!T13</f>
        <v>0</v>
      </c>
      <c r="AC15" s="159">
        <f>+IFERROR(VLOOKUP(C14,'[7]Bản gốc T03'!$C$1:$J$2000,8,0),0)</f>
        <v>0</v>
      </c>
      <c r="AD15" s="84">
        <f>+IFERROR(VLOOKUP(C14,'[7]Bản gốc T03'!$C$1:$F$1000,4,0),0)</f>
        <v>0</v>
      </c>
      <c r="AE15" s="151" t="e">
        <f t="shared" ref="AE15" si="16">+AD15/AC15</f>
        <v>#DIV/0!</v>
      </c>
      <c r="AF15" s="151" t="e">
        <f>X15/AB15</f>
        <v>#DIV/0!</v>
      </c>
      <c r="AG15" s="146" t="e">
        <f t="shared" ref="AG15" si="17">+AF15/AE15</f>
        <v>#DIV/0!</v>
      </c>
      <c r="AH15" s="148">
        <f>+X15-K15</f>
        <v>0</v>
      </c>
    </row>
    <row r="16" spans="1:34" ht="14.1" customHeight="1">
      <c r="A16" s="209">
        <v>4</v>
      </c>
      <c r="B16" s="211">
        <f>'Bang TH nop'!B15</f>
        <v>0</v>
      </c>
      <c r="C16" s="213">
        <f>'Bang TH nop'!C15</f>
        <v>0</v>
      </c>
      <c r="D16" s="214">
        <f>'Bang TH nop'!E15</f>
        <v>0</v>
      </c>
      <c r="E16" s="215"/>
      <c r="F16" s="77"/>
      <c r="G16" s="77"/>
      <c r="H16" s="78">
        <f>'Bang TH nop'!G15</f>
        <v>0</v>
      </c>
      <c r="I16" s="79">
        <f>'Bang TH nop'!L15</f>
        <v>0</v>
      </c>
      <c r="J16" s="78">
        <f>'Bang TH nop'!H15</f>
        <v>0</v>
      </c>
      <c r="K16" s="78">
        <f>'Bang TH nop'!I15</f>
        <v>0</v>
      </c>
      <c r="L16" s="78">
        <f>+'Bang TH nop'!T15</f>
        <v>0</v>
      </c>
      <c r="M16" s="77"/>
      <c r="N16" s="79"/>
      <c r="O16" s="78"/>
      <c r="P16" s="80"/>
      <c r="Q16" s="78"/>
      <c r="R16" s="78"/>
      <c r="S16" s="78"/>
      <c r="T16" s="77"/>
      <c r="U16" s="77"/>
      <c r="V16" s="77"/>
      <c r="W16" s="77"/>
      <c r="X16" s="81"/>
      <c r="Y16" s="81"/>
      <c r="Z16" s="77"/>
      <c r="AA16" s="81"/>
      <c r="AB16" s="155"/>
      <c r="AC16" s="159"/>
      <c r="AD16" s="142"/>
      <c r="AE16" s="143"/>
      <c r="AF16" s="144"/>
      <c r="AG16" s="143"/>
      <c r="AH16" s="85"/>
    </row>
    <row r="17" spans="1:34" ht="14.25" customHeight="1">
      <c r="A17" s="210"/>
      <c r="B17" s="212"/>
      <c r="C17" s="210"/>
      <c r="D17" s="216">
        <f>+'Bang TH nop'!D15</f>
        <v>0</v>
      </c>
      <c r="E17" s="217"/>
      <c r="F17" s="82">
        <f>+'Bang TH nop'!F15</f>
        <v>0</v>
      </c>
      <c r="G17" s="82"/>
      <c r="H17" s="82">
        <f t="shared" ref="H17" si="18">(F17/26)*H16</f>
        <v>0</v>
      </c>
      <c r="I17" s="83">
        <f t="shared" ref="I17" si="19">(F17/26/8*150%)*I16</f>
        <v>0</v>
      </c>
      <c r="J17" s="83">
        <f t="shared" ref="J17" si="20">D17/26*J16</f>
        <v>0</v>
      </c>
      <c r="K17" s="83">
        <f t="shared" ref="K17" si="21">D17/26*K16</f>
        <v>0</v>
      </c>
      <c r="L17" s="82">
        <f t="shared" ref="L17" si="22">+F17/26*L16*2</f>
        <v>0</v>
      </c>
      <c r="M17" s="82">
        <f>+'Bang TH nop'!Q15</f>
        <v>0</v>
      </c>
      <c r="N17" s="83"/>
      <c r="O17" s="82">
        <f>'Bang TH nop'!N15</f>
        <v>0</v>
      </c>
      <c r="P17" s="83">
        <f>'Bang TH nop'!O15</f>
        <v>0</v>
      </c>
      <c r="Q17" s="83">
        <f>+'Bang TH nop'!K15</f>
        <v>0</v>
      </c>
      <c r="R17" s="82"/>
      <c r="S17" s="82"/>
      <c r="T17" s="82"/>
      <c r="U17" s="82"/>
      <c r="V17" s="82"/>
      <c r="W17" s="82"/>
      <c r="X17" s="83">
        <f t="shared" ref="X17" si="23">SUM(H17:S17)</f>
        <v>0</v>
      </c>
      <c r="Y17" s="82">
        <f t="shared" ref="Y17" si="24">+IF((26-(H16+J16+K16))&gt;12,0,D17*10.5%)</f>
        <v>0</v>
      </c>
      <c r="Z17" s="82"/>
      <c r="AA17" s="83"/>
      <c r="AB17" s="156">
        <f>+'Bang TH nop'!G15+'Bang TH nop'!T15</f>
        <v>0</v>
      </c>
      <c r="AC17" s="159">
        <f>+IFERROR(VLOOKUP(C16,'[7]Bản gốc T03'!$C$1:$J$2000,8,0),0)</f>
        <v>0</v>
      </c>
      <c r="AD17" s="84">
        <f>+IFERROR(VLOOKUP(C16,'[7]Bản gốc T03'!$C$1:$F$1000,4,0),0)</f>
        <v>0</v>
      </c>
      <c r="AE17" s="151" t="e">
        <f t="shared" ref="AE17" si="25">+AD17/AC17</f>
        <v>#DIV/0!</v>
      </c>
      <c r="AF17" s="151" t="e">
        <f>X17/AB17</f>
        <v>#DIV/0!</v>
      </c>
      <c r="AG17" s="146" t="e">
        <f t="shared" ref="AG17" si="26">+AF17/AE17</f>
        <v>#DIV/0!</v>
      </c>
      <c r="AH17" s="148">
        <f>+X17-K17</f>
        <v>0</v>
      </c>
    </row>
    <row r="18" spans="1:34" ht="14.25" hidden="1" customHeight="1">
      <c r="A18" s="209"/>
      <c r="B18" s="211"/>
      <c r="C18" s="213"/>
      <c r="D18" s="214"/>
      <c r="E18" s="215"/>
      <c r="F18" s="77"/>
      <c r="G18" s="77"/>
      <c r="H18" s="78"/>
      <c r="I18" s="79"/>
      <c r="J18" s="78">
        <f>'Bang TH nop'!H17</f>
        <v>0</v>
      </c>
      <c r="K18" s="78"/>
      <c r="L18" s="78"/>
      <c r="M18" s="77"/>
      <c r="N18" s="79"/>
      <c r="O18" s="78"/>
      <c r="P18" s="80"/>
      <c r="Q18" s="78"/>
      <c r="R18" s="78"/>
      <c r="S18" s="78"/>
      <c r="T18" s="77"/>
      <c r="U18" s="77"/>
      <c r="V18" s="77"/>
      <c r="W18" s="77"/>
      <c r="X18" s="81"/>
      <c r="Y18" s="81"/>
      <c r="Z18" s="77"/>
      <c r="AA18" s="81"/>
      <c r="AB18" s="155"/>
      <c r="AC18" s="159"/>
      <c r="AD18" s="142"/>
      <c r="AH18" s="85"/>
    </row>
    <row r="19" spans="1:34" ht="14.25" hidden="1" customHeight="1">
      <c r="A19" s="210"/>
      <c r="B19" s="236"/>
      <c r="C19" s="210"/>
      <c r="D19" s="237"/>
      <c r="E19" s="238"/>
      <c r="F19" s="82"/>
      <c r="G19" s="82"/>
      <c r="H19" s="82"/>
      <c r="I19" s="83"/>
      <c r="J19" s="83">
        <f t="shared" ref="J19" si="27">D19/26*J18</f>
        <v>0</v>
      </c>
      <c r="K19" s="83"/>
      <c r="L19" s="82"/>
      <c r="M19" s="82"/>
      <c r="N19" s="83"/>
      <c r="O19" s="82"/>
      <c r="P19" s="83"/>
      <c r="Q19" s="83"/>
      <c r="R19" s="82"/>
      <c r="S19" s="82"/>
      <c r="T19" s="82"/>
      <c r="U19" s="82"/>
      <c r="V19" s="82"/>
      <c r="W19" s="82"/>
      <c r="X19" s="83"/>
      <c r="Y19" s="82"/>
      <c r="Z19" s="82"/>
      <c r="AA19" s="83"/>
      <c r="AB19" s="156"/>
      <c r="AC19" s="167">
        <f>+IFERROR(VLOOKUP(C18,'[8]Bản gốc T02'!$C$1:$J$1000,8,0),0)</f>
        <v>0</v>
      </c>
      <c r="AD19" s="84">
        <f>+IFERROR(VLOOKUP(C18,'[8]Bản gốc T02'!$C$1:$F$1000,4,0),0)</f>
        <v>0</v>
      </c>
      <c r="AH19" s="148">
        <f>+X19-K19</f>
        <v>0</v>
      </c>
    </row>
    <row r="20" spans="1:34" ht="14.25" hidden="1" customHeight="1">
      <c r="A20" s="209"/>
      <c r="B20" s="211"/>
      <c r="C20" s="213"/>
      <c r="D20" s="214"/>
      <c r="E20" s="215"/>
      <c r="F20" s="77"/>
      <c r="G20" s="77"/>
      <c r="H20" s="78"/>
      <c r="I20" s="79"/>
      <c r="J20" s="78">
        <f>'Bang TH nop'!H19</f>
        <v>0</v>
      </c>
      <c r="K20" s="78"/>
      <c r="L20" s="78"/>
      <c r="M20" s="77"/>
      <c r="N20" s="79"/>
      <c r="O20" s="78"/>
      <c r="P20" s="80"/>
      <c r="Q20" s="78"/>
      <c r="R20" s="78"/>
      <c r="S20" s="78"/>
      <c r="T20" s="77"/>
      <c r="U20" s="77"/>
      <c r="V20" s="77"/>
      <c r="W20" s="77"/>
      <c r="X20" s="81"/>
      <c r="Y20" s="81"/>
      <c r="Z20" s="77"/>
      <c r="AA20" s="81"/>
      <c r="AB20" s="155"/>
      <c r="AC20" s="159"/>
      <c r="AD20" s="142"/>
      <c r="AH20" s="85"/>
    </row>
    <row r="21" spans="1:34" ht="14.25" hidden="1" customHeight="1">
      <c r="A21" s="210"/>
      <c r="B21" s="236"/>
      <c r="C21" s="210"/>
      <c r="D21" s="237"/>
      <c r="E21" s="238"/>
      <c r="F21" s="82"/>
      <c r="G21" s="82"/>
      <c r="H21" s="82"/>
      <c r="I21" s="83"/>
      <c r="J21" s="83">
        <f t="shared" ref="J21" si="28">D21/26*J20</f>
        <v>0</v>
      </c>
      <c r="K21" s="83"/>
      <c r="L21" s="82"/>
      <c r="M21" s="82"/>
      <c r="N21" s="83"/>
      <c r="O21" s="82"/>
      <c r="P21" s="83"/>
      <c r="Q21" s="83"/>
      <c r="R21" s="82"/>
      <c r="S21" s="82"/>
      <c r="T21" s="82"/>
      <c r="U21" s="82"/>
      <c r="V21" s="82"/>
      <c r="W21" s="82"/>
      <c r="X21" s="83"/>
      <c r="Y21" s="82"/>
      <c r="Z21" s="82"/>
      <c r="AA21" s="83"/>
      <c r="AB21" s="156"/>
      <c r="AC21" s="167">
        <f>+IFERROR(VLOOKUP(C20,'[8]Bản gốc T02'!$C$1:$J$1000,8,0),0)</f>
        <v>0</v>
      </c>
      <c r="AD21" s="84">
        <f>+IFERROR(VLOOKUP(C20,'[8]Bản gốc T02'!$C$1:$F$1000,4,0),0)</f>
        <v>0</v>
      </c>
      <c r="AH21" s="148">
        <f>+X21-K21</f>
        <v>0</v>
      </c>
    </row>
    <row r="22" spans="1:34" ht="14.25" hidden="1" customHeight="1">
      <c r="A22" s="209"/>
      <c r="B22" s="211"/>
      <c r="C22" s="213"/>
      <c r="D22" s="214"/>
      <c r="E22" s="215"/>
      <c r="F22" s="77"/>
      <c r="G22" s="77"/>
      <c r="H22" s="78"/>
      <c r="I22" s="79"/>
      <c r="J22" s="78">
        <f>'Bang TH nop'!H21</f>
        <v>0</v>
      </c>
      <c r="K22" s="78"/>
      <c r="L22" s="78"/>
      <c r="M22" s="77"/>
      <c r="N22" s="79"/>
      <c r="O22" s="78"/>
      <c r="P22" s="80"/>
      <c r="Q22" s="78"/>
      <c r="R22" s="78"/>
      <c r="S22" s="78"/>
      <c r="T22" s="77"/>
      <c r="U22" s="77"/>
      <c r="V22" s="77"/>
      <c r="W22" s="77"/>
      <c r="X22" s="81"/>
      <c r="Y22" s="81"/>
      <c r="Z22" s="77"/>
      <c r="AA22" s="81"/>
      <c r="AB22" s="155"/>
      <c r="AC22" s="159"/>
      <c r="AD22" s="142"/>
      <c r="AH22" s="85"/>
    </row>
    <row r="23" spans="1:34" ht="14.25" hidden="1" customHeight="1">
      <c r="A23" s="210"/>
      <c r="B23" s="236"/>
      <c r="C23" s="210"/>
      <c r="D23" s="237"/>
      <c r="E23" s="238"/>
      <c r="F23" s="82"/>
      <c r="G23" s="82"/>
      <c r="H23" s="82"/>
      <c r="I23" s="83"/>
      <c r="J23" s="83">
        <f t="shared" ref="J23" si="29">D23/26*J22</f>
        <v>0</v>
      </c>
      <c r="K23" s="83"/>
      <c r="L23" s="82"/>
      <c r="M23" s="82"/>
      <c r="N23" s="83"/>
      <c r="O23" s="82"/>
      <c r="P23" s="83"/>
      <c r="Q23" s="83"/>
      <c r="R23" s="82"/>
      <c r="S23" s="82"/>
      <c r="T23" s="82"/>
      <c r="U23" s="82"/>
      <c r="V23" s="82"/>
      <c r="W23" s="82"/>
      <c r="X23" s="83"/>
      <c r="Y23" s="82"/>
      <c r="Z23" s="82"/>
      <c r="AA23" s="83"/>
      <c r="AB23" s="156"/>
      <c r="AC23" s="167">
        <f>+IFERROR(VLOOKUP(C22,'[8]Bản gốc T02'!$C$1:$J$1000,8,0),0)</f>
        <v>0</v>
      </c>
      <c r="AD23" s="84">
        <f>+IFERROR(VLOOKUP(C22,'[8]Bản gốc T02'!$C$1:$F$1000,4,0),0)</f>
        <v>0</v>
      </c>
      <c r="AH23" s="148">
        <f>+X23-K23</f>
        <v>0</v>
      </c>
    </row>
    <row r="24" spans="1:34" ht="14.25" hidden="1" customHeight="1">
      <c r="A24" s="209"/>
      <c r="B24" s="211"/>
      <c r="C24" s="213"/>
      <c r="D24" s="214"/>
      <c r="E24" s="215"/>
      <c r="F24" s="77"/>
      <c r="G24" s="77"/>
      <c r="H24" s="78"/>
      <c r="I24" s="79"/>
      <c r="J24" s="78">
        <f>'Bang TH nop'!H23</f>
        <v>0</v>
      </c>
      <c r="K24" s="78"/>
      <c r="L24" s="78"/>
      <c r="M24" s="77"/>
      <c r="N24" s="79"/>
      <c r="O24" s="78"/>
      <c r="P24" s="80"/>
      <c r="Q24" s="78"/>
      <c r="R24" s="78"/>
      <c r="S24" s="78"/>
      <c r="T24" s="77"/>
      <c r="U24" s="77"/>
      <c r="V24" s="77"/>
      <c r="W24" s="77"/>
      <c r="X24" s="81"/>
      <c r="Y24" s="81"/>
      <c r="Z24" s="77"/>
      <c r="AA24" s="81"/>
      <c r="AB24" s="155"/>
      <c r="AC24" s="159"/>
      <c r="AD24" s="142"/>
      <c r="AH24" s="85"/>
    </row>
    <row r="25" spans="1:34" ht="14.25" hidden="1" customHeight="1">
      <c r="A25" s="210"/>
      <c r="B25" s="236"/>
      <c r="C25" s="210"/>
      <c r="D25" s="237"/>
      <c r="E25" s="238"/>
      <c r="F25" s="82"/>
      <c r="G25" s="82"/>
      <c r="H25" s="82"/>
      <c r="I25" s="83"/>
      <c r="J25" s="83">
        <f t="shared" ref="J25" si="30">D25/26*J24</f>
        <v>0</v>
      </c>
      <c r="K25" s="83"/>
      <c r="L25" s="82"/>
      <c r="M25" s="82"/>
      <c r="N25" s="83"/>
      <c r="O25" s="82"/>
      <c r="P25" s="83"/>
      <c r="Q25" s="83"/>
      <c r="R25" s="82"/>
      <c r="S25" s="82"/>
      <c r="T25" s="82"/>
      <c r="U25" s="82"/>
      <c r="V25" s="82"/>
      <c r="W25" s="82"/>
      <c r="X25" s="83"/>
      <c r="Y25" s="82"/>
      <c r="Z25" s="82"/>
      <c r="AA25" s="83"/>
      <c r="AB25" s="156"/>
      <c r="AC25" s="167">
        <f>+IFERROR(VLOOKUP(C24,'[8]Bản gốc T02'!$C$1:$J$1000,8,0),0)</f>
        <v>0</v>
      </c>
      <c r="AD25" s="84">
        <f>+IFERROR(VLOOKUP(C24,'[8]Bản gốc T02'!$C$1:$F$1000,4,0),0)</f>
        <v>0</v>
      </c>
      <c r="AH25" s="148">
        <f>+X25-K25</f>
        <v>0</v>
      </c>
    </row>
    <row r="26" spans="1:34" ht="14.25" hidden="1" customHeight="1">
      <c r="A26" s="209"/>
      <c r="B26" s="211"/>
      <c r="C26" s="213"/>
      <c r="D26" s="214"/>
      <c r="E26" s="215"/>
      <c r="F26" s="77"/>
      <c r="G26" s="77"/>
      <c r="H26" s="78"/>
      <c r="I26" s="79"/>
      <c r="J26" s="78">
        <f>'Bang TH nop'!H25</f>
        <v>0</v>
      </c>
      <c r="K26" s="78"/>
      <c r="L26" s="78"/>
      <c r="M26" s="77"/>
      <c r="N26" s="79"/>
      <c r="O26" s="78"/>
      <c r="P26" s="80"/>
      <c r="Q26" s="78"/>
      <c r="R26" s="78"/>
      <c r="S26" s="78"/>
      <c r="T26" s="77"/>
      <c r="U26" s="77"/>
      <c r="V26" s="77"/>
      <c r="W26" s="77"/>
      <c r="X26" s="81"/>
      <c r="Y26" s="81"/>
      <c r="Z26" s="77"/>
      <c r="AA26" s="81"/>
      <c r="AB26" s="155"/>
      <c r="AC26" s="159"/>
      <c r="AD26" s="142"/>
      <c r="AH26" s="85"/>
    </row>
    <row r="27" spans="1:34" ht="14.25" hidden="1" customHeight="1">
      <c r="A27" s="210"/>
      <c r="B27" s="236"/>
      <c r="C27" s="210"/>
      <c r="D27" s="237"/>
      <c r="E27" s="238"/>
      <c r="F27" s="82"/>
      <c r="G27" s="82"/>
      <c r="H27" s="82"/>
      <c r="I27" s="83"/>
      <c r="J27" s="83">
        <f t="shared" ref="J27" si="31">D27/26*J26</f>
        <v>0</v>
      </c>
      <c r="K27" s="83"/>
      <c r="L27" s="82"/>
      <c r="M27" s="82"/>
      <c r="N27" s="83"/>
      <c r="O27" s="82"/>
      <c r="P27" s="83"/>
      <c r="Q27" s="83"/>
      <c r="R27" s="82"/>
      <c r="S27" s="82"/>
      <c r="T27" s="82"/>
      <c r="U27" s="82"/>
      <c r="V27" s="82"/>
      <c r="W27" s="82"/>
      <c r="X27" s="83"/>
      <c r="Y27" s="82"/>
      <c r="Z27" s="82"/>
      <c r="AA27" s="83"/>
      <c r="AB27" s="156"/>
      <c r="AC27" s="167">
        <f>+IFERROR(VLOOKUP(C26,'[8]Bản gốc T02'!$C$1:$J$1000,8,0),0)</f>
        <v>0</v>
      </c>
      <c r="AD27" s="84">
        <f>+IFERROR(VLOOKUP(C26,'[8]Bản gốc T02'!$C$1:$F$1000,4,0),0)</f>
        <v>0</v>
      </c>
      <c r="AH27" s="148">
        <f>+X27-K27</f>
        <v>0</v>
      </c>
    </row>
    <row r="28" spans="1:34" ht="14.25" hidden="1" customHeight="1">
      <c r="A28" s="209"/>
      <c r="B28" s="211"/>
      <c r="C28" s="213"/>
      <c r="D28" s="214"/>
      <c r="E28" s="215"/>
      <c r="F28" s="77"/>
      <c r="G28" s="77"/>
      <c r="H28" s="78"/>
      <c r="I28" s="79"/>
      <c r="J28" s="78">
        <f>'Bang TH nop'!H27</f>
        <v>0</v>
      </c>
      <c r="K28" s="78"/>
      <c r="L28" s="78"/>
      <c r="M28" s="77"/>
      <c r="N28" s="79"/>
      <c r="O28" s="78"/>
      <c r="P28" s="80"/>
      <c r="Q28" s="78"/>
      <c r="R28" s="78"/>
      <c r="S28" s="78"/>
      <c r="T28" s="77"/>
      <c r="U28" s="77"/>
      <c r="V28" s="77"/>
      <c r="W28" s="77"/>
      <c r="X28" s="81"/>
      <c r="Y28" s="81"/>
      <c r="Z28" s="77"/>
      <c r="AA28" s="81"/>
      <c r="AB28" s="155"/>
      <c r="AC28" s="159"/>
      <c r="AD28" s="142"/>
      <c r="AH28" s="85"/>
    </row>
    <row r="29" spans="1:34" ht="14.25" hidden="1" customHeight="1">
      <c r="A29" s="210"/>
      <c r="B29" s="236"/>
      <c r="C29" s="210"/>
      <c r="D29" s="237"/>
      <c r="E29" s="238"/>
      <c r="F29" s="82"/>
      <c r="G29" s="82"/>
      <c r="H29" s="82"/>
      <c r="I29" s="83"/>
      <c r="J29" s="83">
        <f t="shared" ref="J29" si="32">D29/26*J28</f>
        <v>0</v>
      </c>
      <c r="K29" s="83"/>
      <c r="L29" s="82"/>
      <c r="M29" s="82"/>
      <c r="N29" s="83"/>
      <c r="O29" s="82"/>
      <c r="P29" s="83"/>
      <c r="Q29" s="83"/>
      <c r="R29" s="82"/>
      <c r="S29" s="82"/>
      <c r="T29" s="82"/>
      <c r="U29" s="82"/>
      <c r="V29" s="82"/>
      <c r="W29" s="82"/>
      <c r="X29" s="83"/>
      <c r="Y29" s="82"/>
      <c r="Z29" s="82"/>
      <c r="AA29" s="83"/>
      <c r="AB29" s="156"/>
      <c r="AC29" s="167">
        <f>+IFERROR(VLOOKUP(C28,'[8]Bản gốc T02'!$C$1:$J$1000,8,0),0)</f>
        <v>0</v>
      </c>
      <c r="AD29" s="84">
        <f>+IFERROR(VLOOKUP(C28,'[8]Bản gốc T02'!$C$1:$F$1000,4,0),0)</f>
        <v>0</v>
      </c>
      <c r="AH29" s="148">
        <f>+X29-K29</f>
        <v>0</v>
      </c>
    </row>
    <row r="30" spans="1:34" ht="14.25" hidden="1" customHeight="1">
      <c r="A30" s="209"/>
      <c r="B30" s="211"/>
      <c r="C30" s="213"/>
      <c r="D30" s="214"/>
      <c r="E30" s="215"/>
      <c r="F30" s="77"/>
      <c r="G30" s="77"/>
      <c r="H30" s="78"/>
      <c r="I30" s="79"/>
      <c r="J30" s="78">
        <f>'Bang TH nop'!H29</f>
        <v>0</v>
      </c>
      <c r="K30" s="78"/>
      <c r="L30" s="78"/>
      <c r="M30" s="77"/>
      <c r="N30" s="79"/>
      <c r="O30" s="78"/>
      <c r="P30" s="80"/>
      <c r="Q30" s="78"/>
      <c r="R30" s="78"/>
      <c r="S30" s="78"/>
      <c r="T30" s="77"/>
      <c r="U30" s="77"/>
      <c r="V30" s="77"/>
      <c r="W30" s="77"/>
      <c r="X30" s="81"/>
      <c r="Y30" s="81"/>
      <c r="Z30" s="77"/>
      <c r="AA30" s="81"/>
      <c r="AB30" s="155"/>
      <c r="AC30" s="159"/>
      <c r="AD30" s="142"/>
      <c r="AH30" s="85"/>
    </row>
    <row r="31" spans="1:34" ht="14.25" hidden="1" customHeight="1">
      <c r="A31" s="210"/>
      <c r="B31" s="236"/>
      <c r="C31" s="210"/>
      <c r="D31" s="237"/>
      <c r="E31" s="238"/>
      <c r="F31" s="82"/>
      <c r="G31" s="82"/>
      <c r="H31" s="82"/>
      <c r="I31" s="83"/>
      <c r="J31" s="83">
        <f t="shared" ref="J31" si="33">D31/26*J30</f>
        <v>0</v>
      </c>
      <c r="K31" s="83"/>
      <c r="L31" s="82"/>
      <c r="M31" s="82"/>
      <c r="N31" s="83"/>
      <c r="O31" s="82"/>
      <c r="P31" s="83"/>
      <c r="Q31" s="83"/>
      <c r="R31" s="82"/>
      <c r="S31" s="82"/>
      <c r="T31" s="82"/>
      <c r="U31" s="82"/>
      <c r="V31" s="82"/>
      <c r="W31" s="82"/>
      <c r="X31" s="83"/>
      <c r="Y31" s="82"/>
      <c r="Z31" s="82"/>
      <c r="AA31" s="83"/>
      <c r="AB31" s="156"/>
      <c r="AC31" s="167">
        <f>+IFERROR(VLOOKUP(C30,'[8]Bản gốc T02'!$C$1:$J$1000,8,0),0)</f>
        <v>0</v>
      </c>
      <c r="AD31" s="84">
        <f>+IFERROR(VLOOKUP(C30,'[8]Bản gốc T02'!$C$1:$F$1000,4,0),0)</f>
        <v>0</v>
      </c>
      <c r="AH31" s="148">
        <f>+X31-K31</f>
        <v>0</v>
      </c>
    </row>
    <row r="32" spans="1:34" ht="17.25" hidden="1" customHeight="1">
      <c r="A32" s="209"/>
      <c r="B32" s="211"/>
      <c r="C32" s="213"/>
      <c r="D32" s="214"/>
      <c r="E32" s="215"/>
      <c r="F32" s="77"/>
      <c r="G32" s="77"/>
      <c r="H32" s="78"/>
      <c r="I32" s="79"/>
      <c r="J32" s="78">
        <f>'Bang TH nop'!H31</f>
        <v>0</v>
      </c>
      <c r="K32" s="78"/>
      <c r="L32" s="78"/>
      <c r="M32" s="77"/>
      <c r="N32" s="79"/>
      <c r="O32" s="78"/>
      <c r="P32" s="80"/>
      <c r="Q32" s="78"/>
      <c r="R32" s="78"/>
      <c r="S32" s="78"/>
      <c r="T32" s="77"/>
      <c r="U32" s="77"/>
      <c r="V32" s="77"/>
      <c r="W32" s="77"/>
      <c r="X32" s="81"/>
      <c r="Y32" s="81"/>
      <c r="Z32" s="77"/>
      <c r="AA32" s="81"/>
      <c r="AB32" s="155"/>
      <c r="AC32" s="159"/>
      <c r="AD32" s="142"/>
      <c r="AH32" s="85"/>
    </row>
    <row r="33" spans="1:34" ht="17.25" hidden="1" customHeight="1">
      <c r="A33" s="210"/>
      <c r="B33" s="236"/>
      <c r="C33" s="210"/>
      <c r="D33" s="237"/>
      <c r="E33" s="238"/>
      <c r="F33" s="82"/>
      <c r="G33" s="82"/>
      <c r="H33" s="82"/>
      <c r="I33" s="83"/>
      <c r="J33" s="83">
        <f t="shared" ref="J33" si="34">D33/26*J32</f>
        <v>0</v>
      </c>
      <c r="K33" s="83"/>
      <c r="L33" s="82"/>
      <c r="M33" s="82"/>
      <c r="N33" s="83"/>
      <c r="O33" s="82"/>
      <c r="P33" s="83"/>
      <c r="Q33" s="83"/>
      <c r="R33" s="82"/>
      <c r="S33" s="82"/>
      <c r="T33" s="82"/>
      <c r="U33" s="82"/>
      <c r="V33" s="82"/>
      <c r="W33" s="82"/>
      <c r="X33" s="83"/>
      <c r="Y33" s="82"/>
      <c r="Z33" s="82"/>
      <c r="AA33" s="83"/>
      <c r="AB33" s="156"/>
      <c r="AC33" s="167">
        <f>+IFERROR(VLOOKUP(C32,'[8]Bản gốc T02'!$C$1:$J$1000,8,0),0)</f>
        <v>0</v>
      </c>
      <c r="AD33" s="84">
        <f>+IFERROR(VLOOKUP(C32,'[8]Bản gốc T02'!$C$1:$F$1000,4,0),0)</f>
        <v>0</v>
      </c>
      <c r="AH33" s="148">
        <f>+X33-K33</f>
        <v>0</v>
      </c>
    </row>
    <row r="34" spans="1:34" ht="17.25" hidden="1" customHeight="1">
      <c r="A34" s="209"/>
      <c r="B34" s="211"/>
      <c r="C34" s="213"/>
      <c r="D34" s="214"/>
      <c r="E34" s="215"/>
      <c r="F34" s="77"/>
      <c r="G34" s="77"/>
      <c r="H34" s="78"/>
      <c r="I34" s="79"/>
      <c r="J34" s="78">
        <f>'Bang TH nop'!H33</f>
        <v>0</v>
      </c>
      <c r="K34" s="78"/>
      <c r="L34" s="78"/>
      <c r="M34" s="77"/>
      <c r="N34" s="79"/>
      <c r="O34" s="78"/>
      <c r="P34" s="80"/>
      <c r="Q34" s="78"/>
      <c r="R34" s="78"/>
      <c r="S34" s="78"/>
      <c r="T34" s="77"/>
      <c r="U34" s="77"/>
      <c r="V34" s="77"/>
      <c r="W34" s="77"/>
      <c r="X34" s="81"/>
      <c r="Y34" s="81"/>
      <c r="Z34" s="77"/>
      <c r="AA34" s="81"/>
      <c r="AB34" s="155"/>
      <c r="AC34" s="159"/>
      <c r="AD34" s="142"/>
      <c r="AH34" s="85"/>
    </row>
    <row r="35" spans="1:34" ht="17.25" hidden="1" customHeight="1">
      <c r="A35" s="210"/>
      <c r="B35" s="236"/>
      <c r="C35" s="210"/>
      <c r="D35" s="237"/>
      <c r="E35" s="238"/>
      <c r="F35" s="82"/>
      <c r="G35" s="82"/>
      <c r="H35" s="82"/>
      <c r="I35" s="83"/>
      <c r="J35" s="83">
        <f t="shared" ref="J35" si="35">D35/26*J34</f>
        <v>0</v>
      </c>
      <c r="K35" s="83"/>
      <c r="L35" s="82"/>
      <c r="M35" s="82"/>
      <c r="N35" s="83"/>
      <c r="O35" s="82"/>
      <c r="P35" s="83"/>
      <c r="Q35" s="83"/>
      <c r="R35" s="82"/>
      <c r="S35" s="82"/>
      <c r="T35" s="82"/>
      <c r="U35" s="82"/>
      <c r="V35" s="82"/>
      <c r="W35" s="82"/>
      <c r="X35" s="83"/>
      <c r="Y35" s="82"/>
      <c r="Z35" s="82"/>
      <c r="AA35" s="83"/>
      <c r="AB35" s="156"/>
      <c r="AC35" s="167">
        <f>+IFERROR(VLOOKUP(C34,'[8]Bản gốc T02'!$C$1:$J$1000,8,0),0)</f>
        <v>0</v>
      </c>
      <c r="AD35" s="84">
        <f>+IFERROR(VLOOKUP(C34,'[8]Bản gốc T02'!$C$1:$F$1000,4,0),0)</f>
        <v>0</v>
      </c>
      <c r="AH35" s="148">
        <f>+X35-K35</f>
        <v>0</v>
      </c>
    </row>
    <row r="36" spans="1:34" ht="15.2" hidden="1" customHeight="1">
      <c r="A36" s="209"/>
      <c r="B36" s="211"/>
      <c r="C36" s="213"/>
      <c r="D36" s="214"/>
      <c r="E36" s="215"/>
      <c r="F36" s="77"/>
      <c r="G36" s="77"/>
      <c r="H36" s="78"/>
      <c r="I36" s="79"/>
      <c r="J36" s="78">
        <f>'Bang TH nop'!H35</f>
        <v>0</v>
      </c>
      <c r="K36" s="78"/>
      <c r="L36" s="78"/>
      <c r="M36" s="77"/>
      <c r="N36" s="79"/>
      <c r="O36" s="78"/>
      <c r="P36" s="80"/>
      <c r="Q36" s="78"/>
      <c r="R36" s="78"/>
      <c r="S36" s="78"/>
      <c r="T36" s="77"/>
      <c r="U36" s="77"/>
      <c r="V36" s="77"/>
      <c r="W36" s="77"/>
      <c r="X36" s="81"/>
      <c r="Y36" s="81"/>
      <c r="Z36" s="77"/>
      <c r="AA36" s="81"/>
      <c r="AB36" s="155"/>
      <c r="AC36" s="159"/>
      <c r="AD36" s="142"/>
      <c r="AH36" s="85"/>
    </row>
    <row r="37" spans="1:34" ht="15.2" hidden="1" customHeight="1">
      <c r="A37" s="210"/>
      <c r="B37" s="236"/>
      <c r="C37" s="210"/>
      <c r="D37" s="237"/>
      <c r="E37" s="238"/>
      <c r="F37" s="82"/>
      <c r="G37" s="82"/>
      <c r="H37" s="82"/>
      <c r="I37" s="83"/>
      <c r="J37" s="83">
        <f t="shared" ref="J37" si="36">D37/26*J36</f>
        <v>0</v>
      </c>
      <c r="K37" s="83"/>
      <c r="L37" s="82"/>
      <c r="M37" s="82"/>
      <c r="N37" s="83"/>
      <c r="O37" s="82"/>
      <c r="P37" s="83"/>
      <c r="Q37" s="83"/>
      <c r="R37" s="82"/>
      <c r="S37" s="82"/>
      <c r="T37" s="82"/>
      <c r="U37" s="82"/>
      <c r="V37" s="82"/>
      <c r="W37" s="82"/>
      <c r="X37" s="83"/>
      <c r="Y37" s="82"/>
      <c r="Z37" s="82"/>
      <c r="AA37" s="83"/>
      <c r="AB37" s="156"/>
      <c r="AC37" s="167">
        <f>+IFERROR(VLOOKUP(C36,'[8]Bản gốc T02'!$C$1:$J$1000,8,0),0)</f>
        <v>0</v>
      </c>
      <c r="AD37" s="84">
        <f>+IFERROR(VLOOKUP(C36,'[8]Bản gốc T02'!$C$1:$F$1000,4,0),0)</f>
        <v>0</v>
      </c>
      <c r="AH37" s="148">
        <f>+X37-K37</f>
        <v>0</v>
      </c>
    </row>
    <row r="38" spans="1:34" ht="15.2" hidden="1" customHeight="1">
      <c r="A38" s="209"/>
      <c r="B38" s="211"/>
      <c r="C38" s="213"/>
      <c r="D38" s="214"/>
      <c r="E38" s="215"/>
      <c r="F38" s="77"/>
      <c r="G38" s="77"/>
      <c r="H38" s="78"/>
      <c r="I38" s="79"/>
      <c r="J38" s="78">
        <f>'Bang TH nop'!H37</f>
        <v>0</v>
      </c>
      <c r="K38" s="78"/>
      <c r="L38" s="78"/>
      <c r="M38" s="77"/>
      <c r="N38" s="79"/>
      <c r="O38" s="78"/>
      <c r="P38" s="80"/>
      <c r="Q38" s="78"/>
      <c r="R38" s="78"/>
      <c r="S38" s="78"/>
      <c r="T38" s="77"/>
      <c r="U38" s="77"/>
      <c r="V38" s="77"/>
      <c r="W38" s="77"/>
      <c r="X38" s="81"/>
      <c r="Y38" s="81"/>
      <c r="Z38" s="77"/>
      <c r="AA38" s="81"/>
      <c r="AB38" s="155"/>
      <c r="AC38" s="159"/>
      <c r="AD38" s="142"/>
      <c r="AH38" s="85"/>
    </row>
    <row r="39" spans="1:34" ht="15.2" hidden="1" customHeight="1">
      <c r="A39" s="210"/>
      <c r="B39" s="236"/>
      <c r="C39" s="210"/>
      <c r="D39" s="237"/>
      <c r="E39" s="238"/>
      <c r="F39" s="82"/>
      <c r="G39" s="82"/>
      <c r="H39" s="82"/>
      <c r="I39" s="83"/>
      <c r="J39" s="83">
        <f t="shared" ref="J39" si="37">D39/26*J38</f>
        <v>0</v>
      </c>
      <c r="K39" s="83"/>
      <c r="L39" s="82"/>
      <c r="M39" s="82"/>
      <c r="N39" s="83"/>
      <c r="O39" s="82"/>
      <c r="P39" s="83"/>
      <c r="Q39" s="83"/>
      <c r="R39" s="82"/>
      <c r="S39" s="82"/>
      <c r="T39" s="82"/>
      <c r="U39" s="82"/>
      <c r="V39" s="82"/>
      <c r="W39" s="82"/>
      <c r="X39" s="83"/>
      <c r="Y39" s="82"/>
      <c r="Z39" s="82"/>
      <c r="AA39" s="83"/>
      <c r="AB39" s="156"/>
      <c r="AC39" s="167">
        <f>+IFERROR(VLOOKUP(C38,'[8]Bản gốc T02'!$C$1:$J$1000,8,0),0)</f>
        <v>0</v>
      </c>
      <c r="AD39" s="84">
        <f>+IFERROR(VLOOKUP(C38,'[8]Bản gốc T02'!$C$1:$F$1000,4,0),0)</f>
        <v>0</v>
      </c>
      <c r="AH39" s="148">
        <f>+X39-K39</f>
        <v>0</v>
      </c>
    </row>
    <row r="40" spans="1:34" ht="15.75" hidden="1" customHeight="1">
      <c r="A40" s="209"/>
      <c r="B40" s="211"/>
      <c r="C40" s="213"/>
      <c r="D40" s="214"/>
      <c r="E40" s="215"/>
      <c r="F40" s="77"/>
      <c r="G40" s="77"/>
      <c r="H40" s="78"/>
      <c r="I40" s="79"/>
      <c r="J40" s="78">
        <f>'Bang TH nop'!H39</f>
        <v>0</v>
      </c>
      <c r="K40" s="78"/>
      <c r="L40" s="78"/>
      <c r="M40" s="77"/>
      <c r="N40" s="79"/>
      <c r="O40" s="78"/>
      <c r="P40" s="80"/>
      <c r="Q40" s="78"/>
      <c r="R40" s="78"/>
      <c r="S40" s="78"/>
      <c r="T40" s="77"/>
      <c r="U40" s="77"/>
      <c r="V40" s="77"/>
      <c r="W40" s="77"/>
      <c r="X40" s="81"/>
      <c r="Y40" s="81"/>
      <c r="Z40" s="77"/>
      <c r="AA40" s="81"/>
      <c r="AB40" s="155"/>
      <c r="AC40" s="159"/>
      <c r="AD40" s="142"/>
      <c r="AH40" s="85"/>
    </row>
    <row r="41" spans="1:34" ht="15.75" hidden="1" customHeight="1">
      <c r="A41" s="210"/>
      <c r="B41" s="236"/>
      <c r="C41" s="210"/>
      <c r="D41" s="237"/>
      <c r="E41" s="238"/>
      <c r="F41" s="82"/>
      <c r="G41" s="82"/>
      <c r="H41" s="82"/>
      <c r="I41" s="83"/>
      <c r="J41" s="83">
        <f t="shared" ref="J41" si="38">D41/26*J40</f>
        <v>0</v>
      </c>
      <c r="K41" s="83"/>
      <c r="L41" s="82"/>
      <c r="M41" s="82"/>
      <c r="N41" s="83"/>
      <c r="O41" s="82"/>
      <c r="P41" s="83"/>
      <c r="Q41" s="83"/>
      <c r="R41" s="82"/>
      <c r="S41" s="82"/>
      <c r="T41" s="82"/>
      <c r="U41" s="82"/>
      <c r="V41" s="82"/>
      <c r="W41" s="82"/>
      <c r="X41" s="83"/>
      <c r="Y41" s="82"/>
      <c r="Z41" s="82"/>
      <c r="AA41" s="83"/>
      <c r="AB41" s="156"/>
      <c r="AC41" s="167">
        <f>+IFERROR(VLOOKUP(C40,'[8]Bản gốc T02'!$C$1:$J$1000,8,0),0)</f>
        <v>0</v>
      </c>
      <c r="AD41" s="84">
        <f>+IFERROR(VLOOKUP(C40,'[8]Bản gốc T02'!$C$1:$F$1000,4,0),0)</f>
        <v>0</v>
      </c>
      <c r="AH41" s="148">
        <f>+X41-K41</f>
        <v>0</v>
      </c>
    </row>
    <row r="42" spans="1:34" ht="15.75" hidden="1" customHeight="1">
      <c r="A42" s="209"/>
      <c r="B42" s="211"/>
      <c r="C42" s="213"/>
      <c r="D42" s="214"/>
      <c r="E42" s="215"/>
      <c r="F42" s="77"/>
      <c r="G42" s="77"/>
      <c r="H42" s="78"/>
      <c r="I42" s="79"/>
      <c r="J42" s="78">
        <f>'Bang TH nop'!H41</f>
        <v>0</v>
      </c>
      <c r="K42" s="78"/>
      <c r="L42" s="78"/>
      <c r="M42" s="77"/>
      <c r="N42" s="79"/>
      <c r="O42" s="78"/>
      <c r="P42" s="80"/>
      <c r="Q42" s="78"/>
      <c r="R42" s="78"/>
      <c r="S42" s="78"/>
      <c r="T42" s="77"/>
      <c r="U42" s="77"/>
      <c r="V42" s="77"/>
      <c r="W42" s="77"/>
      <c r="X42" s="81"/>
      <c r="Y42" s="81"/>
      <c r="Z42" s="77"/>
      <c r="AA42" s="81"/>
      <c r="AB42" s="155"/>
      <c r="AC42" s="159"/>
      <c r="AD42" s="142"/>
      <c r="AH42" s="85"/>
    </row>
    <row r="43" spans="1:34" ht="15.75" hidden="1" customHeight="1">
      <c r="A43" s="210"/>
      <c r="B43" s="236"/>
      <c r="C43" s="210"/>
      <c r="D43" s="237"/>
      <c r="E43" s="238"/>
      <c r="F43" s="82"/>
      <c r="G43" s="82"/>
      <c r="H43" s="82"/>
      <c r="I43" s="83"/>
      <c r="J43" s="83">
        <f t="shared" ref="J43" si="39">D43/26*J42</f>
        <v>0</v>
      </c>
      <c r="K43" s="83"/>
      <c r="L43" s="82"/>
      <c r="M43" s="82"/>
      <c r="N43" s="83"/>
      <c r="O43" s="82"/>
      <c r="P43" s="83"/>
      <c r="Q43" s="83"/>
      <c r="R43" s="82"/>
      <c r="S43" s="82"/>
      <c r="T43" s="82"/>
      <c r="U43" s="82"/>
      <c r="V43" s="82"/>
      <c r="W43" s="82"/>
      <c r="X43" s="83"/>
      <c r="Y43" s="82"/>
      <c r="Z43" s="82"/>
      <c r="AA43" s="83"/>
      <c r="AB43" s="156"/>
      <c r="AC43" s="167">
        <f>+IFERROR(VLOOKUP(C42,'[8]Bản gốc T02'!$C$1:$J$1000,8,0),0)</f>
        <v>0</v>
      </c>
      <c r="AD43" s="84">
        <f>+IFERROR(VLOOKUP(C42,'[8]Bản gốc T02'!$C$1:$F$1000,4,0),0)</f>
        <v>0</v>
      </c>
      <c r="AH43" s="148">
        <f>+X43-K43</f>
        <v>0</v>
      </c>
    </row>
    <row r="44" spans="1:34" ht="14.25" hidden="1" customHeight="1">
      <c r="A44" s="209"/>
      <c r="B44" s="211"/>
      <c r="C44" s="213"/>
      <c r="D44" s="214"/>
      <c r="E44" s="215"/>
      <c r="F44" s="77"/>
      <c r="G44" s="77"/>
      <c r="H44" s="78"/>
      <c r="I44" s="79"/>
      <c r="J44" s="78">
        <f>'Bang TH nop'!H43</f>
        <v>0</v>
      </c>
      <c r="K44" s="78"/>
      <c r="L44" s="78"/>
      <c r="M44" s="77"/>
      <c r="N44" s="79"/>
      <c r="O44" s="78"/>
      <c r="P44" s="80"/>
      <c r="Q44" s="78"/>
      <c r="R44" s="78"/>
      <c r="S44" s="78"/>
      <c r="T44" s="77"/>
      <c r="U44" s="77"/>
      <c r="V44" s="77"/>
      <c r="W44" s="77"/>
      <c r="X44" s="81"/>
      <c r="Y44" s="81"/>
      <c r="Z44" s="77"/>
      <c r="AA44" s="81"/>
      <c r="AB44" s="155"/>
      <c r="AC44" s="159"/>
      <c r="AD44" s="142"/>
      <c r="AH44" s="85"/>
    </row>
    <row r="45" spans="1:34" ht="14.25" hidden="1" customHeight="1">
      <c r="A45" s="210"/>
      <c r="B45" s="236"/>
      <c r="C45" s="210"/>
      <c r="D45" s="237"/>
      <c r="E45" s="238"/>
      <c r="F45" s="82"/>
      <c r="G45" s="82"/>
      <c r="H45" s="82"/>
      <c r="I45" s="83"/>
      <c r="J45" s="83">
        <f t="shared" ref="J45" si="40">D45/26*J44</f>
        <v>0</v>
      </c>
      <c r="K45" s="83"/>
      <c r="L45" s="82"/>
      <c r="M45" s="82"/>
      <c r="N45" s="83"/>
      <c r="O45" s="82"/>
      <c r="P45" s="83"/>
      <c r="Q45" s="83"/>
      <c r="R45" s="82"/>
      <c r="S45" s="82"/>
      <c r="T45" s="82"/>
      <c r="U45" s="82"/>
      <c r="V45" s="82"/>
      <c r="W45" s="82"/>
      <c r="X45" s="83"/>
      <c r="Y45" s="82"/>
      <c r="Z45" s="82"/>
      <c r="AA45" s="83"/>
      <c r="AB45" s="156"/>
      <c r="AC45" s="167">
        <f>+IFERROR(VLOOKUP(C44,'[8]Bản gốc T02'!$C$1:$J$1000,8,0),0)</f>
        <v>0</v>
      </c>
      <c r="AD45" s="84">
        <f>+IFERROR(VLOOKUP(C44,'[8]Bản gốc T02'!$C$1:$F$1000,4,0),0)</f>
        <v>0</v>
      </c>
      <c r="AH45" s="148">
        <f>+X45-K45</f>
        <v>0</v>
      </c>
    </row>
    <row r="46" spans="1:34" ht="14.25" hidden="1" customHeight="1">
      <c r="A46" s="209"/>
      <c r="B46" s="211"/>
      <c r="C46" s="213"/>
      <c r="D46" s="214"/>
      <c r="E46" s="215"/>
      <c r="F46" s="77"/>
      <c r="G46" s="77"/>
      <c r="H46" s="78"/>
      <c r="I46" s="79"/>
      <c r="J46" s="78">
        <f>'Bang TH nop'!H45</f>
        <v>0</v>
      </c>
      <c r="K46" s="78"/>
      <c r="L46" s="78"/>
      <c r="M46" s="77"/>
      <c r="N46" s="79"/>
      <c r="O46" s="78"/>
      <c r="P46" s="80"/>
      <c r="Q46" s="78"/>
      <c r="R46" s="78"/>
      <c r="S46" s="78"/>
      <c r="T46" s="77"/>
      <c r="U46" s="77"/>
      <c r="V46" s="77"/>
      <c r="W46" s="77"/>
      <c r="X46" s="81"/>
      <c r="Y46" s="81"/>
      <c r="Z46" s="77"/>
      <c r="AA46" s="81"/>
      <c r="AB46" s="155"/>
      <c r="AC46" s="159"/>
      <c r="AD46" s="142"/>
      <c r="AH46" s="85"/>
    </row>
    <row r="47" spans="1:34" ht="14.25" hidden="1" customHeight="1">
      <c r="A47" s="210"/>
      <c r="B47" s="236"/>
      <c r="C47" s="210"/>
      <c r="D47" s="237"/>
      <c r="E47" s="238"/>
      <c r="F47" s="82"/>
      <c r="G47" s="82"/>
      <c r="H47" s="82"/>
      <c r="I47" s="83"/>
      <c r="J47" s="83">
        <f t="shared" ref="J47" si="41">D47/26*J46</f>
        <v>0</v>
      </c>
      <c r="K47" s="83"/>
      <c r="L47" s="82"/>
      <c r="M47" s="82"/>
      <c r="N47" s="83"/>
      <c r="O47" s="82"/>
      <c r="P47" s="83"/>
      <c r="Q47" s="83"/>
      <c r="R47" s="82"/>
      <c r="S47" s="82"/>
      <c r="T47" s="82"/>
      <c r="U47" s="82"/>
      <c r="V47" s="82"/>
      <c r="W47" s="82"/>
      <c r="X47" s="83"/>
      <c r="Y47" s="82"/>
      <c r="Z47" s="82"/>
      <c r="AA47" s="83"/>
      <c r="AB47" s="156"/>
      <c r="AC47" s="167">
        <f>+IFERROR(VLOOKUP(C46,'[8]Bản gốc T02'!$C$1:$J$1000,8,0),0)</f>
        <v>0</v>
      </c>
      <c r="AD47" s="84">
        <f>+IFERROR(VLOOKUP(C46,'[8]Bản gốc T02'!$C$1:$F$1000,4,0),0)</f>
        <v>0</v>
      </c>
      <c r="AH47" s="148">
        <f>+X47-K47</f>
        <v>0</v>
      </c>
    </row>
    <row r="48" spans="1:34" ht="14.25" hidden="1" customHeight="1">
      <c r="A48" s="209"/>
      <c r="B48" s="211"/>
      <c r="C48" s="213"/>
      <c r="D48" s="214"/>
      <c r="E48" s="215"/>
      <c r="F48" s="77"/>
      <c r="G48" s="77"/>
      <c r="H48" s="78"/>
      <c r="I48" s="79"/>
      <c r="J48" s="78">
        <f>'Bang TH nop'!H47</f>
        <v>0</v>
      </c>
      <c r="K48" s="78"/>
      <c r="L48" s="78"/>
      <c r="M48" s="77"/>
      <c r="N48" s="79"/>
      <c r="O48" s="78"/>
      <c r="P48" s="80"/>
      <c r="Q48" s="78"/>
      <c r="R48" s="78"/>
      <c r="S48" s="78"/>
      <c r="T48" s="77"/>
      <c r="U48" s="77"/>
      <c r="V48" s="77"/>
      <c r="W48" s="77"/>
      <c r="X48" s="81"/>
      <c r="Y48" s="81"/>
      <c r="Z48" s="77"/>
      <c r="AA48" s="81"/>
      <c r="AB48" s="155"/>
      <c r="AC48" s="159"/>
      <c r="AD48" s="142"/>
      <c r="AH48" s="85"/>
    </row>
    <row r="49" spans="1:34" ht="14.25" hidden="1" customHeight="1">
      <c r="A49" s="210"/>
      <c r="B49" s="236"/>
      <c r="C49" s="210"/>
      <c r="D49" s="237"/>
      <c r="E49" s="238"/>
      <c r="F49" s="82"/>
      <c r="G49" s="82"/>
      <c r="H49" s="82"/>
      <c r="I49" s="83"/>
      <c r="J49" s="83">
        <f t="shared" ref="J49" si="42">D49/26*J48</f>
        <v>0</v>
      </c>
      <c r="K49" s="83"/>
      <c r="L49" s="82"/>
      <c r="M49" s="82"/>
      <c r="N49" s="83"/>
      <c r="O49" s="82"/>
      <c r="P49" s="83"/>
      <c r="Q49" s="83"/>
      <c r="R49" s="82"/>
      <c r="S49" s="82"/>
      <c r="T49" s="82"/>
      <c r="U49" s="82"/>
      <c r="V49" s="82"/>
      <c r="W49" s="82"/>
      <c r="X49" s="83"/>
      <c r="Y49" s="82"/>
      <c r="Z49" s="82"/>
      <c r="AA49" s="83"/>
      <c r="AB49" s="156"/>
      <c r="AC49" s="167">
        <f>+IFERROR(VLOOKUP(C48,'[8]Bản gốc T02'!$C$1:$J$1000,8,0),0)</f>
        <v>0</v>
      </c>
      <c r="AD49" s="84">
        <f>+IFERROR(VLOOKUP(C48,'[8]Bản gốc T02'!$C$1:$F$1000,4,0),0)</f>
        <v>0</v>
      </c>
      <c r="AH49" s="148">
        <f>+X49-K49</f>
        <v>0</v>
      </c>
    </row>
    <row r="50" spans="1:34" ht="14.25" hidden="1" customHeight="1">
      <c r="A50" s="209"/>
      <c r="B50" s="211"/>
      <c r="C50" s="213"/>
      <c r="D50" s="214"/>
      <c r="E50" s="215"/>
      <c r="F50" s="77"/>
      <c r="G50" s="77"/>
      <c r="H50" s="78"/>
      <c r="I50" s="79"/>
      <c r="J50" s="78">
        <f>'Bang TH nop'!H49</f>
        <v>0</v>
      </c>
      <c r="K50" s="78"/>
      <c r="L50" s="78"/>
      <c r="M50" s="77"/>
      <c r="N50" s="79"/>
      <c r="O50" s="78"/>
      <c r="P50" s="80"/>
      <c r="Q50" s="78"/>
      <c r="R50" s="78"/>
      <c r="S50" s="78"/>
      <c r="T50" s="77"/>
      <c r="U50" s="77"/>
      <c r="V50" s="77"/>
      <c r="W50" s="77"/>
      <c r="X50" s="81"/>
      <c r="Y50" s="81"/>
      <c r="Z50" s="77"/>
      <c r="AA50" s="81"/>
      <c r="AB50" s="155"/>
      <c r="AC50" s="159"/>
      <c r="AD50" s="142"/>
      <c r="AH50" s="85"/>
    </row>
    <row r="51" spans="1:34" ht="14.25" hidden="1" customHeight="1">
      <c r="A51" s="210"/>
      <c r="B51" s="236"/>
      <c r="C51" s="210"/>
      <c r="D51" s="237"/>
      <c r="E51" s="238"/>
      <c r="F51" s="82"/>
      <c r="G51" s="82"/>
      <c r="H51" s="82"/>
      <c r="I51" s="83"/>
      <c r="J51" s="83">
        <f t="shared" ref="J51" si="43">D51/26*J50</f>
        <v>0</v>
      </c>
      <c r="K51" s="83"/>
      <c r="L51" s="82"/>
      <c r="M51" s="82"/>
      <c r="N51" s="83"/>
      <c r="O51" s="82"/>
      <c r="P51" s="83"/>
      <c r="Q51" s="83"/>
      <c r="R51" s="82"/>
      <c r="S51" s="82"/>
      <c r="T51" s="82"/>
      <c r="U51" s="82"/>
      <c r="V51" s="82"/>
      <c r="W51" s="82"/>
      <c r="X51" s="83"/>
      <c r="Y51" s="82"/>
      <c r="Z51" s="82"/>
      <c r="AA51" s="83"/>
      <c r="AB51" s="156"/>
      <c r="AC51" s="167">
        <f>+IFERROR(VLOOKUP(C50,'[8]Bản gốc T02'!$C$1:$J$1000,8,0),0)</f>
        <v>0</v>
      </c>
      <c r="AD51" s="84">
        <f>+IFERROR(VLOOKUP(C50,'[8]Bản gốc T02'!$C$1:$F$1000,4,0),0)</f>
        <v>0</v>
      </c>
      <c r="AH51" s="148">
        <f>+X51-K51</f>
        <v>0</v>
      </c>
    </row>
    <row r="52" spans="1:34" ht="14.25" hidden="1" customHeight="1">
      <c r="A52" s="209"/>
      <c r="B52" s="211"/>
      <c r="C52" s="213"/>
      <c r="D52" s="214"/>
      <c r="E52" s="215"/>
      <c r="F52" s="77"/>
      <c r="G52" s="77"/>
      <c r="H52" s="78"/>
      <c r="I52" s="79"/>
      <c r="J52" s="78">
        <f>'Bang TH nop'!H51</f>
        <v>0</v>
      </c>
      <c r="K52" s="78"/>
      <c r="L52" s="78"/>
      <c r="M52" s="77"/>
      <c r="N52" s="79"/>
      <c r="O52" s="78"/>
      <c r="P52" s="80"/>
      <c r="Q52" s="78"/>
      <c r="R52" s="78"/>
      <c r="S52" s="78"/>
      <c r="T52" s="77"/>
      <c r="U52" s="77"/>
      <c r="V52" s="77"/>
      <c r="W52" s="77"/>
      <c r="X52" s="81"/>
      <c r="Y52" s="81"/>
      <c r="Z52" s="77"/>
      <c r="AA52" s="81"/>
      <c r="AB52" s="155"/>
      <c r="AC52" s="159"/>
      <c r="AD52" s="142"/>
      <c r="AH52" s="85"/>
    </row>
    <row r="53" spans="1:34" ht="14.25" hidden="1" customHeight="1">
      <c r="A53" s="210"/>
      <c r="B53" s="236"/>
      <c r="C53" s="210"/>
      <c r="D53" s="237"/>
      <c r="E53" s="238"/>
      <c r="F53" s="82"/>
      <c r="G53" s="82"/>
      <c r="H53" s="82"/>
      <c r="I53" s="83"/>
      <c r="J53" s="83">
        <f t="shared" ref="J53" si="44">D53/26*J52</f>
        <v>0</v>
      </c>
      <c r="K53" s="83"/>
      <c r="L53" s="82"/>
      <c r="M53" s="82"/>
      <c r="N53" s="83"/>
      <c r="O53" s="82"/>
      <c r="P53" s="83"/>
      <c r="Q53" s="83"/>
      <c r="R53" s="82"/>
      <c r="S53" s="82"/>
      <c r="T53" s="82"/>
      <c r="U53" s="82"/>
      <c r="V53" s="82"/>
      <c r="W53" s="82"/>
      <c r="X53" s="83"/>
      <c r="Y53" s="82"/>
      <c r="Z53" s="82"/>
      <c r="AA53" s="83"/>
      <c r="AB53" s="156"/>
      <c r="AC53" s="167">
        <f>+IFERROR(VLOOKUP(C52,'[8]Bản gốc T02'!$C$1:$J$1000,8,0),0)</f>
        <v>0</v>
      </c>
      <c r="AD53" s="84">
        <f>+IFERROR(VLOOKUP(C52,'[8]Bản gốc T02'!$C$1:$F$1000,4,0),0)</f>
        <v>0</v>
      </c>
      <c r="AH53" s="148">
        <f>+X53-K53</f>
        <v>0</v>
      </c>
    </row>
    <row r="54" spans="1:34" ht="14.25" hidden="1" customHeight="1">
      <c r="A54" s="209"/>
      <c r="B54" s="211"/>
      <c r="C54" s="213"/>
      <c r="D54" s="214"/>
      <c r="E54" s="215"/>
      <c r="F54" s="77"/>
      <c r="G54" s="77"/>
      <c r="H54" s="78"/>
      <c r="I54" s="79"/>
      <c r="J54" s="78">
        <f>'Bang TH nop'!H53</f>
        <v>0</v>
      </c>
      <c r="K54" s="78"/>
      <c r="L54" s="78"/>
      <c r="M54" s="77"/>
      <c r="N54" s="79"/>
      <c r="O54" s="78"/>
      <c r="P54" s="80"/>
      <c r="Q54" s="78"/>
      <c r="R54" s="78"/>
      <c r="S54" s="78"/>
      <c r="T54" s="77"/>
      <c r="U54" s="77"/>
      <c r="V54" s="77"/>
      <c r="W54" s="77"/>
      <c r="X54" s="81"/>
      <c r="Y54" s="81"/>
      <c r="Z54" s="77"/>
      <c r="AA54" s="81"/>
      <c r="AB54" s="155"/>
      <c r="AC54" s="159"/>
      <c r="AD54" s="142"/>
      <c r="AH54" s="85"/>
    </row>
    <row r="55" spans="1:34" ht="14.25" hidden="1" customHeight="1">
      <c r="A55" s="210"/>
      <c r="B55" s="236"/>
      <c r="C55" s="210"/>
      <c r="D55" s="237"/>
      <c r="E55" s="238"/>
      <c r="F55" s="82"/>
      <c r="G55" s="82"/>
      <c r="H55" s="82"/>
      <c r="I55" s="83"/>
      <c r="J55" s="83">
        <f t="shared" ref="J55" si="45">D55/26*J54</f>
        <v>0</v>
      </c>
      <c r="K55" s="83"/>
      <c r="L55" s="82"/>
      <c r="M55" s="82"/>
      <c r="N55" s="83"/>
      <c r="O55" s="82"/>
      <c r="P55" s="83"/>
      <c r="Q55" s="83"/>
      <c r="R55" s="82"/>
      <c r="S55" s="82"/>
      <c r="T55" s="82"/>
      <c r="U55" s="82"/>
      <c r="V55" s="82"/>
      <c r="W55" s="82"/>
      <c r="X55" s="83"/>
      <c r="Y55" s="82"/>
      <c r="Z55" s="82"/>
      <c r="AA55" s="83"/>
      <c r="AB55" s="156"/>
      <c r="AC55" s="167">
        <f>+IFERROR(VLOOKUP(C54,'[8]Bản gốc T02'!$C$1:$J$1000,8,0),0)</f>
        <v>0</v>
      </c>
      <c r="AD55" s="84">
        <f>+IFERROR(VLOOKUP(C54,'[8]Bản gốc T02'!$C$1:$F$1000,4,0),0)</f>
        <v>0</v>
      </c>
      <c r="AH55" s="148">
        <f>+X55-K55</f>
        <v>0</v>
      </c>
    </row>
    <row r="56" spans="1:34" ht="14.25" hidden="1" customHeight="1">
      <c r="A56" s="209"/>
      <c r="B56" s="211"/>
      <c r="C56" s="213"/>
      <c r="D56" s="214"/>
      <c r="E56" s="215"/>
      <c r="F56" s="77"/>
      <c r="G56" s="77"/>
      <c r="H56" s="78"/>
      <c r="I56" s="79"/>
      <c r="J56" s="78">
        <f>'Bang TH nop'!H55</f>
        <v>0</v>
      </c>
      <c r="K56" s="78"/>
      <c r="L56" s="78"/>
      <c r="M56" s="77"/>
      <c r="N56" s="79"/>
      <c r="O56" s="78"/>
      <c r="P56" s="80"/>
      <c r="Q56" s="78"/>
      <c r="R56" s="78"/>
      <c r="S56" s="78"/>
      <c r="T56" s="77"/>
      <c r="U56" s="77"/>
      <c r="V56" s="77"/>
      <c r="W56" s="77"/>
      <c r="X56" s="81"/>
      <c r="Y56" s="81"/>
      <c r="Z56" s="77"/>
      <c r="AA56" s="81"/>
      <c r="AB56" s="155"/>
      <c r="AC56" s="159"/>
      <c r="AD56" s="142"/>
      <c r="AH56" s="85"/>
    </row>
    <row r="57" spans="1:34" ht="14.25" hidden="1" customHeight="1">
      <c r="A57" s="210"/>
      <c r="B57" s="236"/>
      <c r="C57" s="210"/>
      <c r="D57" s="237"/>
      <c r="E57" s="238"/>
      <c r="F57" s="82"/>
      <c r="G57" s="82"/>
      <c r="H57" s="82"/>
      <c r="I57" s="83"/>
      <c r="J57" s="83">
        <f t="shared" ref="J57" si="46">D57/26*J56</f>
        <v>0</v>
      </c>
      <c r="K57" s="83"/>
      <c r="L57" s="82"/>
      <c r="M57" s="82"/>
      <c r="N57" s="83"/>
      <c r="O57" s="82"/>
      <c r="P57" s="83"/>
      <c r="Q57" s="83"/>
      <c r="R57" s="82"/>
      <c r="S57" s="82"/>
      <c r="T57" s="82"/>
      <c r="U57" s="82"/>
      <c r="V57" s="82"/>
      <c r="W57" s="82"/>
      <c r="X57" s="83"/>
      <c r="Y57" s="82"/>
      <c r="Z57" s="82"/>
      <c r="AA57" s="83"/>
      <c r="AB57" s="156"/>
      <c r="AC57" s="167">
        <f>+IFERROR(VLOOKUP(C56,'[8]Bản gốc T02'!$C$1:$J$1000,8,0),0)</f>
        <v>0</v>
      </c>
      <c r="AD57" s="84">
        <f>+IFERROR(VLOOKUP(C56,'[8]Bản gốc T02'!$C$1:$F$1000,4,0),0)</f>
        <v>0</v>
      </c>
      <c r="AH57" s="148">
        <f>+X57-K57</f>
        <v>0</v>
      </c>
    </row>
    <row r="58" spans="1:34" ht="14.25" hidden="1" customHeight="1">
      <c r="A58" s="209"/>
      <c r="B58" s="211"/>
      <c r="C58" s="213"/>
      <c r="D58" s="214"/>
      <c r="E58" s="215"/>
      <c r="F58" s="77"/>
      <c r="G58" s="77"/>
      <c r="H58" s="78"/>
      <c r="I58" s="79"/>
      <c r="J58" s="78">
        <f>'Bang TH nop'!H57</f>
        <v>0</v>
      </c>
      <c r="K58" s="78"/>
      <c r="L58" s="78"/>
      <c r="M58" s="77"/>
      <c r="N58" s="79"/>
      <c r="O58" s="78"/>
      <c r="P58" s="80"/>
      <c r="Q58" s="78"/>
      <c r="R58" s="78"/>
      <c r="S58" s="78"/>
      <c r="T58" s="77"/>
      <c r="U58" s="77"/>
      <c r="V58" s="77"/>
      <c r="W58" s="77"/>
      <c r="X58" s="81"/>
      <c r="Y58" s="81"/>
      <c r="Z58" s="77"/>
      <c r="AA58" s="81"/>
      <c r="AB58" s="155"/>
      <c r="AC58" s="159"/>
      <c r="AD58" s="142"/>
      <c r="AH58" s="85"/>
    </row>
    <row r="59" spans="1:34" ht="14.25" hidden="1" customHeight="1">
      <c r="A59" s="210"/>
      <c r="B59" s="236"/>
      <c r="C59" s="210"/>
      <c r="D59" s="237"/>
      <c r="E59" s="238"/>
      <c r="F59" s="82"/>
      <c r="G59" s="82"/>
      <c r="H59" s="82"/>
      <c r="I59" s="83"/>
      <c r="J59" s="83">
        <f t="shared" ref="J59" si="47">D59/26*J58</f>
        <v>0</v>
      </c>
      <c r="K59" s="83"/>
      <c r="L59" s="82"/>
      <c r="M59" s="82"/>
      <c r="N59" s="83"/>
      <c r="O59" s="82"/>
      <c r="P59" s="83"/>
      <c r="Q59" s="83"/>
      <c r="R59" s="82"/>
      <c r="S59" s="82"/>
      <c r="T59" s="82"/>
      <c r="U59" s="82"/>
      <c r="V59" s="82"/>
      <c r="W59" s="82"/>
      <c r="X59" s="83"/>
      <c r="Y59" s="82"/>
      <c r="Z59" s="82"/>
      <c r="AA59" s="83"/>
      <c r="AB59" s="156"/>
      <c r="AC59" s="167">
        <f>+IFERROR(VLOOKUP(C58,'[8]Bản gốc T02'!$C$1:$J$1000,8,0),0)</f>
        <v>0</v>
      </c>
      <c r="AD59" s="84">
        <f>+IFERROR(VLOOKUP(C58,'[8]Bản gốc T02'!$C$1:$F$1000,4,0),0)</f>
        <v>0</v>
      </c>
      <c r="AH59" s="148">
        <f>+X59-K59</f>
        <v>0</v>
      </c>
    </row>
    <row r="60" spans="1:34" ht="14.25" hidden="1" customHeight="1">
      <c r="A60" s="209"/>
      <c r="B60" s="211"/>
      <c r="C60" s="213"/>
      <c r="D60" s="214"/>
      <c r="E60" s="215"/>
      <c r="F60" s="77"/>
      <c r="G60" s="77"/>
      <c r="H60" s="78"/>
      <c r="I60" s="79"/>
      <c r="J60" s="78">
        <f>'Bang TH nop'!H59</f>
        <v>0</v>
      </c>
      <c r="K60" s="78"/>
      <c r="L60" s="78"/>
      <c r="M60" s="77"/>
      <c r="N60" s="79"/>
      <c r="O60" s="78"/>
      <c r="P60" s="80"/>
      <c r="Q60" s="78"/>
      <c r="R60" s="78"/>
      <c r="S60" s="78"/>
      <c r="T60" s="77"/>
      <c r="U60" s="77"/>
      <c r="V60" s="77"/>
      <c r="W60" s="77"/>
      <c r="X60" s="81"/>
      <c r="Y60" s="81"/>
      <c r="Z60" s="77"/>
      <c r="AA60" s="81"/>
      <c r="AB60" s="155"/>
      <c r="AC60" s="159"/>
      <c r="AD60" s="142"/>
      <c r="AH60" s="85"/>
    </row>
    <row r="61" spans="1:34" ht="14.25" hidden="1" customHeight="1">
      <c r="A61" s="210"/>
      <c r="B61" s="236"/>
      <c r="C61" s="210"/>
      <c r="D61" s="237"/>
      <c r="E61" s="238"/>
      <c r="F61" s="82"/>
      <c r="G61" s="82"/>
      <c r="H61" s="82"/>
      <c r="I61" s="83"/>
      <c r="J61" s="83">
        <f t="shared" ref="J61" si="48">D61/26*J60</f>
        <v>0</v>
      </c>
      <c r="K61" s="83"/>
      <c r="L61" s="82"/>
      <c r="M61" s="82"/>
      <c r="N61" s="83"/>
      <c r="O61" s="82"/>
      <c r="P61" s="83"/>
      <c r="Q61" s="83"/>
      <c r="R61" s="82"/>
      <c r="S61" s="82"/>
      <c r="T61" s="82"/>
      <c r="U61" s="82"/>
      <c r="V61" s="82"/>
      <c r="W61" s="82"/>
      <c r="X61" s="83"/>
      <c r="Y61" s="82"/>
      <c r="Z61" s="82"/>
      <c r="AA61" s="83"/>
      <c r="AB61" s="156"/>
      <c r="AC61" s="167">
        <f>+IFERROR(VLOOKUP(C60,'[8]Bản gốc T02'!$C$1:$J$1000,8,0),0)</f>
        <v>0</v>
      </c>
      <c r="AD61" s="84">
        <f>+IFERROR(VLOOKUP(C60,'[8]Bản gốc T02'!$C$1:$F$1000,4,0),0)</f>
        <v>0</v>
      </c>
      <c r="AH61" s="148">
        <f>+X61-K61</f>
        <v>0</v>
      </c>
    </row>
    <row r="62" spans="1:34" ht="14.25" hidden="1" customHeight="1">
      <c r="A62" s="209"/>
      <c r="B62" s="211"/>
      <c r="C62" s="213"/>
      <c r="D62" s="214"/>
      <c r="E62" s="215"/>
      <c r="F62" s="77"/>
      <c r="G62" s="77"/>
      <c r="H62" s="78"/>
      <c r="I62" s="79"/>
      <c r="J62" s="78">
        <f>'Bang TH nop'!H61</f>
        <v>0</v>
      </c>
      <c r="K62" s="78"/>
      <c r="L62" s="78"/>
      <c r="M62" s="77"/>
      <c r="N62" s="79"/>
      <c r="O62" s="78"/>
      <c r="P62" s="80"/>
      <c r="Q62" s="78"/>
      <c r="R62" s="78"/>
      <c r="S62" s="78"/>
      <c r="T62" s="77"/>
      <c r="U62" s="77"/>
      <c r="V62" s="77"/>
      <c r="W62" s="77"/>
      <c r="X62" s="81"/>
      <c r="Y62" s="81"/>
      <c r="Z62" s="77"/>
      <c r="AA62" s="81"/>
      <c r="AB62" s="155"/>
      <c r="AC62" s="159"/>
      <c r="AD62" s="142"/>
      <c r="AH62" s="85"/>
    </row>
    <row r="63" spans="1:34" ht="14.25" hidden="1" customHeight="1">
      <c r="A63" s="210"/>
      <c r="B63" s="236"/>
      <c r="C63" s="210"/>
      <c r="D63" s="237"/>
      <c r="E63" s="238"/>
      <c r="F63" s="82"/>
      <c r="G63" s="82"/>
      <c r="H63" s="82"/>
      <c r="I63" s="83"/>
      <c r="J63" s="83">
        <f t="shared" ref="J63" si="49">D63/26*J62</f>
        <v>0</v>
      </c>
      <c r="K63" s="83"/>
      <c r="L63" s="82"/>
      <c r="M63" s="82"/>
      <c r="N63" s="83"/>
      <c r="O63" s="82"/>
      <c r="P63" s="83"/>
      <c r="Q63" s="83"/>
      <c r="R63" s="82"/>
      <c r="S63" s="82"/>
      <c r="T63" s="82"/>
      <c r="U63" s="82"/>
      <c r="V63" s="82"/>
      <c r="W63" s="82"/>
      <c r="X63" s="83"/>
      <c r="Y63" s="82"/>
      <c r="Z63" s="82"/>
      <c r="AA63" s="83"/>
      <c r="AB63" s="156"/>
      <c r="AC63" s="167">
        <f>+IFERROR(VLOOKUP(C62,'[8]Bản gốc T02'!$C$1:$J$1000,8,0),0)</f>
        <v>0</v>
      </c>
      <c r="AD63" s="84">
        <f>+IFERROR(VLOOKUP(C62,'[8]Bản gốc T02'!$C$1:$F$1000,4,0),0)</f>
        <v>0</v>
      </c>
      <c r="AH63" s="148">
        <f>+X63-K63</f>
        <v>0</v>
      </c>
    </row>
    <row r="64" spans="1:34" ht="15.75" hidden="1" customHeight="1">
      <c r="A64" s="209"/>
      <c r="B64" s="211"/>
      <c r="C64" s="213"/>
      <c r="D64" s="214"/>
      <c r="E64" s="215"/>
      <c r="F64" s="77"/>
      <c r="G64" s="77"/>
      <c r="H64" s="78"/>
      <c r="I64" s="79"/>
      <c r="J64" s="78">
        <f>'Bang TH nop'!H63</f>
        <v>0</v>
      </c>
      <c r="K64" s="78"/>
      <c r="L64" s="78"/>
      <c r="M64" s="77"/>
      <c r="N64" s="79"/>
      <c r="O64" s="78"/>
      <c r="P64" s="80"/>
      <c r="Q64" s="78"/>
      <c r="R64" s="78"/>
      <c r="S64" s="78"/>
      <c r="T64" s="77"/>
      <c r="U64" s="77"/>
      <c r="V64" s="77"/>
      <c r="W64" s="77"/>
      <c r="X64" s="81"/>
      <c r="Y64" s="81"/>
      <c r="Z64" s="77"/>
      <c r="AA64" s="81"/>
      <c r="AB64" s="155"/>
      <c r="AC64" s="159"/>
      <c r="AD64" s="142"/>
      <c r="AH64" s="85"/>
    </row>
    <row r="65" spans="1:34" ht="15.75" hidden="1" customHeight="1">
      <c r="A65" s="210"/>
      <c r="B65" s="236"/>
      <c r="C65" s="210"/>
      <c r="D65" s="237"/>
      <c r="E65" s="238"/>
      <c r="F65" s="82"/>
      <c r="G65" s="82"/>
      <c r="H65" s="82"/>
      <c r="I65" s="83"/>
      <c r="J65" s="83">
        <f t="shared" ref="J65" si="50">D65/26*J64</f>
        <v>0</v>
      </c>
      <c r="K65" s="83"/>
      <c r="L65" s="82"/>
      <c r="M65" s="82"/>
      <c r="N65" s="83"/>
      <c r="O65" s="82"/>
      <c r="P65" s="83"/>
      <c r="Q65" s="83"/>
      <c r="R65" s="82"/>
      <c r="S65" s="82"/>
      <c r="T65" s="82"/>
      <c r="U65" s="82"/>
      <c r="V65" s="82"/>
      <c r="W65" s="82"/>
      <c r="X65" s="83"/>
      <c r="Y65" s="82"/>
      <c r="Z65" s="82"/>
      <c r="AA65" s="83"/>
      <c r="AB65" s="156"/>
      <c r="AC65" s="167">
        <f>+IFERROR(VLOOKUP(C64,'[8]Bản gốc T02'!$C$1:$J$1000,8,0),0)</f>
        <v>0</v>
      </c>
      <c r="AD65" s="84">
        <f>+IFERROR(VLOOKUP(C64,'[8]Bản gốc T02'!$C$1:$F$1000,4,0),0)</f>
        <v>0</v>
      </c>
      <c r="AH65" s="148">
        <f>+X65-K65</f>
        <v>0</v>
      </c>
    </row>
    <row r="66" spans="1:34" ht="15.75" hidden="1" customHeight="1">
      <c r="A66" s="209"/>
      <c r="B66" s="211"/>
      <c r="C66" s="213"/>
      <c r="D66" s="214"/>
      <c r="E66" s="215"/>
      <c r="F66" s="77"/>
      <c r="G66" s="77"/>
      <c r="H66" s="78"/>
      <c r="I66" s="79"/>
      <c r="J66" s="78">
        <f>'Bang TH nop'!H65</f>
        <v>0</v>
      </c>
      <c r="K66" s="78"/>
      <c r="L66" s="78"/>
      <c r="M66" s="77"/>
      <c r="N66" s="79"/>
      <c r="O66" s="78"/>
      <c r="P66" s="80"/>
      <c r="Q66" s="78"/>
      <c r="R66" s="78"/>
      <c r="S66" s="78"/>
      <c r="T66" s="77"/>
      <c r="U66" s="77"/>
      <c r="V66" s="77"/>
      <c r="W66" s="77"/>
      <c r="X66" s="81"/>
      <c r="Y66" s="81"/>
      <c r="Z66" s="77"/>
      <c r="AA66" s="81"/>
      <c r="AB66" s="155"/>
      <c r="AC66" s="159"/>
      <c r="AD66" s="142"/>
      <c r="AH66" s="85"/>
    </row>
    <row r="67" spans="1:34" ht="15.75" hidden="1" customHeight="1">
      <c r="A67" s="210"/>
      <c r="B67" s="236"/>
      <c r="C67" s="210"/>
      <c r="D67" s="237"/>
      <c r="E67" s="238"/>
      <c r="F67" s="82"/>
      <c r="G67" s="82"/>
      <c r="H67" s="82"/>
      <c r="I67" s="83"/>
      <c r="J67" s="83">
        <f t="shared" ref="J67" si="51">D67/26*J66</f>
        <v>0</v>
      </c>
      <c r="K67" s="83"/>
      <c r="L67" s="82"/>
      <c r="M67" s="82"/>
      <c r="N67" s="83"/>
      <c r="O67" s="82"/>
      <c r="P67" s="83"/>
      <c r="Q67" s="83"/>
      <c r="R67" s="82"/>
      <c r="S67" s="82"/>
      <c r="T67" s="82"/>
      <c r="U67" s="82"/>
      <c r="V67" s="82"/>
      <c r="W67" s="82"/>
      <c r="X67" s="83"/>
      <c r="Y67" s="82"/>
      <c r="Z67" s="82"/>
      <c r="AA67" s="83"/>
      <c r="AB67" s="156"/>
      <c r="AC67" s="167">
        <f>+IFERROR(VLOOKUP(C66,'[8]Bản gốc T02'!$C$1:$J$1000,8,0),0)</f>
        <v>0</v>
      </c>
      <c r="AD67" s="84">
        <f>+IFERROR(VLOOKUP(C66,'[8]Bản gốc T02'!$C$1:$F$1000,4,0),0)</f>
        <v>0</v>
      </c>
      <c r="AH67" s="148">
        <f>+X67-K67</f>
        <v>0</v>
      </c>
    </row>
    <row r="68" spans="1:34" ht="16.5" hidden="1" customHeight="1">
      <c r="A68" s="209"/>
      <c r="B68" s="211"/>
      <c r="C68" s="213"/>
      <c r="D68" s="214"/>
      <c r="E68" s="215"/>
      <c r="F68" s="77"/>
      <c r="G68" s="77"/>
      <c r="H68" s="78"/>
      <c r="I68" s="79"/>
      <c r="J68" s="78">
        <f>'Bang TH nop'!H67</f>
        <v>0</v>
      </c>
      <c r="K68" s="78"/>
      <c r="L68" s="78"/>
      <c r="M68" s="77"/>
      <c r="N68" s="79"/>
      <c r="O68" s="78"/>
      <c r="P68" s="80"/>
      <c r="Q68" s="78"/>
      <c r="R68" s="78"/>
      <c r="S68" s="78"/>
      <c r="T68" s="77"/>
      <c r="U68" s="77"/>
      <c r="V68" s="77"/>
      <c r="W68" s="77"/>
      <c r="X68" s="81"/>
      <c r="Y68" s="81"/>
      <c r="Z68" s="77"/>
      <c r="AA68" s="81"/>
      <c r="AB68" s="155"/>
      <c r="AC68" s="159"/>
      <c r="AD68" s="142"/>
      <c r="AH68" s="85"/>
    </row>
    <row r="69" spans="1:34" ht="16.5" hidden="1" customHeight="1">
      <c r="A69" s="210"/>
      <c r="B69" s="236"/>
      <c r="C69" s="210"/>
      <c r="D69" s="237"/>
      <c r="E69" s="238"/>
      <c r="F69" s="82"/>
      <c r="G69" s="82"/>
      <c r="H69" s="82"/>
      <c r="I69" s="83"/>
      <c r="J69" s="83">
        <f t="shared" ref="J69" si="52">D69/26*J68</f>
        <v>0</v>
      </c>
      <c r="K69" s="83"/>
      <c r="L69" s="82"/>
      <c r="M69" s="82"/>
      <c r="N69" s="83"/>
      <c r="O69" s="82"/>
      <c r="P69" s="83"/>
      <c r="Q69" s="83"/>
      <c r="R69" s="82"/>
      <c r="S69" s="82"/>
      <c r="T69" s="82"/>
      <c r="U69" s="82"/>
      <c r="V69" s="82"/>
      <c r="W69" s="82"/>
      <c r="X69" s="83"/>
      <c r="Y69" s="82"/>
      <c r="Z69" s="82"/>
      <c r="AA69" s="83"/>
      <c r="AB69" s="156"/>
      <c r="AC69" s="167">
        <f>+IFERROR(VLOOKUP(C68,'[8]Bản gốc T02'!$C$1:$J$1000,8,0),0)</f>
        <v>0</v>
      </c>
      <c r="AD69" s="84">
        <f>+IFERROR(VLOOKUP(C68,'[8]Bản gốc T02'!$C$1:$F$1000,4,0),0)</f>
        <v>0</v>
      </c>
      <c r="AH69" s="148">
        <f>+X69-K69</f>
        <v>0</v>
      </c>
    </row>
    <row r="70" spans="1:34" ht="15.75" hidden="1" customHeight="1">
      <c r="A70" s="209"/>
      <c r="B70" s="211"/>
      <c r="C70" s="213"/>
      <c r="D70" s="214"/>
      <c r="E70" s="215"/>
      <c r="F70" s="77"/>
      <c r="G70" s="77"/>
      <c r="H70" s="78"/>
      <c r="I70" s="79"/>
      <c r="J70" s="78">
        <f>'Bang TH nop'!H69</f>
        <v>0</v>
      </c>
      <c r="K70" s="78"/>
      <c r="L70" s="78"/>
      <c r="M70" s="77"/>
      <c r="N70" s="79"/>
      <c r="O70" s="78"/>
      <c r="P70" s="80"/>
      <c r="Q70" s="78"/>
      <c r="R70" s="78"/>
      <c r="S70" s="78"/>
      <c r="T70" s="77"/>
      <c r="U70" s="77"/>
      <c r="V70" s="77"/>
      <c r="W70" s="77"/>
      <c r="X70" s="81"/>
      <c r="Y70" s="81"/>
      <c r="Z70" s="77"/>
      <c r="AA70" s="81"/>
      <c r="AB70" s="155"/>
      <c r="AC70" s="159"/>
      <c r="AD70" s="142"/>
      <c r="AH70" s="85"/>
    </row>
    <row r="71" spans="1:34" ht="15.75" hidden="1" customHeight="1">
      <c r="A71" s="210"/>
      <c r="B71" s="236"/>
      <c r="C71" s="210"/>
      <c r="D71" s="237"/>
      <c r="E71" s="238"/>
      <c r="F71" s="82"/>
      <c r="G71" s="82"/>
      <c r="H71" s="82"/>
      <c r="I71" s="83"/>
      <c r="J71" s="83">
        <f t="shared" ref="J71" si="53">D71/26*J70</f>
        <v>0</v>
      </c>
      <c r="K71" s="83"/>
      <c r="L71" s="82"/>
      <c r="M71" s="82"/>
      <c r="N71" s="83"/>
      <c r="O71" s="82"/>
      <c r="P71" s="83"/>
      <c r="Q71" s="83"/>
      <c r="R71" s="82"/>
      <c r="S71" s="82"/>
      <c r="T71" s="82"/>
      <c r="U71" s="82"/>
      <c r="V71" s="82"/>
      <c r="W71" s="82"/>
      <c r="X71" s="83"/>
      <c r="Y71" s="82"/>
      <c r="Z71" s="82"/>
      <c r="AA71" s="83"/>
      <c r="AB71" s="156"/>
      <c r="AC71" s="167">
        <f>+IFERROR(VLOOKUP(C70,'[8]Bản gốc T02'!$C$1:$J$1000,8,0),0)</f>
        <v>0</v>
      </c>
      <c r="AD71" s="84">
        <f>+IFERROR(VLOOKUP(C70,'[8]Bản gốc T02'!$C$1:$F$1000,4,0),0)</f>
        <v>0</v>
      </c>
      <c r="AH71" s="148">
        <f>+X71-K71</f>
        <v>0</v>
      </c>
    </row>
    <row r="72" spans="1:34" ht="19.5" hidden="1" customHeight="1">
      <c r="A72" s="209"/>
      <c r="B72" s="211"/>
      <c r="C72" s="213"/>
      <c r="D72" s="214"/>
      <c r="E72" s="215"/>
      <c r="F72" s="77"/>
      <c r="G72" s="77"/>
      <c r="H72" s="78"/>
      <c r="I72" s="79"/>
      <c r="J72" s="78">
        <f>'Bang TH nop'!H71</f>
        <v>0</v>
      </c>
      <c r="K72" s="78"/>
      <c r="L72" s="78"/>
      <c r="M72" s="77"/>
      <c r="N72" s="79"/>
      <c r="O72" s="78"/>
      <c r="P72" s="80"/>
      <c r="Q72" s="78"/>
      <c r="R72" s="78"/>
      <c r="S72" s="78"/>
      <c r="T72" s="77"/>
      <c r="U72" s="77"/>
      <c r="V72" s="77"/>
      <c r="W72" s="77"/>
      <c r="X72" s="81"/>
      <c r="Y72" s="81"/>
      <c r="Z72" s="77"/>
      <c r="AA72" s="81"/>
      <c r="AB72" s="155"/>
      <c r="AC72" s="159"/>
      <c r="AD72" s="142"/>
      <c r="AH72" s="85"/>
    </row>
    <row r="73" spans="1:34" ht="19.5" hidden="1" customHeight="1">
      <c r="A73" s="210"/>
      <c r="B73" s="236"/>
      <c r="C73" s="210"/>
      <c r="D73" s="237"/>
      <c r="E73" s="238"/>
      <c r="F73" s="82"/>
      <c r="G73" s="82"/>
      <c r="H73" s="82"/>
      <c r="I73" s="83"/>
      <c r="J73" s="83">
        <f t="shared" ref="J73" si="54">D73/26*J72</f>
        <v>0</v>
      </c>
      <c r="K73" s="83"/>
      <c r="L73" s="82"/>
      <c r="M73" s="82"/>
      <c r="N73" s="83"/>
      <c r="O73" s="82"/>
      <c r="P73" s="83"/>
      <c r="Q73" s="83"/>
      <c r="R73" s="82"/>
      <c r="S73" s="82"/>
      <c r="T73" s="82"/>
      <c r="U73" s="82"/>
      <c r="V73" s="82"/>
      <c r="W73" s="82"/>
      <c r="X73" s="83"/>
      <c r="Y73" s="82"/>
      <c r="Z73" s="82"/>
      <c r="AA73" s="83"/>
      <c r="AB73" s="156"/>
      <c r="AC73" s="167">
        <f>+IFERROR(VLOOKUP(C72,'[8]Bản gốc T02'!$C$1:$J$1000,8,0),0)</f>
        <v>0</v>
      </c>
      <c r="AD73" s="84">
        <f>+IFERROR(VLOOKUP(C72,'[8]Bản gốc T02'!$C$1:$F$1000,4,0),0)</f>
        <v>0</v>
      </c>
      <c r="AH73" s="148">
        <f>+X73-K73</f>
        <v>0</v>
      </c>
    </row>
    <row r="74" spans="1:34" ht="16.5" hidden="1" customHeight="1">
      <c r="A74" s="209"/>
      <c r="B74" s="211"/>
      <c r="C74" s="213"/>
      <c r="D74" s="214"/>
      <c r="E74" s="215"/>
      <c r="F74" s="77"/>
      <c r="G74" s="77"/>
      <c r="H74" s="78"/>
      <c r="I74" s="79"/>
      <c r="J74" s="78">
        <f>'Bang TH nop'!H73</f>
        <v>0</v>
      </c>
      <c r="K74" s="78"/>
      <c r="L74" s="78"/>
      <c r="M74" s="77"/>
      <c r="N74" s="79"/>
      <c r="O74" s="78"/>
      <c r="P74" s="80"/>
      <c r="Q74" s="78"/>
      <c r="R74" s="78"/>
      <c r="S74" s="78"/>
      <c r="T74" s="77"/>
      <c r="U74" s="77"/>
      <c r="V74" s="77"/>
      <c r="W74" s="77"/>
      <c r="X74" s="81"/>
      <c r="Y74" s="81"/>
      <c r="Z74" s="77"/>
      <c r="AA74" s="81"/>
      <c r="AB74" s="155"/>
      <c r="AC74" s="159"/>
      <c r="AD74" s="142"/>
      <c r="AH74" s="85"/>
    </row>
    <row r="75" spans="1:34" ht="15.75" hidden="1" customHeight="1">
      <c r="A75" s="210"/>
      <c r="B75" s="236"/>
      <c r="C75" s="210"/>
      <c r="D75" s="237"/>
      <c r="E75" s="238"/>
      <c r="F75" s="82"/>
      <c r="G75" s="82"/>
      <c r="H75" s="82"/>
      <c r="I75" s="83"/>
      <c r="J75" s="83">
        <f t="shared" ref="J75" si="55">D75/26*J74</f>
        <v>0</v>
      </c>
      <c r="K75" s="83"/>
      <c r="L75" s="82"/>
      <c r="M75" s="82"/>
      <c r="N75" s="83"/>
      <c r="O75" s="82"/>
      <c r="P75" s="83"/>
      <c r="Q75" s="83"/>
      <c r="R75" s="82"/>
      <c r="S75" s="82"/>
      <c r="T75" s="82"/>
      <c r="U75" s="82"/>
      <c r="V75" s="82"/>
      <c r="W75" s="82"/>
      <c r="X75" s="83"/>
      <c r="Y75" s="82"/>
      <c r="Z75" s="82"/>
      <c r="AA75" s="83"/>
      <c r="AB75" s="156"/>
      <c r="AC75" s="167">
        <f>+IFERROR(VLOOKUP(C74,'[8]Bản gốc T02'!$C$1:$J$1000,8,0),0)</f>
        <v>0</v>
      </c>
      <c r="AD75" s="84">
        <f>+IFERROR(VLOOKUP(C74,'[8]Bản gốc T02'!$C$1:$F$1000,4,0),0)</f>
        <v>0</v>
      </c>
      <c r="AH75" s="148">
        <f>+X75-K75</f>
        <v>0</v>
      </c>
    </row>
    <row r="76" spans="1:34" ht="16.5" hidden="1" customHeight="1">
      <c r="A76" s="209"/>
      <c r="B76" s="211"/>
      <c r="C76" s="213"/>
      <c r="D76" s="239"/>
      <c r="E76" s="215"/>
      <c r="F76" s="77"/>
      <c r="G76" s="77"/>
      <c r="H76" s="78"/>
      <c r="I76" s="79"/>
      <c r="J76" s="78">
        <f>'Bang TH nop'!H75</f>
        <v>0</v>
      </c>
      <c r="K76" s="78"/>
      <c r="L76" s="78"/>
      <c r="M76" s="77"/>
      <c r="N76" s="79"/>
      <c r="O76" s="78"/>
      <c r="P76" s="80"/>
      <c r="Q76" s="78"/>
      <c r="R76" s="78"/>
      <c r="S76" s="78"/>
      <c r="T76" s="77"/>
      <c r="U76" s="77"/>
      <c r="V76" s="77"/>
      <c r="W76" s="77"/>
      <c r="X76" s="81"/>
      <c r="Y76" s="81"/>
      <c r="Z76" s="77"/>
      <c r="AA76" s="81"/>
      <c r="AB76" s="155"/>
      <c r="AC76" s="159"/>
      <c r="AD76" s="142"/>
      <c r="AH76" s="85"/>
    </row>
    <row r="77" spans="1:34" ht="16.5" hidden="1" customHeight="1">
      <c r="A77" s="210"/>
      <c r="B77" s="236"/>
      <c r="C77" s="210"/>
      <c r="D77" s="237"/>
      <c r="E77" s="238"/>
      <c r="F77" s="82"/>
      <c r="G77" s="82"/>
      <c r="H77" s="82"/>
      <c r="I77" s="83"/>
      <c r="J77" s="83">
        <f t="shared" ref="J77" si="56">D77/26*J76</f>
        <v>0</v>
      </c>
      <c r="K77" s="83"/>
      <c r="L77" s="82"/>
      <c r="M77" s="82"/>
      <c r="N77" s="83"/>
      <c r="O77" s="82"/>
      <c r="P77" s="83"/>
      <c r="Q77" s="83"/>
      <c r="R77" s="82"/>
      <c r="S77" s="82"/>
      <c r="T77" s="82"/>
      <c r="U77" s="82"/>
      <c r="V77" s="82"/>
      <c r="W77" s="82"/>
      <c r="X77" s="83"/>
      <c r="Y77" s="82"/>
      <c r="Z77" s="82"/>
      <c r="AA77" s="83"/>
      <c r="AB77" s="156"/>
      <c r="AC77" s="167">
        <f>+IFERROR(VLOOKUP(C76,'[8]Bản gốc T02'!$C$1:$J$1000,8,0),0)</f>
        <v>0</v>
      </c>
      <c r="AD77" s="84">
        <f>+IFERROR(VLOOKUP(C76,'[8]Bản gốc T02'!$C$1:$F$1000,4,0),0)</f>
        <v>0</v>
      </c>
      <c r="AH77" s="148">
        <f>+X77-K77</f>
        <v>0</v>
      </c>
    </row>
    <row r="78" spans="1:34" ht="14.25" hidden="1" customHeight="1">
      <c r="A78" s="209"/>
      <c r="B78" s="211"/>
      <c r="C78" s="213"/>
      <c r="D78" s="239"/>
      <c r="E78" s="215"/>
      <c r="F78" s="77"/>
      <c r="G78" s="77"/>
      <c r="H78" s="78"/>
      <c r="I78" s="79"/>
      <c r="J78" s="78">
        <f>'Bang TH nop'!H77</f>
        <v>0</v>
      </c>
      <c r="K78" s="78"/>
      <c r="L78" s="78"/>
      <c r="M78" s="77"/>
      <c r="N78" s="79"/>
      <c r="O78" s="78"/>
      <c r="P78" s="80"/>
      <c r="Q78" s="78"/>
      <c r="R78" s="78"/>
      <c r="S78" s="78"/>
      <c r="T78" s="77"/>
      <c r="U78" s="77"/>
      <c r="V78" s="77"/>
      <c r="W78" s="77"/>
      <c r="X78" s="81"/>
      <c r="Y78" s="81"/>
      <c r="Z78" s="77"/>
      <c r="AA78" s="81"/>
      <c r="AB78" s="155"/>
      <c r="AC78" s="159"/>
      <c r="AD78" s="142"/>
      <c r="AH78" s="85"/>
    </row>
    <row r="79" spans="1:34" ht="14.25" hidden="1" customHeight="1">
      <c r="A79" s="210"/>
      <c r="B79" s="236"/>
      <c r="C79" s="210"/>
      <c r="D79" s="237"/>
      <c r="E79" s="238"/>
      <c r="F79" s="82"/>
      <c r="G79" s="82"/>
      <c r="H79" s="82"/>
      <c r="I79" s="83"/>
      <c r="J79" s="83">
        <f t="shared" ref="J79" si="57">D79/26*J78</f>
        <v>0</v>
      </c>
      <c r="K79" s="83"/>
      <c r="L79" s="82"/>
      <c r="M79" s="82"/>
      <c r="N79" s="83"/>
      <c r="O79" s="82"/>
      <c r="P79" s="83"/>
      <c r="Q79" s="83"/>
      <c r="R79" s="82"/>
      <c r="S79" s="82"/>
      <c r="T79" s="82"/>
      <c r="U79" s="82"/>
      <c r="V79" s="82"/>
      <c r="W79" s="82"/>
      <c r="X79" s="83"/>
      <c r="Y79" s="82"/>
      <c r="Z79" s="82"/>
      <c r="AA79" s="83"/>
      <c r="AB79" s="156"/>
      <c r="AC79" s="167">
        <f>+IFERROR(VLOOKUP(C78,'[8]Bản gốc T02'!$C$1:$J$1000,8,0),0)</f>
        <v>0</v>
      </c>
      <c r="AD79" s="84">
        <f>+IFERROR(VLOOKUP(C78,'[8]Bản gốc T02'!$C$1:$F$1000,4,0),0)</f>
        <v>0</v>
      </c>
      <c r="AH79" s="148">
        <f>+X79-K79</f>
        <v>0</v>
      </c>
    </row>
    <row r="80" spans="1:34" ht="14.25" hidden="1" customHeight="1">
      <c r="A80" s="209"/>
      <c r="B80" s="211"/>
      <c r="C80" s="213"/>
      <c r="D80" s="239"/>
      <c r="E80" s="215"/>
      <c r="F80" s="77"/>
      <c r="G80" s="77"/>
      <c r="H80" s="78"/>
      <c r="I80" s="79"/>
      <c r="J80" s="78">
        <f>'Bang TH nop'!H79</f>
        <v>0</v>
      </c>
      <c r="K80" s="78"/>
      <c r="L80" s="78"/>
      <c r="M80" s="77"/>
      <c r="N80" s="79"/>
      <c r="O80" s="78"/>
      <c r="P80" s="80"/>
      <c r="Q80" s="78"/>
      <c r="R80" s="78"/>
      <c r="S80" s="78"/>
      <c r="T80" s="77"/>
      <c r="U80" s="77"/>
      <c r="V80" s="77"/>
      <c r="W80" s="77"/>
      <c r="X80" s="81"/>
      <c r="Y80" s="81"/>
      <c r="Z80" s="77"/>
      <c r="AA80" s="81"/>
      <c r="AB80" s="155"/>
      <c r="AC80" s="159"/>
      <c r="AD80" s="142"/>
      <c r="AH80" s="85"/>
    </row>
    <row r="81" spans="1:34" ht="14.25" hidden="1" customHeight="1">
      <c r="A81" s="210"/>
      <c r="B81" s="236"/>
      <c r="C81" s="210"/>
      <c r="D81" s="237"/>
      <c r="E81" s="238"/>
      <c r="F81" s="82"/>
      <c r="G81" s="82"/>
      <c r="H81" s="82"/>
      <c r="I81" s="83"/>
      <c r="J81" s="83">
        <f t="shared" ref="J81" si="58">D81/26*J80</f>
        <v>0</v>
      </c>
      <c r="K81" s="83"/>
      <c r="L81" s="82"/>
      <c r="M81" s="82"/>
      <c r="N81" s="83"/>
      <c r="O81" s="82"/>
      <c r="P81" s="83"/>
      <c r="Q81" s="83"/>
      <c r="R81" s="82"/>
      <c r="S81" s="82"/>
      <c r="T81" s="82"/>
      <c r="U81" s="82"/>
      <c r="V81" s="82"/>
      <c r="W81" s="82"/>
      <c r="X81" s="83"/>
      <c r="Y81" s="82"/>
      <c r="Z81" s="82"/>
      <c r="AA81" s="83"/>
      <c r="AB81" s="156"/>
      <c r="AC81" s="167">
        <f>+IFERROR(VLOOKUP(C80,'[8]Bản gốc T02'!$C$1:$J$1000,8,0),0)</f>
        <v>0</v>
      </c>
      <c r="AD81" s="84">
        <f>+IFERROR(VLOOKUP(C80,'[8]Bản gốc T02'!$C$1:$F$1000,4,0),0)</f>
        <v>0</v>
      </c>
      <c r="AH81" s="148">
        <f>+X81-K81</f>
        <v>0</v>
      </c>
    </row>
    <row r="82" spans="1:34" ht="14.25" hidden="1" customHeight="1">
      <c r="A82" s="209"/>
      <c r="B82" s="211"/>
      <c r="C82" s="213"/>
      <c r="D82" s="239"/>
      <c r="E82" s="215"/>
      <c r="F82" s="77"/>
      <c r="G82" s="77"/>
      <c r="H82" s="78"/>
      <c r="I82" s="79"/>
      <c r="J82" s="78">
        <f>'Bang TH nop'!H81</f>
        <v>0</v>
      </c>
      <c r="K82" s="78"/>
      <c r="L82" s="78"/>
      <c r="M82" s="77"/>
      <c r="N82" s="79"/>
      <c r="O82" s="78"/>
      <c r="P82" s="80"/>
      <c r="Q82" s="78"/>
      <c r="R82" s="78"/>
      <c r="S82" s="78"/>
      <c r="T82" s="77"/>
      <c r="U82" s="77"/>
      <c r="V82" s="77"/>
      <c r="W82" s="77"/>
      <c r="X82" s="81"/>
      <c r="Y82" s="81"/>
      <c r="Z82" s="77"/>
      <c r="AA82" s="81"/>
      <c r="AB82" s="155"/>
      <c r="AC82" s="159"/>
      <c r="AD82" s="142"/>
      <c r="AH82" s="85"/>
    </row>
    <row r="83" spans="1:34" ht="14.25" hidden="1" customHeight="1">
      <c r="A83" s="210"/>
      <c r="B83" s="236"/>
      <c r="C83" s="210"/>
      <c r="D83" s="237"/>
      <c r="E83" s="238"/>
      <c r="F83" s="82"/>
      <c r="G83" s="82"/>
      <c r="H83" s="82"/>
      <c r="I83" s="83"/>
      <c r="J83" s="83">
        <f t="shared" ref="J83" si="59">D83/26*J82</f>
        <v>0</v>
      </c>
      <c r="K83" s="83"/>
      <c r="L83" s="82"/>
      <c r="M83" s="82"/>
      <c r="N83" s="83"/>
      <c r="O83" s="82"/>
      <c r="P83" s="83"/>
      <c r="Q83" s="83"/>
      <c r="R83" s="82"/>
      <c r="S83" s="82"/>
      <c r="T83" s="82"/>
      <c r="U83" s="82"/>
      <c r="V83" s="82"/>
      <c r="W83" s="82"/>
      <c r="X83" s="83"/>
      <c r="Y83" s="82"/>
      <c r="Z83" s="82"/>
      <c r="AA83" s="83"/>
      <c r="AB83" s="156"/>
      <c r="AC83" s="167">
        <f>+IFERROR(VLOOKUP(C82,'[8]Bản gốc T02'!$C$1:$J$1000,8,0),0)</f>
        <v>0</v>
      </c>
      <c r="AD83" s="84">
        <f>+IFERROR(VLOOKUP(C82,'[8]Bản gốc T02'!$C$1:$F$1000,4,0),0)</f>
        <v>0</v>
      </c>
      <c r="AH83" s="148">
        <f>+X83-K83</f>
        <v>0</v>
      </c>
    </row>
    <row r="84" spans="1:34" ht="14.25" hidden="1" customHeight="1">
      <c r="A84" s="209"/>
      <c r="B84" s="211"/>
      <c r="C84" s="213"/>
      <c r="D84" s="239"/>
      <c r="E84" s="215"/>
      <c r="F84" s="77"/>
      <c r="G84" s="77"/>
      <c r="H84" s="78"/>
      <c r="I84" s="79"/>
      <c r="J84" s="78">
        <f>'Bang TH nop'!H83</f>
        <v>0</v>
      </c>
      <c r="K84" s="78"/>
      <c r="L84" s="78"/>
      <c r="M84" s="77"/>
      <c r="N84" s="79"/>
      <c r="O84" s="78"/>
      <c r="P84" s="80"/>
      <c r="Q84" s="78"/>
      <c r="R84" s="78"/>
      <c r="S84" s="78"/>
      <c r="T84" s="77"/>
      <c r="U84" s="77"/>
      <c r="V84" s="77"/>
      <c r="W84" s="77"/>
      <c r="X84" s="81"/>
      <c r="Y84" s="81"/>
      <c r="Z84" s="77"/>
      <c r="AA84" s="81"/>
      <c r="AB84" s="155"/>
      <c r="AC84" s="159"/>
      <c r="AD84" s="142"/>
      <c r="AH84" s="85"/>
    </row>
    <row r="85" spans="1:34" ht="14.25" hidden="1" customHeight="1">
      <c r="A85" s="210"/>
      <c r="B85" s="236"/>
      <c r="C85" s="210"/>
      <c r="D85" s="237"/>
      <c r="E85" s="238"/>
      <c r="F85" s="82"/>
      <c r="G85" s="82"/>
      <c r="H85" s="82"/>
      <c r="I85" s="83"/>
      <c r="J85" s="83">
        <f t="shared" ref="J85" si="60">D85/26*J84</f>
        <v>0</v>
      </c>
      <c r="K85" s="83"/>
      <c r="L85" s="82"/>
      <c r="M85" s="82"/>
      <c r="N85" s="83"/>
      <c r="O85" s="82"/>
      <c r="P85" s="83"/>
      <c r="Q85" s="83"/>
      <c r="R85" s="82"/>
      <c r="S85" s="82"/>
      <c r="T85" s="82"/>
      <c r="U85" s="82"/>
      <c r="V85" s="82"/>
      <c r="W85" s="82"/>
      <c r="X85" s="83"/>
      <c r="Y85" s="82"/>
      <c r="Z85" s="82"/>
      <c r="AA85" s="83"/>
      <c r="AB85" s="156"/>
      <c r="AC85" s="167">
        <f>+IFERROR(VLOOKUP(C84,'[8]Bản gốc T02'!$C$1:$J$1000,8,0),0)</f>
        <v>0</v>
      </c>
      <c r="AD85" s="84">
        <f>+IFERROR(VLOOKUP(C84,'[8]Bản gốc T02'!$C$1:$F$1000,4,0),0)</f>
        <v>0</v>
      </c>
      <c r="AH85" s="148">
        <f>+X85-K85</f>
        <v>0</v>
      </c>
    </row>
    <row r="86" spans="1:34" ht="14.25" hidden="1" customHeight="1">
      <c r="A86" s="209"/>
      <c r="B86" s="211"/>
      <c r="C86" s="213"/>
      <c r="D86" s="239"/>
      <c r="E86" s="215"/>
      <c r="F86" s="77"/>
      <c r="G86" s="77"/>
      <c r="H86" s="78"/>
      <c r="I86" s="79"/>
      <c r="J86" s="78">
        <f>'Bang TH nop'!H85</f>
        <v>0</v>
      </c>
      <c r="K86" s="78"/>
      <c r="L86" s="78"/>
      <c r="M86" s="77"/>
      <c r="N86" s="79"/>
      <c r="O86" s="78"/>
      <c r="P86" s="80"/>
      <c r="Q86" s="78"/>
      <c r="R86" s="78"/>
      <c r="S86" s="78"/>
      <c r="T86" s="77"/>
      <c r="U86" s="77"/>
      <c r="V86" s="77"/>
      <c r="W86" s="77"/>
      <c r="X86" s="81"/>
      <c r="Y86" s="81"/>
      <c r="Z86" s="77"/>
      <c r="AA86" s="81"/>
      <c r="AB86" s="155"/>
      <c r="AC86" s="159"/>
      <c r="AD86" s="142"/>
      <c r="AH86" s="85"/>
    </row>
    <row r="87" spans="1:34" ht="14.25" hidden="1" customHeight="1">
      <c r="A87" s="210"/>
      <c r="B87" s="236"/>
      <c r="C87" s="210"/>
      <c r="D87" s="237"/>
      <c r="E87" s="238"/>
      <c r="F87" s="82"/>
      <c r="G87" s="82"/>
      <c r="H87" s="82"/>
      <c r="I87" s="83"/>
      <c r="J87" s="83">
        <f t="shared" ref="J87" si="61">D87/26*J86</f>
        <v>0</v>
      </c>
      <c r="K87" s="83"/>
      <c r="L87" s="82"/>
      <c r="M87" s="82"/>
      <c r="N87" s="83"/>
      <c r="O87" s="82"/>
      <c r="P87" s="83"/>
      <c r="Q87" s="83"/>
      <c r="R87" s="82"/>
      <c r="S87" s="82"/>
      <c r="T87" s="82"/>
      <c r="U87" s="82"/>
      <c r="V87" s="82"/>
      <c r="W87" s="82"/>
      <c r="X87" s="83"/>
      <c r="Y87" s="82"/>
      <c r="Z87" s="82"/>
      <c r="AA87" s="83"/>
      <c r="AB87" s="156"/>
      <c r="AC87" s="167">
        <f>+IFERROR(VLOOKUP(C86,'[8]Bản gốc T02'!$C$1:$J$1000,8,0),0)</f>
        <v>0</v>
      </c>
      <c r="AD87" s="84">
        <f>+IFERROR(VLOOKUP(C86,'[8]Bản gốc T02'!$C$1:$F$1000,4,0),0)</f>
        <v>0</v>
      </c>
      <c r="AH87" s="148">
        <f>+X87-K87</f>
        <v>0</v>
      </c>
    </row>
    <row r="88" spans="1:34" ht="14.25" hidden="1" customHeight="1">
      <c r="A88" s="209"/>
      <c r="B88" s="211"/>
      <c r="C88" s="213"/>
      <c r="D88" s="239"/>
      <c r="E88" s="215"/>
      <c r="F88" s="77"/>
      <c r="G88" s="77"/>
      <c r="H88" s="78"/>
      <c r="I88" s="79"/>
      <c r="J88" s="78">
        <f>'Bang TH nop'!H87</f>
        <v>0</v>
      </c>
      <c r="K88" s="78"/>
      <c r="L88" s="78"/>
      <c r="M88" s="77"/>
      <c r="N88" s="79"/>
      <c r="O88" s="78"/>
      <c r="P88" s="80"/>
      <c r="Q88" s="78"/>
      <c r="R88" s="78"/>
      <c r="S88" s="78"/>
      <c r="T88" s="77"/>
      <c r="U88" s="77"/>
      <c r="V88" s="77"/>
      <c r="W88" s="77"/>
      <c r="X88" s="81"/>
      <c r="Y88" s="81"/>
      <c r="Z88" s="77"/>
      <c r="AA88" s="81"/>
      <c r="AB88" s="155"/>
      <c r="AC88" s="159"/>
      <c r="AD88" s="142"/>
      <c r="AH88" s="85"/>
    </row>
    <row r="89" spans="1:34" ht="14.25" hidden="1" customHeight="1">
      <c r="A89" s="210"/>
      <c r="B89" s="236"/>
      <c r="C89" s="210"/>
      <c r="D89" s="237"/>
      <c r="E89" s="238"/>
      <c r="F89" s="82"/>
      <c r="G89" s="82"/>
      <c r="H89" s="82"/>
      <c r="I89" s="83"/>
      <c r="J89" s="83">
        <f t="shared" ref="J89" si="62">D89/26*J88</f>
        <v>0</v>
      </c>
      <c r="K89" s="83"/>
      <c r="L89" s="82"/>
      <c r="M89" s="82"/>
      <c r="N89" s="83"/>
      <c r="O89" s="82"/>
      <c r="P89" s="83"/>
      <c r="Q89" s="83"/>
      <c r="R89" s="82"/>
      <c r="S89" s="82"/>
      <c r="T89" s="82"/>
      <c r="U89" s="82"/>
      <c r="V89" s="82"/>
      <c r="W89" s="82"/>
      <c r="X89" s="83"/>
      <c r="Y89" s="82"/>
      <c r="Z89" s="82"/>
      <c r="AA89" s="83"/>
      <c r="AB89" s="156"/>
      <c r="AC89" s="167">
        <f>+IFERROR(VLOOKUP(C88,'[8]Bản gốc T02'!$C$1:$J$1000,8,0),0)</f>
        <v>0</v>
      </c>
      <c r="AD89" s="84">
        <f>+IFERROR(VLOOKUP(C88,'[8]Bản gốc T02'!$C$1:$F$1000,4,0),0)</f>
        <v>0</v>
      </c>
      <c r="AH89" s="148">
        <f>+X89-K89</f>
        <v>0</v>
      </c>
    </row>
    <row r="90" spans="1:34" ht="14.25" hidden="1" customHeight="1">
      <c r="A90" s="209"/>
      <c r="B90" s="211"/>
      <c r="C90" s="213"/>
      <c r="D90" s="239"/>
      <c r="E90" s="215"/>
      <c r="F90" s="77"/>
      <c r="G90" s="77"/>
      <c r="H90" s="78"/>
      <c r="I90" s="79"/>
      <c r="J90" s="78">
        <f>'Bang TH nop'!H89</f>
        <v>0</v>
      </c>
      <c r="K90" s="78"/>
      <c r="L90" s="78"/>
      <c r="M90" s="77"/>
      <c r="N90" s="79"/>
      <c r="O90" s="78"/>
      <c r="P90" s="80"/>
      <c r="Q90" s="78"/>
      <c r="R90" s="78"/>
      <c r="S90" s="78"/>
      <c r="T90" s="77"/>
      <c r="U90" s="77"/>
      <c r="V90" s="77"/>
      <c r="W90" s="77"/>
      <c r="X90" s="81"/>
      <c r="Y90" s="81"/>
      <c r="Z90" s="77"/>
      <c r="AA90" s="81"/>
      <c r="AB90" s="155"/>
      <c r="AC90" s="159"/>
      <c r="AD90" s="142"/>
      <c r="AH90" s="85"/>
    </row>
    <row r="91" spans="1:34" ht="14.25" hidden="1" customHeight="1">
      <c r="A91" s="210"/>
      <c r="B91" s="236"/>
      <c r="C91" s="210"/>
      <c r="D91" s="237"/>
      <c r="E91" s="238"/>
      <c r="F91" s="82"/>
      <c r="G91" s="82"/>
      <c r="H91" s="82"/>
      <c r="I91" s="83"/>
      <c r="J91" s="83">
        <f t="shared" ref="J91" si="63">D91/26*J90</f>
        <v>0</v>
      </c>
      <c r="K91" s="83"/>
      <c r="L91" s="82"/>
      <c r="M91" s="82"/>
      <c r="N91" s="83"/>
      <c r="O91" s="82"/>
      <c r="P91" s="83"/>
      <c r="Q91" s="83"/>
      <c r="R91" s="82"/>
      <c r="S91" s="82"/>
      <c r="T91" s="82"/>
      <c r="U91" s="82"/>
      <c r="V91" s="82"/>
      <c r="W91" s="82"/>
      <c r="X91" s="83"/>
      <c r="Y91" s="82"/>
      <c r="Z91" s="82"/>
      <c r="AA91" s="83"/>
      <c r="AB91" s="156"/>
      <c r="AC91" s="167">
        <f>+IFERROR(VLOOKUP(C90,'[8]Bản gốc T02'!$C$1:$J$1000,8,0),0)</f>
        <v>0</v>
      </c>
      <c r="AD91" s="84">
        <f>+IFERROR(VLOOKUP(C90,'[8]Bản gốc T02'!$C$1:$F$1000,4,0),0)</f>
        <v>0</v>
      </c>
      <c r="AH91" s="148">
        <f>+X91-K91</f>
        <v>0</v>
      </c>
    </row>
    <row r="92" spans="1:34" ht="14.25" hidden="1" customHeight="1">
      <c r="A92" s="209"/>
      <c r="B92" s="211"/>
      <c r="C92" s="213"/>
      <c r="D92" s="239"/>
      <c r="E92" s="215"/>
      <c r="F92" s="77"/>
      <c r="G92" s="77"/>
      <c r="H92" s="78"/>
      <c r="I92" s="79"/>
      <c r="J92" s="78">
        <f>'Bang TH nop'!H91</f>
        <v>0</v>
      </c>
      <c r="K92" s="78"/>
      <c r="L92" s="78"/>
      <c r="M92" s="77"/>
      <c r="N92" s="79"/>
      <c r="O92" s="78"/>
      <c r="P92" s="80"/>
      <c r="Q92" s="78"/>
      <c r="R92" s="78"/>
      <c r="S92" s="78"/>
      <c r="T92" s="77"/>
      <c r="U92" s="77"/>
      <c r="V92" s="77"/>
      <c r="W92" s="77"/>
      <c r="X92" s="81"/>
      <c r="Y92" s="81"/>
      <c r="Z92" s="77"/>
      <c r="AA92" s="81"/>
      <c r="AB92" s="155"/>
      <c r="AC92" s="159"/>
      <c r="AD92" s="142"/>
      <c r="AH92" s="85"/>
    </row>
    <row r="93" spans="1:34" ht="14.25" hidden="1" customHeight="1">
      <c r="A93" s="210"/>
      <c r="B93" s="236"/>
      <c r="C93" s="210"/>
      <c r="D93" s="237"/>
      <c r="E93" s="238"/>
      <c r="F93" s="82"/>
      <c r="G93" s="82"/>
      <c r="H93" s="82"/>
      <c r="I93" s="83"/>
      <c r="J93" s="83">
        <f t="shared" ref="J93" si="64">D93/26*J92</f>
        <v>0</v>
      </c>
      <c r="K93" s="83"/>
      <c r="L93" s="82"/>
      <c r="M93" s="82"/>
      <c r="N93" s="83"/>
      <c r="O93" s="82"/>
      <c r="P93" s="83"/>
      <c r="Q93" s="83"/>
      <c r="R93" s="82"/>
      <c r="S93" s="82"/>
      <c r="T93" s="82"/>
      <c r="U93" s="82"/>
      <c r="V93" s="82"/>
      <c r="W93" s="82"/>
      <c r="X93" s="83"/>
      <c r="Y93" s="82"/>
      <c r="Z93" s="82"/>
      <c r="AA93" s="83"/>
      <c r="AB93" s="156"/>
      <c r="AC93" s="167">
        <f>+IFERROR(VLOOKUP(C92,'[8]Bản gốc T02'!$C$1:$J$1000,8,0),0)</f>
        <v>0</v>
      </c>
      <c r="AD93" s="84">
        <f>+IFERROR(VLOOKUP(C92,'[8]Bản gốc T02'!$C$1:$F$1000,4,0),0)</f>
        <v>0</v>
      </c>
      <c r="AH93" s="148">
        <f>+X93-K93</f>
        <v>0</v>
      </c>
    </row>
    <row r="94" spans="1:34" ht="14.25" hidden="1" customHeight="1">
      <c r="A94" s="209"/>
      <c r="B94" s="211"/>
      <c r="C94" s="213"/>
      <c r="D94" s="239"/>
      <c r="E94" s="215"/>
      <c r="F94" s="77"/>
      <c r="G94" s="77"/>
      <c r="H94" s="78"/>
      <c r="I94" s="79"/>
      <c r="J94" s="78">
        <f>'Bang TH nop'!H93</f>
        <v>0</v>
      </c>
      <c r="K94" s="78"/>
      <c r="L94" s="78"/>
      <c r="M94" s="77"/>
      <c r="N94" s="79"/>
      <c r="O94" s="78"/>
      <c r="P94" s="80"/>
      <c r="Q94" s="78"/>
      <c r="R94" s="78"/>
      <c r="S94" s="78"/>
      <c r="T94" s="77"/>
      <c r="U94" s="77"/>
      <c r="V94" s="77"/>
      <c r="W94" s="77"/>
      <c r="X94" s="81"/>
      <c r="Y94" s="81"/>
      <c r="Z94" s="77"/>
      <c r="AA94" s="81"/>
      <c r="AB94" s="155"/>
      <c r="AC94" s="159"/>
      <c r="AD94" s="142"/>
      <c r="AH94" s="85"/>
    </row>
    <row r="95" spans="1:34" ht="14.25" hidden="1" customHeight="1">
      <c r="A95" s="210"/>
      <c r="B95" s="236"/>
      <c r="C95" s="210"/>
      <c r="D95" s="237"/>
      <c r="E95" s="238"/>
      <c r="F95" s="82"/>
      <c r="G95" s="82"/>
      <c r="H95" s="82"/>
      <c r="I95" s="83"/>
      <c r="J95" s="83">
        <f t="shared" ref="J95" si="65">D95/26*J94</f>
        <v>0</v>
      </c>
      <c r="K95" s="83"/>
      <c r="L95" s="82"/>
      <c r="M95" s="82"/>
      <c r="N95" s="83"/>
      <c r="O95" s="82"/>
      <c r="P95" s="83"/>
      <c r="Q95" s="83"/>
      <c r="R95" s="82"/>
      <c r="S95" s="82"/>
      <c r="T95" s="82"/>
      <c r="U95" s="82"/>
      <c r="V95" s="82"/>
      <c r="W95" s="82"/>
      <c r="X95" s="83"/>
      <c r="Y95" s="82"/>
      <c r="Z95" s="82"/>
      <c r="AA95" s="83"/>
      <c r="AB95" s="156"/>
      <c r="AC95" s="167">
        <f>+IFERROR(VLOOKUP(C94,'[8]Bản gốc T02'!$C$1:$J$1000,8,0),0)</f>
        <v>0</v>
      </c>
      <c r="AD95" s="84">
        <f>+IFERROR(VLOOKUP(C94,'[8]Bản gốc T02'!$C$1:$F$1000,4,0),0)</f>
        <v>0</v>
      </c>
      <c r="AH95" s="148">
        <f>+X95-K95</f>
        <v>0</v>
      </c>
    </row>
    <row r="96" spans="1:34" ht="14.25" hidden="1" customHeight="1">
      <c r="A96" s="209"/>
      <c r="B96" s="211"/>
      <c r="C96" s="213"/>
      <c r="D96" s="239"/>
      <c r="E96" s="215"/>
      <c r="F96" s="77"/>
      <c r="G96" s="77"/>
      <c r="H96" s="78"/>
      <c r="I96" s="79"/>
      <c r="J96" s="78">
        <f>'Bang TH nop'!H95</f>
        <v>0</v>
      </c>
      <c r="K96" s="78"/>
      <c r="L96" s="78"/>
      <c r="M96" s="77"/>
      <c r="N96" s="79"/>
      <c r="O96" s="78"/>
      <c r="P96" s="80"/>
      <c r="Q96" s="78"/>
      <c r="R96" s="78"/>
      <c r="S96" s="78"/>
      <c r="T96" s="77"/>
      <c r="U96" s="77"/>
      <c r="V96" s="77"/>
      <c r="W96" s="77"/>
      <c r="X96" s="81"/>
      <c r="Y96" s="81"/>
      <c r="Z96" s="77"/>
      <c r="AA96" s="81"/>
      <c r="AB96" s="155"/>
      <c r="AC96" s="159"/>
      <c r="AD96" s="142"/>
      <c r="AH96" s="85"/>
    </row>
    <row r="97" spans="1:34" ht="14.25" hidden="1" customHeight="1">
      <c r="A97" s="210"/>
      <c r="B97" s="236"/>
      <c r="C97" s="210"/>
      <c r="D97" s="237"/>
      <c r="E97" s="238"/>
      <c r="F97" s="82"/>
      <c r="G97" s="82"/>
      <c r="H97" s="82"/>
      <c r="I97" s="83"/>
      <c r="J97" s="83">
        <f t="shared" ref="J97" si="66">D97/26*J96</f>
        <v>0</v>
      </c>
      <c r="K97" s="83"/>
      <c r="L97" s="82"/>
      <c r="M97" s="82"/>
      <c r="N97" s="83"/>
      <c r="O97" s="82"/>
      <c r="P97" s="83"/>
      <c r="Q97" s="83"/>
      <c r="R97" s="82"/>
      <c r="S97" s="82"/>
      <c r="T97" s="82"/>
      <c r="U97" s="82"/>
      <c r="V97" s="82"/>
      <c r="W97" s="82"/>
      <c r="X97" s="83"/>
      <c r="Y97" s="82"/>
      <c r="Z97" s="82"/>
      <c r="AA97" s="83"/>
      <c r="AB97" s="156"/>
      <c r="AC97" s="167">
        <f>+IFERROR(VLOOKUP(C96,'[8]Bản gốc T02'!$C$1:$J$1000,8,0),0)</f>
        <v>0</v>
      </c>
      <c r="AD97" s="84">
        <f>+IFERROR(VLOOKUP(C96,'[8]Bản gốc T02'!$C$1:$F$1000,4,0),0)</f>
        <v>0</v>
      </c>
      <c r="AH97" s="148">
        <f>+X97-K97</f>
        <v>0</v>
      </c>
    </row>
    <row r="98" spans="1:34" ht="14.25" hidden="1" customHeight="1">
      <c r="A98" s="209"/>
      <c r="B98" s="211"/>
      <c r="C98" s="213"/>
      <c r="D98" s="239"/>
      <c r="E98" s="215"/>
      <c r="F98" s="77"/>
      <c r="G98" s="77"/>
      <c r="H98" s="78"/>
      <c r="I98" s="79"/>
      <c r="J98" s="78">
        <f>'Bang TH nop'!H97</f>
        <v>0</v>
      </c>
      <c r="K98" s="78"/>
      <c r="L98" s="78"/>
      <c r="M98" s="77"/>
      <c r="N98" s="79"/>
      <c r="O98" s="78"/>
      <c r="P98" s="80"/>
      <c r="Q98" s="78"/>
      <c r="R98" s="78"/>
      <c r="S98" s="78"/>
      <c r="T98" s="77"/>
      <c r="U98" s="77"/>
      <c r="V98" s="77"/>
      <c r="W98" s="77"/>
      <c r="X98" s="81"/>
      <c r="Y98" s="81"/>
      <c r="Z98" s="77"/>
      <c r="AA98" s="81"/>
      <c r="AB98" s="155"/>
      <c r="AC98" s="159"/>
      <c r="AD98" s="142"/>
      <c r="AH98" s="85"/>
    </row>
    <row r="99" spans="1:34" ht="14.25" hidden="1" customHeight="1">
      <c r="A99" s="210"/>
      <c r="B99" s="236"/>
      <c r="C99" s="210"/>
      <c r="D99" s="237"/>
      <c r="E99" s="238"/>
      <c r="F99" s="82"/>
      <c r="G99" s="82"/>
      <c r="H99" s="82"/>
      <c r="I99" s="83"/>
      <c r="J99" s="83">
        <f t="shared" ref="J99" si="67">D99/26*J98</f>
        <v>0</v>
      </c>
      <c r="K99" s="83"/>
      <c r="L99" s="82"/>
      <c r="M99" s="82"/>
      <c r="N99" s="83"/>
      <c r="O99" s="82"/>
      <c r="P99" s="83"/>
      <c r="Q99" s="83"/>
      <c r="R99" s="82"/>
      <c r="S99" s="82"/>
      <c r="T99" s="82"/>
      <c r="U99" s="82"/>
      <c r="V99" s="82"/>
      <c r="W99" s="82"/>
      <c r="X99" s="83"/>
      <c r="Y99" s="82"/>
      <c r="Z99" s="82"/>
      <c r="AA99" s="83"/>
      <c r="AB99" s="156"/>
      <c r="AC99" s="167">
        <f>+IFERROR(VLOOKUP(C98,'[8]Bản gốc T02'!$C$1:$J$1000,8,0),0)</f>
        <v>0</v>
      </c>
      <c r="AD99" s="84">
        <f>+IFERROR(VLOOKUP(C98,'[8]Bản gốc T02'!$C$1:$F$1000,4,0),0)</f>
        <v>0</v>
      </c>
      <c r="AH99" s="148">
        <f>+X99-K99</f>
        <v>0</v>
      </c>
    </row>
    <row r="100" spans="1:34" ht="17.25" hidden="1" customHeight="1">
      <c r="A100" s="209"/>
      <c r="B100" s="211"/>
      <c r="C100" s="213"/>
      <c r="D100" s="239"/>
      <c r="E100" s="215"/>
      <c r="F100" s="77"/>
      <c r="G100" s="77"/>
      <c r="H100" s="78"/>
      <c r="I100" s="79"/>
      <c r="J100" s="78">
        <f>'Bang TH nop'!H99</f>
        <v>0</v>
      </c>
      <c r="K100" s="78"/>
      <c r="L100" s="78"/>
      <c r="M100" s="77"/>
      <c r="N100" s="79"/>
      <c r="O100" s="78"/>
      <c r="P100" s="80"/>
      <c r="Q100" s="78"/>
      <c r="R100" s="78"/>
      <c r="S100" s="78"/>
      <c r="T100" s="77"/>
      <c r="U100" s="77"/>
      <c r="V100" s="77"/>
      <c r="W100" s="77"/>
      <c r="X100" s="81"/>
      <c r="Y100" s="81"/>
      <c r="Z100" s="77"/>
      <c r="AA100" s="81"/>
      <c r="AB100" s="155"/>
      <c r="AC100" s="159"/>
      <c r="AD100" s="142"/>
      <c r="AH100" s="85"/>
    </row>
    <row r="101" spans="1:34" ht="15" hidden="1">
      <c r="A101" s="210"/>
      <c r="B101" s="236"/>
      <c r="C101" s="210"/>
      <c r="D101" s="237"/>
      <c r="E101" s="238"/>
      <c r="F101" s="82"/>
      <c r="G101" s="82"/>
      <c r="H101" s="82"/>
      <c r="I101" s="83"/>
      <c r="J101" s="83">
        <f t="shared" ref="J101" si="68">D101/26*J100</f>
        <v>0</v>
      </c>
      <c r="K101" s="83"/>
      <c r="L101" s="82"/>
      <c r="M101" s="82"/>
      <c r="N101" s="83"/>
      <c r="O101" s="82"/>
      <c r="P101" s="83"/>
      <c r="Q101" s="83"/>
      <c r="R101" s="82"/>
      <c r="S101" s="82"/>
      <c r="T101" s="82"/>
      <c r="U101" s="82"/>
      <c r="V101" s="82"/>
      <c r="W101" s="82"/>
      <c r="X101" s="83"/>
      <c r="Y101" s="82"/>
      <c r="Z101" s="82"/>
      <c r="AA101" s="83"/>
      <c r="AB101" s="156"/>
      <c r="AC101" s="167">
        <f>+IFERROR(VLOOKUP(C100,'[8]Bản gốc T02'!$C$1:$J$1000,8,0),0)</f>
        <v>0</v>
      </c>
      <c r="AD101" s="84">
        <f>+IFERROR(VLOOKUP(C100,'[8]Bản gốc T02'!$C$1:$F$1000,4,0),0)</f>
        <v>0</v>
      </c>
      <c r="AH101" s="148">
        <f>+X101-K101</f>
        <v>0</v>
      </c>
    </row>
    <row r="102" spans="1:34" ht="15" hidden="1">
      <c r="A102" s="209"/>
      <c r="B102" s="211"/>
      <c r="C102" s="213"/>
      <c r="D102" s="239"/>
      <c r="E102" s="215"/>
      <c r="F102" s="77"/>
      <c r="G102" s="77"/>
      <c r="H102" s="78"/>
      <c r="I102" s="79"/>
      <c r="J102" s="78">
        <f>'Bang TH nop'!H101</f>
        <v>0</v>
      </c>
      <c r="K102" s="78"/>
      <c r="L102" s="78"/>
      <c r="M102" s="77"/>
      <c r="N102" s="79"/>
      <c r="O102" s="78"/>
      <c r="P102" s="80"/>
      <c r="Q102" s="78"/>
      <c r="R102" s="78"/>
      <c r="S102" s="78"/>
      <c r="T102" s="77"/>
      <c r="U102" s="77"/>
      <c r="V102" s="77"/>
      <c r="W102" s="77"/>
      <c r="X102" s="81"/>
      <c r="Y102" s="81"/>
      <c r="Z102" s="77"/>
      <c r="AA102" s="81"/>
      <c r="AB102" s="155"/>
      <c r="AC102" s="159"/>
      <c r="AD102" s="142"/>
      <c r="AH102" s="85"/>
    </row>
    <row r="103" spans="1:34" ht="15" hidden="1">
      <c r="A103" s="210"/>
      <c r="B103" s="236"/>
      <c r="C103" s="210"/>
      <c r="D103" s="237"/>
      <c r="E103" s="238"/>
      <c r="F103" s="82"/>
      <c r="G103" s="82"/>
      <c r="H103" s="82"/>
      <c r="I103" s="83"/>
      <c r="J103" s="83">
        <f t="shared" ref="J103" si="69">D103/26*J102</f>
        <v>0</v>
      </c>
      <c r="K103" s="83"/>
      <c r="L103" s="82"/>
      <c r="M103" s="82"/>
      <c r="N103" s="83"/>
      <c r="O103" s="82"/>
      <c r="P103" s="83"/>
      <c r="Q103" s="83"/>
      <c r="R103" s="82"/>
      <c r="S103" s="82"/>
      <c r="T103" s="82"/>
      <c r="U103" s="82"/>
      <c r="V103" s="82"/>
      <c r="W103" s="82"/>
      <c r="X103" s="83"/>
      <c r="Y103" s="82"/>
      <c r="Z103" s="82"/>
      <c r="AA103" s="83"/>
      <c r="AB103" s="156"/>
      <c r="AC103" s="167">
        <f>+IFERROR(VLOOKUP(C102,'[8]Bản gốc T02'!$C$1:$J$1000,8,0),0)</f>
        <v>0</v>
      </c>
      <c r="AD103" s="84">
        <f>+IFERROR(VLOOKUP(C102,'[8]Bản gốc T02'!$C$1:$F$1000,4,0),0)</f>
        <v>0</v>
      </c>
      <c r="AH103" s="148">
        <f>+X103-K103</f>
        <v>0</v>
      </c>
    </row>
    <row r="104" spans="1:34" ht="15" hidden="1">
      <c r="A104" s="209"/>
      <c r="B104" s="211"/>
      <c r="C104" s="213"/>
      <c r="D104" s="239"/>
      <c r="E104" s="215"/>
      <c r="F104" s="77"/>
      <c r="G104" s="77"/>
      <c r="H104" s="78"/>
      <c r="I104" s="79"/>
      <c r="J104" s="78">
        <f>'Bang TH nop'!H103</f>
        <v>0</v>
      </c>
      <c r="K104" s="78"/>
      <c r="L104" s="78"/>
      <c r="M104" s="77"/>
      <c r="N104" s="79"/>
      <c r="O104" s="78"/>
      <c r="P104" s="80"/>
      <c r="Q104" s="78"/>
      <c r="R104" s="78"/>
      <c r="S104" s="78"/>
      <c r="T104" s="77"/>
      <c r="U104" s="77"/>
      <c r="V104" s="77"/>
      <c r="W104" s="77"/>
      <c r="X104" s="81"/>
      <c r="Y104" s="81"/>
      <c r="Z104" s="77"/>
      <c r="AA104" s="81"/>
      <c r="AB104" s="155"/>
      <c r="AC104" s="159"/>
      <c r="AD104" s="142"/>
      <c r="AH104" s="85"/>
    </row>
    <row r="105" spans="1:34" ht="15" hidden="1">
      <c r="A105" s="210"/>
      <c r="B105" s="212"/>
      <c r="C105" s="210"/>
      <c r="D105" s="237"/>
      <c r="E105" s="238"/>
      <c r="F105" s="82"/>
      <c r="G105" s="82"/>
      <c r="H105" s="82"/>
      <c r="I105" s="83"/>
      <c r="J105" s="83">
        <f t="shared" ref="J105" si="70">D105/26*J104</f>
        <v>0</v>
      </c>
      <c r="K105" s="83"/>
      <c r="L105" s="82"/>
      <c r="M105" s="82"/>
      <c r="N105" s="83"/>
      <c r="O105" s="82"/>
      <c r="P105" s="83"/>
      <c r="Q105" s="83"/>
      <c r="R105" s="82"/>
      <c r="S105" s="82"/>
      <c r="T105" s="82"/>
      <c r="U105" s="82"/>
      <c r="V105" s="82"/>
      <c r="W105" s="82"/>
      <c r="X105" s="83"/>
      <c r="Y105" s="82"/>
      <c r="Z105" s="82"/>
      <c r="AA105" s="83"/>
      <c r="AB105" s="156"/>
      <c r="AC105" s="167">
        <f>+IFERROR(VLOOKUP(C104,'[8]Bản gốc T02'!$C$1:$J$1000,8,0),0)</f>
        <v>0</v>
      </c>
      <c r="AD105" s="84">
        <f>+IFERROR(VLOOKUP(C104,'[8]Bản gốc T02'!$C$1:$F$1000,4,0),0)</f>
        <v>0</v>
      </c>
      <c r="AH105" s="148">
        <f>+X105-K105</f>
        <v>0</v>
      </c>
    </row>
    <row r="106" spans="1:34" ht="17.100000000000001" hidden="1" customHeight="1">
      <c r="A106" s="86"/>
      <c r="B106" s="87"/>
      <c r="C106" s="86"/>
      <c r="D106" s="88"/>
      <c r="E106" s="89"/>
      <c r="F106" s="90"/>
      <c r="G106" s="90"/>
      <c r="H106" s="90"/>
      <c r="I106" s="79"/>
      <c r="J106" s="78">
        <f>'Bang TH nop'!H105</f>
        <v>0</v>
      </c>
      <c r="K106" s="91"/>
      <c r="L106" s="90"/>
      <c r="M106" s="77"/>
      <c r="N106" s="91"/>
      <c r="O106" s="78"/>
      <c r="P106" s="81"/>
      <c r="Q106" s="90"/>
      <c r="R106" s="90"/>
      <c r="S106" s="78"/>
      <c r="T106" s="90"/>
      <c r="U106" s="90"/>
      <c r="V106" s="77"/>
      <c r="W106" s="90"/>
      <c r="X106" s="81"/>
      <c r="Y106" s="81"/>
      <c r="Z106" s="90"/>
      <c r="AA106" s="92"/>
      <c r="AB106" s="157"/>
      <c r="AC106" s="159"/>
      <c r="AD106" s="142"/>
      <c r="AH106" s="85"/>
    </row>
    <row r="107" spans="1:34" ht="17.100000000000001" customHeight="1">
      <c r="A107" s="242"/>
      <c r="B107" s="244" t="s">
        <v>33</v>
      </c>
      <c r="C107" s="246"/>
      <c r="D107" s="93"/>
      <c r="E107" s="93"/>
      <c r="F107" s="93">
        <f>SUM(F10+F12+F14+F16+F20+F22+F24+F26+F28+F30+F32+F34+F36+F38+F40+F42+F44+F46+F48+F50+F52+F54+F56+F58+F60+F62+F64+F66+F68+F70+F72+F104+F18+F74+F76+F78+F80+F82+F84+F86+F88+F98+F100+F102+F90+F92+F94+F96)</f>
        <v>0</v>
      </c>
      <c r="G107" s="93" t="e">
        <f>SUM(#REF!+#REF!+#REF!+#REF!+#REF!+#REF!+#REF!+#REF!+#REF!+#REF!+#REF!+#REF!+G10+G12+G14+G16+G20+G22+G24+G26+G28+G30+G32+G34+G36+G38+G40+G42+G44+G46+G48+G50+G52+G54+G56+G58+G60+G62+G64+G66+G68+G70+G72+G104+G18+G74+G76+G78+G80+G82+G84+G86+G88+G98+G100+G102+G90+G92+G94+G96)</f>
        <v>#REF!</v>
      </c>
      <c r="H107" s="93">
        <f t="shared" ref="H107:Z107" si="71">SUM(H10+H12+H14+H16+H20+H22+H24+H26+H28+H30+H32+H34+H36+H38+H40+H42+H44+H46+H48+H50+H52+H54+H56+H58+H60+H62+H64+H66+H68+H70+H72+H104+H18+H74+H76+H78+H80+H82+H84+H86+H88+H98+H100+H102+H90+H92+H94+H96)</f>
        <v>0</v>
      </c>
      <c r="I107" s="93">
        <f t="shared" si="71"/>
        <v>0</v>
      </c>
      <c r="J107" s="93">
        <f t="shared" si="71"/>
        <v>0</v>
      </c>
      <c r="K107" s="93">
        <f t="shared" si="71"/>
        <v>0</v>
      </c>
      <c r="L107" s="93">
        <f t="shared" si="71"/>
        <v>0</v>
      </c>
      <c r="M107" s="93">
        <f t="shared" si="71"/>
        <v>0</v>
      </c>
      <c r="N107" s="93">
        <f t="shared" si="71"/>
        <v>0</v>
      </c>
      <c r="O107" s="93">
        <f t="shared" si="71"/>
        <v>0</v>
      </c>
      <c r="P107" s="93">
        <f t="shared" si="71"/>
        <v>0</v>
      </c>
      <c r="Q107" s="93">
        <f t="shared" si="71"/>
        <v>0</v>
      </c>
      <c r="R107" s="93">
        <f t="shared" si="71"/>
        <v>0</v>
      </c>
      <c r="S107" s="93">
        <f t="shared" si="71"/>
        <v>0</v>
      </c>
      <c r="T107" s="93">
        <f t="shared" si="71"/>
        <v>0</v>
      </c>
      <c r="U107" s="93">
        <f t="shared" si="71"/>
        <v>0</v>
      </c>
      <c r="V107" s="93">
        <f t="shared" si="71"/>
        <v>0</v>
      </c>
      <c r="W107" s="93">
        <f t="shared" si="71"/>
        <v>0</v>
      </c>
      <c r="X107" s="93">
        <f t="shared" si="71"/>
        <v>0</v>
      </c>
      <c r="Y107" s="93">
        <f t="shared" si="71"/>
        <v>0</v>
      </c>
      <c r="Z107" s="93">
        <f t="shared" si="71"/>
        <v>0</v>
      </c>
      <c r="AA107" s="93">
        <f t="shared" ref="AA107" si="72">SUM(AA10+AA12+AA14+AA16+AA20+AA22+AA24+AA26+AA28+AA30+AA32+AA34+AA36+AA38+AA40+AA42+AA44+AA46+AA48+AA50+AA52+AA54+AA56+AA58+AA60+AA62+AA64+AA66+AA68+AA70+AA72+AA104+AA18+AA74+AA76+AA78+AA80+AA82+AA84+AA86+AA88+AA98+AA100+AA102+AA90+AA92+AA94+AA96)</f>
        <v>0</v>
      </c>
      <c r="AB107" s="93">
        <f t="shared" ref="AB107" si="73">SUM(AB10+AB12+AB14+AB16+AB20+AB22+AB24+AB26+AB28+AB30+AB32+AB34+AB36+AB38+AB40+AB42+AB44+AB46+AB48+AB50+AB52+AB54+AB56+AB58+AB60+AB62+AB64+AB66+AB68+AB70+AB72+AB104+AB18+AB74+AB76+AB78+AB80+AB82+AB84+AB86+AB88+AB98+AB100+AB102+AB90+AB92+AB94+AB96)</f>
        <v>0</v>
      </c>
    </row>
    <row r="108" spans="1:34" ht="16.5" customHeight="1">
      <c r="A108" s="243"/>
      <c r="B108" s="245"/>
      <c r="C108" s="247"/>
      <c r="D108" s="93"/>
      <c r="E108" s="93"/>
      <c r="F108" s="94">
        <f>F15+F13+F11</f>
        <v>0</v>
      </c>
      <c r="G108" s="94" t="e">
        <f>SUM(#REF!++#REF!+#REF!+#REF!+#REF!+#REF!+#REF!+#REF!+#REF!+#REF!+#REF!+#REF!+G11+G13+G15+G17+G21+G23+G25+G27+G29+G31+G33+G35+G37+G39+G41+G43+G45+G47+G49+G51+G53+G55+G57+G59+G61+G63+G65+G67+G69+G71+G73+G105+G19+G75+G77+G79+G81+G83+G85+G87+G89+G99+G101+G103+G91+G93+G95+G97)</f>
        <v>#REF!</v>
      </c>
      <c r="H108" s="94">
        <f t="shared" ref="H108:Z108" si="74">H15+H13+H11+H17</f>
        <v>0</v>
      </c>
      <c r="I108" s="94">
        <f t="shared" si="74"/>
        <v>0</v>
      </c>
      <c r="J108" s="94">
        <f t="shared" si="74"/>
        <v>0</v>
      </c>
      <c r="K108" s="94">
        <f t="shared" si="74"/>
        <v>0</v>
      </c>
      <c r="L108" s="94">
        <f t="shared" si="74"/>
        <v>0</v>
      </c>
      <c r="M108" s="94">
        <f t="shared" si="74"/>
        <v>0</v>
      </c>
      <c r="N108" s="94">
        <f t="shared" si="74"/>
        <v>0</v>
      </c>
      <c r="O108" s="94">
        <f t="shared" si="74"/>
        <v>0</v>
      </c>
      <c r="P108" s="94">
        <f t="shared" si="74"/>
        <v>0</v>
      </c>
      <c r="Q108" s="94">
        <f t="shared" si="74"/>
        <v>0</v>
      </c>
      <c r="R108" s="94">
        <f>R15+R13+R11+R17</f>
        <v>0</v>
      </c>
      <c r="S108" s="94">
        <f t="shared" si="74"/>
        <v>0</v>
      </c>
      <c r="T108" s="94">
        <f t="shared" si="74"/>
        <v>0</v>
      </c>
      <c r="U108" s="94">
        <f t="shared" si="74"/>
        <v>0</v>
      </c>
      <c r="V108" s="94">
        <f t="shared" si="74"/>
        <v>0</v>
      </c>
      <c r="W108" s="94">
        <f t="shared" si="74"/>
        <v>0</v>
      </c>
      <c r="X108" s="94">
        <f t="shared" si="74"/>
        <v>0</v>
      </c>
      <c r="Y108" s="94">
        <f t="shared" si="74"/>
        <v>0</v>
      </c>
      <c r="Z108" s="94">
        <f t="shared" si="74"/>
        <v>0</v>
      </c>
      <c r="AA108" s="94">
        <f>AA15+AA13+AA11+AA17</f>
        <v>0</v>
      </c>
      <c r="AB108" s="94">
        <f t="shared" ref="AB108" si="75">AB15+AB13+AB11+AB17</f>
        <v>0</v>
      </c>
      <c r="AC108" s="170" t="e">
        <f>+X108/(AB108+K107)*(AB112+2)</f>
        <v>#DIV/0!</v>
      </c>
      <c r="AD108" s="170" t="e">
        <f>+AH108/AB108*AB112</f>
        <v>#DIV/0!</v>
      </c>
      <c r="AE108" s="153"/>
      <c r="AF108" s="154"/>
      <c r="AH108" s="94">
        <f>AH15+AH13+AH11+AH17</f>
        <v>0</v>
      </c>
    </row>
    <row r="109" spans="1:34" ht="17.100000000000001" hidden="1" customHeight="1">
      <c r="A109" s="95"/>
      <c r="B109" s="96"/>
      <c r="C109" s="97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9"/>
      <c r="P109" s="98"/>
      <c r="Q109" s="98"/>
      <c r="R109" s="98"/>
      <c r="S109" s="98"/>
      <c r="T109" s="98"/>
      <c r="U109" s="98"/>
      <c r="V109" s="98"/>
      <c r="W109" s="98"/>
      <c r="X109" s="99"/>
      <c r="Y109" s="98"/>
      <c r="Z109" s="98"/>
      <c r="AA109" s="99"/>
      <c r="AC109" s="109"/>
      <c r="AD109" s="109"/>
      <c r="AE109" s="153"/>
    </row>
    <row r="110" spans="1:34" ht="17.100000000000001" hidden="1" customHeight="1">
      <c r="A110" s="95"/>
      <c r="B110" s="96"/>
      <c r="C110" s="97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9"/>
      <c r="P110" s="98"/>
      <c r="Q110" s="98"/>
      <c r="R110" s="98"/>
      <c r="S110" s="98"/>
      <c r="T110" s="98"/>
      <c r="U110" s="98"/>
      <c r="V110" s="98"/>
      <c r="W110" s="98"/>
      <c r="X110" s="99"/>
      <c r="Y110" s="98"/>
      <c r="Z110" s="98"/>
      <c r="AA110" s="99"/>
      <c r="AC110" s="109"/>
      <c r="AD110" s="109"/>
      <c r="AE110" s="153"/>
    </row>
    <row r="111" spans="1:34" ht="17.100000000000001" hidden="1" customHeight="1">
      <c r="A111" s="95"/>
      <c r="B111" s="96"/>
      <c r="C111" s="97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9"/>
      <c r="P111" s="98"/>
      <c r="Q111" s="98"/>
      <c r="R111" s="98"/>
      <c r="S111" s="98"/>
      <c r="T111" s="98"/>
      <c r="U111" s="98"/>
      <c r="V111" s="98"/>
      <c r="W111" s="98"/>
      <c r="X111" s="99"/>
      <c r="Y111" s="98"/>
      <c r="Z111" s="98"/>
      <c r="AA111" s="99"/>
      <c r="AC111" s="109"/>
      <c r="AD111" s="109"/>
      <c r="AE111" s="153"/>
    </row>
    <row r="112" spans="1:34" ht="17.100000000000001" customHeight="1">
      <c r="A112" s="95"/>
      <c r="B112" s="96"/>
      <c r="C112" s="97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9"/>
      <c r="P112" s="98"/>
      <c r="Q112" s="98"/>
      <c r="R112" s="98"/>
      <c r="S112" s="98"/>
      <c r="T112" s="98"/>
      <c r="U112" s="98"/>
      <c r="V112" s="98"/>
      <c r="W112" s="98"/>
      <c r="X112" s="99"/>
      <c r="Y112" s="98"/>
      <c r="Z112" s="98"/>
      <c r="AA112" s="99"/>
      <c r="AB112" s="169">
        <f>+AVERAGE(AB10:AB17)</f>
        <v>0</v>
      </c>
      <c r="AC112" s="170" t="e">
        <f>+AC108/(AB112+2)</f>
        <v>#DIV/0!</v>
      </c>
      <c r="AD112" s="170" t="e">
        <f>+AD108/AB112</f>
        <v>#DIV/0!</v>
      </c>
      <c r="AE112" s="153"/>
    </row>
    <row r="113" spans="1:28" ht="30.75" customHeight="1">
      <c r="A113" s="95"/>
      <c r="B113" s="108" t="s">
        <v>167</v>
      </c>
      <c r="C113" s="240" t="e" cm="1">
        <f t="array" aca="1" ref="C113" ca="1">+_xll.VND(AA108)</f>
        <v>#NAME?</v>
      </c>
      <c r="D113" s="240"/>
      <c r="E113" s="240"/>
      <c r="F113" s="240"/>
      <c r="G113" s="240"/>
      <c r="H113" s="240"/>
      <c r="I113" s="240"/>
      <c r="J113" s="240"/>
      <c r="K113" s="240"/>
      <c r="L113" s="240"/>
      <c r="M113" s="240"/>
      <c r="N113" s="240"/>
      <c r="O113" s="240"/>
      <c r="P113" s="240"/>
      <c r="Q113" s="240"/>
      <c r="R113" s="145"/>
      <c r="S113" s="145"/>
      <c r="T113" s="145"/>
      <c r="U113" s="145"/>
      <c r="V113" s="145"/>
      <c r="W113" s="145"/>
      <c r="X113" s="145"/>
      <c r="Y113" s="145"/>
      <c r="Z113" s="145"/>
      <c r="AA113" s="145"/>
      <c r="AB113" s="145"/>
    </row>
    <row r="114" spans="1:28" ht="17.100000000000001" customHeight="1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8"/>
      <c r="P114" s="67"/>
      <c r="Q114" s="67"/>
      <c r="R114" s="69"/>
      <c r="S114" s="67"/>
      <c r="T114" s="67"/>
      <c r="U114" s="67"/>
      <c r="V114" s="67"/>
      <c r="W114" s="67"/>
      <c r="X114" s="241" t="s">
        <v>196</v>
      </c>
      <c r="Y114" s="241"/>
      <c r="Z114" s="241"/>
      <c r="AA114" s="241"/>
    </row>
    <row r="115" spans="1:28" ht="17.100000000000001" customHeight="1">
      <c r="A115" s="64"/>
      <c r="B115" s="106" t="s">
        <v>34</v>
      </c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5"/>
      <c r="P115" s="64"/>
      <c r="Q115" s="64"/>
      <c r="R115" s="64"/>
      <c r="S115" s="64"/>
      <c r="T115" s="64"/>
      <c r="U115" s="64"/>
      <c r="V115" s="64"/>
      <c r="W115" s="64"/>
      <c r="X115" s="221" t="s">
        <v>86</v>
      </c>
      <c r="Y115" s="221"/>
      <c r="Z115" s="221"/>
      <c r="AA115" s="221"/>
    </row>
    <row r="116" spans="1:28" ht="17.100000000000001" customHeight="1">
      <c r="A116" s="67"/>
      <c r="B116" s="10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8"/>
      <c r="P116" s="67"/>
      <c r="Q116" s="67"/>
      <c r="R116" s="67"/>
      <c r="S116" s="67"/>
      <c r="T116" s="67"/>
      <c r="U116" s="67"/>
      <c r="V116" s="67"/>
      <c r="W116" s="67"/>
      <c r="X116" s="68"/>
      <c r="Y116" s="67"/>
      <c r="Z116" s="67"/>
      <c r="AA116" s="68"/>
    </row>
    <row r="117" spans="1:28" ht="11.25" customHeight="1">
      <c r="A117" s="67"/>
      <c r="B117" s="107"/>
      <c r="C117" s="67"/>
      <c r="D117" s="67"/>
      <c r="E117" s="100"/>
      <c r="F117" s="67"/>
      <c r="G117" s="67"/>
      <c r="H117" s="67"/>
      <c r="I117" s="67"/>
      <c r="J117" s="67"/>
      <c r="K117" s="67"/>
      <c r="L117" s="67"/>
      <c r="M117" s="67"/>
      <c r="N117" s="67"/>
      <c r="O117" s="68"/>
      <c r="P117" s="67"/>
      <c r="Q117" s="67"/>
      <c r="R117" s="67"/>
      <c r="S117" s="67"/>
      <c r="T117" s="67"/>
      <c r="U117" s="67"/>
      <c r="V117" s="67"/>
      <c r="W117" s="67"/>
      <c r="X117" s="68"/>
      <c r="Y117" s="67"/>
      <c r="Z117" s="67"/>
      <c r="AA117" s="68"/>
    </row>
    <row r="118" spans="1:28" ht="17.100000000000001" customHeight="1">
      <c r="A118" s="67"/>
      <c r="B118" s="10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8"/>
      <c r="P118" s="67"/>
      <c r="Q118" s="67"/>
      <c r="R118" s="67"/>
      <c r="S118" s="67"/>
      <c r="T118" s="67"/>
      <c r="U118" s="67"/>
      <c r="V118" s="67"/>
      <c r="W118" s="67"/>
      <c r="X118" s="68"/>
      <c r="Y118" s="69"/>
      <c r="Z118" s="67"/>
      <c r="AA118" s="68"/>
    </row>
    <row r="119" spans="1:28" s="104" customFormat="1" ht="17.100000000000001" customHeight="1">
      <c r="A119" s="101"/>
      <c r="B119" s="108" t="s">
        <v>175</v>
      </c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3"/>
      <c r="P119" s="102"/>
      <c r="Q119" s="102"/>
      <c r="R119" s="102"/>
      <c r="S119" s="102"/>
      <c r="T119" s="102"/>
      <c r="U119" s="102"/>
      <c r="V119" s="102"/>
      <c r="W119" s="102"/>
      <c r="X119" s="222" t="s">
        <v>179</v>
      </c>
      <c r="Y119" s="222"/>
      <c r="Z119" s="222"/>
      <c r="AA119" s="222"/>
    </row>
    <row r="120" spans="1:28" ht="17.100000000000001" customHeight="1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8"/>
      <c r="P120" s="67"/>
      <c r="Q120" s="67"/>
      <c r="R120" s="67"/>
      <c r="S120" s="67"/>
      <c r="T120" s="67"/>
      <c r="U120" s="67"/>
      <c r="V120" s="67"/>
      <c r="W120" s="67"/>
      <c r="X120" s="68"/>
      <c r="Y120" s="67"/>
      <c r="Z120" s="67"/>
      <c r="AA120" s="68"/>
    </row>
    <row r="121" spans="1:28" ht="17.100000000000001" customHeight="1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8"/>
      <c r="P121" s="67"/>
      <c r="Q121" s="67"/>
      <c r="R121" s="67"/>
      <c r="S121" s="67"/>
      <c r="T121" s="67"/>
      <c r="U121" s="67"/>
      <c r="V121" s="67"/>
      <c r="W121" s="67"/>
      <c r="X121" s="68"/>
      <c r="Y121" s="67"/>
      <c r="Z121" s="67"/>
      <c r="AA121" s="68"/>
    </row>
  </sheetData>
  <mergeCells count="283">
    <mergeCell ref="AH6:AH8"/>
    <mergeCell ref="AG6:AG8"/>
    <mergeCell ref="AF6:AF8"/>
    <mergeCell ref="AE6:AE8"/>
    <mergeCell ref="AD6:AD8"/>
    <mergeCell ref="AC6:AC8"/>
    <mergeCell ref="AB6:AB8"/>
    <mergeCell ref="H6:N6"/>
    <mergeCell ref="O6:V6"/>
    <mergeCell ref="W6:W7"/>
    <mergeCell ref="X6:X8"/>
    <mergeCell ref="Y6:Z6"/>
    <mergeCell ref="AA6:AA8"/>
    <mergeCell ref="Q7:Q8"/>
    <mergeCell ref="S7:S8"/>
    <mergeCell ref="R7:R8"/>
    <mergeCell ref="V7:V8"/>
    <mergeCell ref="H7:H8"/>
    <mergeCell ref="J7:J8"/>
    <mergeCell ref="K7:K8"/>
    <mergeCell ref="N7:N8"/>
    <mergeCell ref="I7:I8"/>
    <mergeCell ref="L7:L8"/>
    <mergeCell ref="Z7:Z8"/>
    <mergeCell ref="D102:E102"/>
    <mergeCell ref="C113:Q113"/>
    <mergeCell ref="X114:AA114"/>
    <mergeCell ref="A104:A105"/>
    <mergeCell ref="B104:B105"/>
    <mergeCell ref="C104:C105"/>
    <mergeCell ref="D104:E104"/>
    <mergeCell ref="D105:E105"/>
    <mergeCell ref="A107:A108"/>
    <mergeCell ref="B107:B108"/>
    <mergeCell ref="C107:C108"/>
    <mergeCell ref="A94:A95"/>
    <mergeCell ref="B94:B95"/>
    <mergeCell ref="C94:C95"/>
    <mergeCell ref="D94:E94"/>
    <mergeCell ref="D95:E95"/>
    <mergeCell ref="D103:E103"/>
    <mergeCell ref="A96:A97"/>
    <mergeCell ref="B96:B97"/>
    <mergeCell ref="C96:C97"/>
    <mergeCell ref="D96:E96"/>
    <mergeCell ref="D97:E97"/>
    <mergeCell ref="A98:A99"/>
    <mergeCell ref="B98:B99"/>
    <mergeCell ref="C98:C99"/>
    <mergeCell ref="D98:E98"/>
    <mergeCell ref="D99:E99"/>
    <mergeCell ref="A100:A101"/>
    <mergeCell ref="B100:B101"/>
    <mergeCell ref="C100:C101"/>
    <mergeCell ref="D100:E100"/>
    <mergeCell ref="D101:E101"/>
    <mergeCell ref="A102:A103"/>
    <mergeCell ref="B102:B103"/>
    <mergeCell ref="C102:C103"/>
    <mergeCell ref="A90:A91"/>
    <mergeCell ref="B90:B91"/>
    <mergeCell ref="C90:C91"/>
    <mergeCell ref="D90:E90"/>
    <mergeCell ref="D91:E91"/>
    <mergeCell ref="A92:A93"/>
    <mergeCell ref="B92:B93"/>
    <mergeCell ref="C92:C93"/>
    <mergeCell ref="D92:E92"/>
    <mergeCell ref="D93:E93"/>
    <mergeCell ref="A86:A87"/>
    <mergeCell ref="B86:B87"/>
    <mergeCell ref="C86:C87"/>
    <mergeCell ref="D86:E86"/>
    <mergeCell ref="D87:E87"/>
    <mergeCell ref="A88:A89"/>
    <mergeCell ref="B88:B89"/>
    <mergeCell ref="C88:C89"/>
    <mergeCell ref="D88:E88"/>
    <mergeCell ref="D89:E89"/>
    <mergeCell ref="A82:A83"/>
    <mergeCell ref="B82:B83"/>
    <mergeCell ref="C82:C83"/>
    <mergeCell ref="D82:E82"/>
    <mergeCell ref="D83:E83"/>
    <mergeCell ref="A84:A85"/>
    <mergeCell ref="B84:B85"/>
    <mergeCell ref="C84:C85"/>
    <mergeCell ref="D84:E84"/>
    <mergeCell ref="D85:E85"/>
    <mergeCell ref="A78:A79"/>
    <mergeCell ref="B78:B79"/>
    <mergeCell ref="C78:C79"/>
    <mergeCell ref="D78:E78"/>
    <mergeCell ref="D79:E79"/>
    <mergeCell ref="A80:A81"/>
    <mergeCell ref="B80:B81"/>
    <mergeCell ref="C80:C81"/>
    <mergeCell ref="D80:E80"/>
    <mergeCell ref="D81:E81"/>
    <mergeCell ref="A74:A75"/>
    <mergeCell ref="B74:B75"/>
    <mergeCell ref="C74:C75"/>
    <mergeCell ref="D74:E74"/>
    <mergeCell ref="D75:E75"/>
    <mergeCell ref="A76:A77"/>
    <mergeCell ref="B76:B77"/>
    <mergeCell ref="C76:C77"/>
    <mergeCell ref="D76:E76"/>
    <mergeCell ref="D77:E77"/>
    <mergeCell ref="A70:A71"/>
    <mergeCell ref="B70:B71"/>
    <mergeCell ref="C70:C71"/>
    <mergeCell ref="D70:E70"/>
    <mergeCell ref="D71:E71"/>
    <mergeCell ref="A72:A73"/>
    <mergeCell ref="B72:B73"/>
    <mergeCell ref="C72:C73"/>
    <mergeCell ref="D72:E72"/>
    <mergeCell ref="D73:E73"/>
    <mergeCell ref="A66:A67"/>
    <mergeCell ref="B66:B67"/>
    <mergeCell ref="C66:C67"/>
    <mergeCell ref="D66:E66"/>
    <mergeCell ref="D67:E67"/>
    <mergeCell ref="A68:A69"/>
    <mergeCell ref="B68:B69"/>
    <mergeCell ref="C68:C69"/>
    <mergeCell ref="D68:E68"/>
    <mergeCell ref="D69:E69"/>
    <mergeCell ref="A62:A63"/>
    <mergeCell ref="B62:B63"/>
    <mergeCell ref="C62:C63"/>
    <mergeCell ref="D62:E62"/>
    <mergeCell ref="D63:E63"/>
    <mergeCell ref="A64:A65"/>
    <mergeCell ref="B64:B65"/>
    <mergeCell ref="C64:C65"/>
    <mergeCell ref="D64:E64"/>
    <mergeCell ref="D65:E65"/>
    <mergeCell ref="A58:A59"/>
    <mergeCell ref="B58:B59"/>
    <mergeCell ref="C58:C59"/>
    <mergeCell ref="D58:E58"/>
    <mergeCell ref="D59:E59"/>
    <mergeCell ref="A60:A61"/>
    <mergeCell ref="B60:B61"/>
    <mergeCell ref="C60:C61"/>
    <mergeCell ref="D60:E60"/>
    <mergeCell ref="D61:E61"/>
    <mergeCell ref="A54:A55"/>
    <mergeCell ref="B54:B55"/>
    <mergeCell ref="C54:C55"/>
    <mergeCell ref="D54:E54"/>
    <mergeCell ref="D55:E55"/>
    <mergeCell ref="A56:A57"/>
    <mergeCell ref="B56:B57"/>
    <mergeCell ref="C56:C57"/>
    <mergeCell ref="D56:E56"/>
    <mergeCell ref="D57:E57"/>
    <mergeCell ref="A50:A51"/>
    <mergeCell ref="B50:B51"/>
    <mergeCell ref="C50:C51"/>
    <mergeCell ref="D50:E50"/>
    <mergeCell ref="D51:E51"/>
    <mergeCell ref="A52:A53"/>
    <mergeCell ref="B52:B53"/>
    <mergeCell ref="C52:C53"/>
    <mergeCell ref="D52:E52"/>
    <mergeCell ref="D53:E53"/>
    <mergeCell ref="A46:A47"/>
    <mergeCell ref="B46:B47"/>
    <mergeCell ref="C46:C47"/>
    <mergeCell ref="D46:E46"/>
    <mergeCell ref="D47:E47"/>
    <mergeCell ref="A48:A49"/>
    <mergeCell ref="B48:B49"/>
    <mergeCell ref="C48:C49"/>
    <mergeCell ref="D48:E48"/>
    <mergeCell ref="D49:E49"/>
    <mergeCell ref="A42:A43"/>
    <mergeCell ref="B42:B43"/>
    <mergeCell ref="C42:C43"/>
    <mergeCell ref="D42:E42"/>
    <mergeCell ref="D43:E43"/>
    <mergeCell ref="A44:A45"/>
    <mergeCell ref="B44:B45"/>
    <mergeCell ref="C44:C45"/>
    <mergeCell ref="D44:E44"/>
    <mergeCell ref="D45:E45"/>
    <mergeCell ref="A38:A39"/>
    <mergeCell ref="B38:B39"/>
    <mergeCell ref="C38:C39"/>
    <mergeCell ref="D38:E38"/>
    <mergeCell ref="D39:E39"/>
    <mergeCell ref="A40:A41"/>
    <mergeCell ref="B40:B41"/>
    <mergeCell ref="C40:C41"/>
    <mergeCell ref="D40:E40"/>
    <mergeCell ref="D41:E41"/>
    <mergeCell ref="A34:A35"/>
    <mergeCell ref="B34:B35"/>
    <mergeCell ref="C34:C35"/>
    <mergeCell ref="D34:E34"/>
    <mergeCell ref="D35:E35"/>
    <mergeCell ref="A36:A37"/>
    <mergeCell ref="B36:B37"/>
    <mergeCell ref="C36:C37"/>
    <mergeCell ref="D36:E36"/>
    <mergeCell ref="D37:E37"/>
    <mergeCell ref="A30:A31"/>
    <mergeCell ref="B30:B31"/>
    <mergeCell ref="C30:C31"/>
    <mergeCell ref="D30:E30"/>
    <mergeCell ref="D31:E31"/>
    <mergeCell ref="A32:A33"/>
    <mergeCell ref="B32:B33"/>
    <mergeCell ref="C32:C33"/>
    <mergeCell ref="D32:E32"/>
    <mergeCell ref="D33:E33"/>
    <mergeCell ref="A26:A27"/>
    <mergeCell ref="B26:B27"/>
    <mergeCell ref="C26:C27"/>
    <mergeCell ref="D26:E26"/>
    <mergeCell ref="D27:E27"/>
    <mergeCell ref="A28:A29"/>
    <mergeCell ref="B28:B29"/>
    <mergeCell ref="C28:C29"/>
    <mergeCell ref="D28:E28"/>
    <mergeCell ref="D29:E29"/>
    <mergeCell ref="A22:A23"/>
    <mergeCell ref="B22:B23"/>
    <mergeCell ref="C22:C23"/>
    <mergeCell ref="D22:E22"/>
    <mergeCell ref="D23:E23"/>
    <mergeCell ref="A24:A25"/>
    <mergeCell ref="B24:B25"/>
    <mergeCell ref="C24:C25"/>
    <mergeCell ref="D24:E24"/>
    <mergeCell ref="D25:E25"/>
    <mergeCell ref="A18:A19"/>
    <mergeCell ref="B18:B19"/>
    <mergeCell ref="C18:C19"/>
    <mergeCell ref="D18:E18"/>
    <mergeCell ref="D19:E19"/>
    <mergeCell ref="A20:A21"/>
    <mergeCell ref="B20:B21"/>
    <mergeCell ref="C20:C21"/>
    <mergeCell ref="D20:E20"/>
    <mergeCell ref="D21:E21"/>
    <mergeCell ref="F6:F8"/>
    <mergeCell ref="X115:AA115"/>
    <mergeCell ref="X119:AA119"/>
    <mergeCell ref="A6:A8"/>
    <mergeCell ref="B6:B8"/>
    <mergeCell ref="C6:C8"/>
    <mergeCell ref="D6:E8"/>
    <mergeCell ref="D9:E9"/>
    <mergeCell ref="A10:A11"/>
    <mergeCell ref="B10:B11"/>
    <mergeCell ref="C10:C11"/>
    <mergeCell ref="D10:E10"/>
    <mergeCell ref="D11:E11"/>
    <mergeCell ref="O7:O8"/>
    <mergeCell ref="P7:P8"/>
    <mergeCell ref="M7:M8"/>
    <mergeCell ref="T7:T8"/>
    <mergeCell ref="U7:U8"/>
    <mergeCell ref="Y7:Y8"/>
    <mergeCell ref="A16:A17"/>
    <mergeCell ref="B16:B17"/>
    <mergeCell ref="C16:C17"/>
    <mergeCell ref="D16:E16"/>
    <mergeCell ref="D17:E17"/>
    <mergeCell ref="A12:A13"/>
    <mergeCell ref="B12:B13"/>
    <mergeCell ref="C12:C13"/>
    <mergeCell ref="D12:E12"/>
    <mergeCell ref="D13:E13"/>
    <mergeCell ref="A14:A15"/>
    <mergeCell ref="B14:B15"/>
    <mergeCell ref="C14:C15"/>
    <mergeCell ref="D14:E14"/>
    <mergeCell ref="D15:E15"/>
  </mergeCells>
  <pageMargins left="0" right="0" top="0" bottom="0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184"/>
  <sheetViews>
    <sheetView view="pageBreakPreview" topLeftCell="A88" zoomScale="85" zoomScaleNormal="100" workbookViewId="0">
      <selection activeCell="I59" sqref="I59:K59"/>
    </sheetView>
  </sheetViews>
  <sheetFormatPr defaultRowHeight="18.75" customHeight="1"/>
  <cols>
    <col min="1" max="1" width="13.5703125" style="111" customWidth="1"/>
    <col min="2" max="2" width="5.140625" style="111" customWidth="1"/>
    <col min="3" max="3" width="6.85546875" style="111" customWidth="1"/>
    <col min="4" max="4" width="4.7109375" style="111" customWidth="1"/>
    <col min="5" max="9" width="5" style="111" customWidth="1"/>
    <col min="10" max="10" width="6.7109375" style="111" customWidth="1"/>
    <col min="11" max="11" width="20.28515625" style="111" customWidth="1"/>
    <col min="12" max="12" width="11.140625" style="111" customWidth="1"/>
    <col min="13" max="13" width="13.28515625" style="111" customWidth="1"/>
    <col min="14" max="14" width="4.140625" style="111" customWidth="1"/>
    <col min="15" max="15" width="6.28515625" style="111" customWidth="1"/>
    <col min="16" max="18" width="4.140625" style="111" customWidth="1"/>
    <col min="19" max="19" width="10.28515625" style="111" bestFit="1" customWidth="1"/>
    <col min="20" max="20" width="4.42578125" style="111" customWidth="1"/>
    <col min="21" max="22" width="10.28515625" style="111" bestFit="1" customWidth="1"/>
    <col min="23" max="23" width="17" style="111" customWidth="1"/>
    <col min="24" max="256" width="9.140625" style="111"/>
    <col min="257" max="257" width="13.5703125" style="111" customWidth="1"/>
    <col min="258" max="258" width="5.140625" style="111" customWidth="1"/>
    <col min="259" max="259" width="6.85546875" style="111" customWidth="1"/>
    <col min="260" max="260" width="4.7109375" style="111" customWidth="1"/>
    <col min="261" max="265" width="5" style="111" customWidth="1"/>
    <col min="266" max="266" width="6.7109375" style="111" customWidth="1"/>
    <col min="267" max="267" width="20.28515625" style="111" customWidth="1"/>
    <col min="268" max="268" width="11.140625" style="111" customWidth="1"/>
    <col min="269" max="269" width="13.28515625" style="111" customWidth="1"/>
    <col min="270" max="270" width="4.140625" style="111" customWidth="1"/>
    <col min="271" max="271" width="6.28515625" style="111" customWidth="1"/>
    <col min="272" max="274" width="4.140625" style="111" customWidth="1"/>
    <col min="275" max="275" width="10.28515625" style="111" bestFit="1" customWidth="1"/>
    <col min="276" max="276" width="4.42578125" style="111" customWidth="1"/>
    <col min="277" max="278" width="10.28515625" style="111" bestFit="1" customWidth="1"/>
    <col min="279" max="279" width="17" style="111" customWidth="1"/>
    <col min="280" max="512" width="9.140625" style="111"/>
    <col min="513" max="513" width="13.5703125" style="111" customWidth="1"/>
    <col min="514" max="514" width="5.140625" style="111" customWidth="1"/>
    <col min="515" max="515" width="6.85546875" style="111" customWidth="1"/>
    <col min="516" max="516" width="4.7109375" style="111" customWidth="1"/>
    <col min="517" max="521" width="5" style="111" customWidth="1"/>
    <col min="522" max="522" width="6.7109375" style="111" customWidth="1"/>
    <col min="523" max="523" width="20.28515625" style="111" customWidth="1"/>
    <col min="524" max="524" width="11.140625" style="111" customWidth="1"/>
    <col min="525" max="525" width="13.28515625" style="111" customWidth="1"/>
    <col min="526" max="526" width="4.140625" style="111" customWidth="1"/>
    <col min="527" max="527" width="6.28515625" style="111" customWidth="1"/>
    <col min="528" max="530" width="4.140625" style="111" customWidth="1"/>
    <col min="531" max="531" width="10.28515625" style="111" bestFit="1" customWidth="1"/>
    <col min="532" max="532" width="4.42578125" style="111" customWidth="1"/>
    <col min="533" max="534" width="10.28515625" style="111" bestFit="1" customWidth="1"/>
    <col min="535" max="535" width="17" style="111" customWidth="1"/>
    <col min="536" max="768" width="9.140625" style="111"/>
    <col min="769" max="769" width="13.5703125" style="111" customWidth="1"/>
    <col min="770" max="770" width="5.140625" style="111" customWidth="1"/>
    <col min="771" max="771" width="6.85546875" style="111" customWidth="1"/>
    <col min="772" max="772" width="4.7109375" style="111" customWidth="1"/>
    <col min="773" max="777" width="5" style="111" customWidth="1"/>
    <col min="778" max="778" width="6.7109375" style="111" customWidth="1"/>
    <col min="779" max="779" width="20.28515625" style="111" customWidth="1"/>
    <col min="780" max="780" width="11.140625" style="111" customWidth="1"/>
    <col min="781" max="781" width="13.28515625" style="111" customWidth="1"/>
    <col min="782" max="782" width="4.140625" style="111" customWidth="1"/>
    <col min="783" max="783" width="6.28515625" style="111" customWidth="1"/>
    <col min="784" max="786" width="4.140625" style="111" customWidth="1"/>
    <col min="787" max="787" width="10.28515625" style="111" bestFit="1" customWidth="1"/>
    <col min="788" max="788" width="4.42578125" style="111" customWidth="1"/>
    <col min="789" max="790" width="10.28515625" style="111" bestFit="1" customWidth="1"/>
    <col min="791" max="791" width="17" style="111" customWidth="1"/>
    <col min="792" max="1024" width="9.140625" style="111"/>
    <col min="1025" max="1025" width="13.5703125" style="111" customWidth="1"/>
    <col min="1026" max="1026" width="5.140625" style="111" customWidth="1"/>
    <col min="1027" max="1027" width="6.85546875" style="111" customWidth="1"/>
    <col min="1028" max="1028" width="4.7109375" style="111" customWidth="1"/>
    <col min="1029" max="1033" width="5" style="111" customWidth="1"/>
    <col min="1034" max="1034" width="6.7109375" style="111" customWidth="1"/>
    <col min="1035" max="1035" width="20.28515625" style="111" customWidth="1"/>
    <col min="1036" max="1036" width="11.140625" style="111" customWidth="1"/>
    <col min="1037" max="1037" width="13.28515625" style="111" customWidth="1"/>
    <col min="1038" max="1038" width="4.140625" style="111" customWidth="1"/>
    <col min="1039" max="1039" width="6.28515625" style="111" customWidth="1"/>
    <col min="1040" max="1042" width="4.140625" style="111" customWidth="1"/>
    <col min="1043" max="1043" width="10.28515625" style="111" bestFit="1" customWidth="1"/>
    <col min="1044" max="1044" width="4.42578125" style="111" customWidth="1"/>
    <col min="1045" max="1046" width="10.28515625" style="111" bestFit="1" customWidth="1"/>
    <col min="1047" max="1047" width="17" style="111" customWidth="1"/>
    <col min="1048" max="1280" width="9.140625" style="111"/>
    <col min="1281" max="1281" width="13.5703125" style="111" customWidth="1"/>
    <col min="1282" max="1282" width="5.140625" style="111" customWidth="1"/>
    <col min="1283" max="1283" width="6.85546875" style="111" customWidth="1"/>
    <col min="1284" max="1284" width="4.7109375" style="111" customWidth="1"/>
    <col min="1285" max="1289" width="5" style="111" customWidth="1"/>
    <col min="1290" max="1290" width="6.7109375" style="111" customWidth="1"/>
    <col min="1291" max="1291" width="20.28515625" style="111" customWidth="1"/>
    <col min="1292" max="1292" width="11.140625" style="111" customWidth="1"/>
    <col min="1293" max="1293" width="13.28515625" style="111" customWidth="1"/>
    <col min="1294" max="1294" width="4.140625" style="111" customWidth="1"/>
    <col min="1295" max="1295" width="6.28515625" style="111" customWidth="1"/>
    <col min="1296" max="1298" width="4.140625" style="111" customWidth="1"/>
    <col min="1299" max="1299" width="10.28515625" style="111" bestFit="1" customWidth="1"/>
    <col min="1300" max="1300" width="4.42578125" style="111" customWidth="1"/>
    <col min="1301" max="1302" width="10.28515625" style="111" bestFit="1" customWidth="1"/>
    <col min="1303" max="1303" width="17" style="111" customWidth="1"/>
    <col min="1304" max="1536" width="9.140625" style="111"/>
    <col min="1537" max="1537" width="13.5703125" style="111" customWidth="1"/>
    <col min="1538" max="1538" width="5.140625" style="111" customWidth="1"/>
    <col min="1539" max="1539" width="6.85546875" style="111" customWidth="1"/>
    <col min="1540" max="1540" width="4.7109375" style="111" customWidth="1"/>
    <col min="1541" max="1545" width="5" style="111" customWidth="1"/>
    <col min="1546" max="1546" width="6.7109375" style="111" customWidth="1"/>
    <col min="1547" max="1547" width="20.28515625" style="111" customWidth="1"/>
    <col min="1548" max="1548" width="11.140625" style="111" customWidth="1"/>
    <col min="1549" max="1549" width="13.28515625" style="111" customWidth="1"/>
    <col min="1550" max="1550" width="4.140625" style="111" customWidth="1"/>
    <col min="1551" max="1551" width="6.28515625" style="111" customWidth="1"/>
    <col min="1552" max="1554" width="4.140625" style="111" customWidth="1"/>
    <col min="1555" max="1555" width="10.28515625" style="111" bestFit="1" customWidth="1"/>
    <col min="1556" max="1556" width="4.42578125" style="111" customWidth="1"/>
    <col min="1557" max="1558" width="10.28515625" style="111" bestFit="1" customWidth="1"/>
    <col min="1559" max="1559" width="17" style="111" customWidth="1"/>
    <col min="1560" max="1792" width="9.140625" style="111"/>
    <col min="1793" max="1793" width="13.5703125" style="111" customWidth="1"/>
    <col min="1794" max="1794" width="5.140625" style="111" customWidth="1"/>
    <col min="1795" max="1795" width="6.85546875" style="111" customWidth="1"/>
    <col min="1796" max="1796" width="4.7109375" style="111" customWidth="1"/>
    <col min="1797" max="1801" width="5" style="111" customWidth="1"/>
    <col min="1802" max="1802" width="6.7109375" style="111" customWidth="1"/>
    <col min="1803" max="1803" width="20.28515625" style="111" customWidth="1"/>
    <col min="1804" max="1804" width="11.140625" style="111" customWidth="1"/>
    <col min="1805" max="1805" width="13.28515625" style="111" customWidth="1"/>
    <col min="1806" max="1806" width="4.140625" style="111" customWidth="1"/>
    <col min="1807" max="1807" width="6.28515625" style="111" customWidth="1"/>
    <col min="1808" max="1810" width="4.140625" style="111" customWidth="1"/>
    <col min="1811" max="1811" width="10.28515625" style="111" bestFit="1" customWidth="1"/>
    <col min="1812" max="1812" width="4.42578125" style="111" customWidth="1"/>
    <col min="1813" max="1814" width="10.28515625" style="111" bestFit="1" customWidth="1"/>
    <col min="1815" max="1815" width="17" style="111" customWidth="1"/>
    <col min="1816" max="2048" width="9.140625" style="111"/>
    <col min="2049" max="2049" width="13.5703125" style="111" customWidth="1"/>
    <col min="2050" max="2050" width="5.140625" style="111" customWidth="1"/>
    <col min="2051" max="2051" width="6.85546875" style="111" customWidth="1"/>
    <col min="2052" max="2052" width="4.7109375" style="111" customWidth="1"/>
    <col min="2053" max="2057" width="5" style="111" customWidth="1"/>
    <col min="2058" max="2058" width="6.7109375" style="111" customWidth="1"/>
    <col min="2059" max="2059" width="20.28515625" style="111" customWidth="1"/>
    <col min="2060" max="2060" width="11.140625" style="111" customWidth="1"/>
    <col min="2061" max="2061" width="13.28515625" style="111" customWidth="1"/>
    <col min="2062" max="2062" width="4.140625" style="111" customWidth="1"/>
    <col min="2063" max="2063" width="6.28515625" style="111" customWidth="1"/>
    <col min="2064" max="2066" width="4.140625" style="111" customWidth="1"/>
    <col min="2067" max="2067" width="10.28515625" style="111" bestFit="1" customWidth="1"/>
    <col min="2068" max="2068" width="4.42578125" style="111" customWidth="1"/>
    <col min="2069" max="2070" width="10.28515625" style="111" bestFit="1" customWidth="1"/>
    <col min="2071" max="2071" width="17" style="111" customWidth="1"/>
    <col min="2072" max="2304" width="9.140625" style="111"/>
    <col min="2305" max="2305" width="13.5703125" style="111" customWidth="1"/>
    <col min="2306" max="2306" width="5.140625" style="111" customWidth="1"/>
    <col min="2307" max="2307" width="6.85546875" style="111" customWidth="1"/>
    <col min="2308" max="2308" width="4.7109375" style="111" customWidth="1"/>
    <col min="2309" max="2313" width="5" style="111" customWidth="1"/>
    <col min="2314" max="2314" width="6.7109375" style="111" customWidth="1"/>
    <col min="2315" max="2315" width="20.28515625" style="111" customWidth="1"/>
    <col min="2316" max="2316" width="11.140625" style="111" customWidth="1"/>
    <col min="2317" max="2317" width="13.28515625" style="111" customWidth="1"/>
    <col min="2318" max="2318" width="4.140625" style="111" customWidth="1"/>
    <col min="2319" max="2319" width="6.28515625" style="111" customWidth="1"/>
    <col min="2320" max="2322" width="4.140625" style="111" customWidth="1"/>
    <col min="2323" max="2323" width="10.28515625" style="111" bestFit="1" customWidth="1"/>
    <col min="2324" max="2324" width="4.42578125" style="111" customWidth="1"/>
    <col min="2325" max="2326" width="10.28515625" style="111" bestFit="1" customWidth="1"/>
    <col min="2327" max="2327" width="17" style="111" customWidth="1"/>
    <col min="2328" max="2560" width="9.140625" style="111"/>
    <col min="2561" max="2561" width="13.5703125" style="111" customWidth="1"/>
    <col min="2562" max="2562" width="5.140625" style="111" customWidth="1"/>
    <col min="2563" max="2563" width="6.85546875" style="111" customWidth="1"/>
    <col min="2564" max="2564" width="4.7109375" style="111" customWidth="1"/>
    <col min="2565" max="2569" width="5" style="111" customWidth="1"/>
    <col min="2570" max="2570" width="6.7109375" style="111" customWidth="1"/>
    <col min="2571" max="2571" width="20.28515625" style="111" customWidth="1"/>
    <col min="2572" max="2572" width="11.140625" style="111" customWidth="1"/>
    <col min="2573" max="2573" width="13.28515625" style="111" customWidth="1"/>
    <col min="2574" max="2574" width="4.140625" style="111" customWidth="1"/>
    <col min="2575" max="2575" width="6.28515625" style="111" customWidth="1"/>
    <col min="2576" max="2578" width="4.140625" style="111" customWidth="1"/>
    <col min="2579" max="2579" width="10.28515625" style="111" bestFit="1" customWidth="1"/>
    <col min="2580" max="2580" width="4.42578125" style="111" customWidth="1"/>
    <col min="2581" max="2582" width="10.28515625" style="111" bestFit="1" customWidth="1"/>
    <col min="2583" max="2583" width="17" style="111" customWidth="1"/>
    <col min="2584" max="2816" width="9.140625" style="111"/>
    <col min="2817" max="2817" width="13.5703125" style="111" customWidth="1"/>
    <col min="2818" max="2818" width="5.140625" style="111" customWidth="1"/>
    <col min="2819" max="2819" width="6.85546875" style="111" customWidth="1"/>
    <col min="2820" max="2820" width="4.7109375" style="111" customWidth="1"/>
    <col min="2821" max="2825" width="5" style="111" customWidth="1"/>
    <col min="2826" max="2826" width="6.7109375" style="111" customWidth="1"/>
    <col min="2827" max="2827" width="20.28515625" style="111" customWidth="1"/>
    <col min="2828" max="2828" width="11.140625" style="111" customWidth="1"/>
    <col min="2829" max="2829" width="13.28515625" style="111" customWidth="1"/>
    <col min="2830" max="2830" width="4.140625" style="111" customWidth="1"/>
    <col min="2831" max="2831" width="6.28515625" style="111" customWidth="1"/>
    <col min="2832" max="2834" width="4.140625" style="111" customWidth="1"/>
    <col min="2835" max="2835" width="10.28515625" style="111" bestFit="1" customWidth="1"/>
    <col min="2836" max="2836" width="4.42578125" style="111" customWidth="1"/>
    <col min="2837" max="2838" width="10.28515625" style="111" bestFit="1" customWidth="1"/>
    <col min="2839" max="2839" width="17" style="111" customWidth="1"/>
    <col min="2840" max="3072" width="9.140625" style="111"/>
    <col min="3073" max="3073" width="13.5703125" style="111" customWidth="1"/>
    <col min="3074" max="3074" width="5.140625" style="111" customWidth="1"/>
    <col min="3075" max="3075" width="6.85546875" style="111" customWidth="1"/>
    <col min="3076" max="3076" width="4.7109375" style="111" customWidth="1"/>
    <col min="3077" max="3081" width="5" style="111" customWidth="1"/>
    <col min="3082" max="3082" width="6.7109375" style="111" customWidth="1"/>
    <col min="3083" max="3083" width="20.28515625" style="111" customWidth="1"/>
    <col min="3084" max="3084" width="11.140625" style="111" customWidth="1"/>
    <col min="3085" max="3085" width="13.28515625" style="111" customWidth="1"/>
    <col min="3086" max="3086" width="4.140625" style="111" customWidth="1"/>
    <col min="3087" max="3087" width="6.28515625" style="111" customWidth="1"/>
    <col min="3088" max="3090" width="4.140625" style="111" customWidth="1"/>
    <col min="3091" max="3091" width="10.28515625" style="111" bestFit="1" customWidth="1"/>
    <col min="3092" max="3092" width="4.42578125" style="111" customWidth="1"/>
    <col min="3093" max="3094" width="10.28515625" style="111" bestFit="1" customWidth="1"/>
    <col min="3095" max="3095" width="17" style="111" customWidth="1"/>
    <col min="3096" max="3328" width="9.140625" style="111"/>
    <col min="3329" max="3329" width="13.5703125" style="111" customWidth="1"/>
    <col min="3330" max="3330" width="5.140625" style="111" customWidth="1"/>
    <col min="3331" max="3331" width="6.85546875" style="111" customWidth="1"/>
    <col min="3332" max="3332" width="4.7109375" style="111" customWidth="1"/>
    <col min="3333" max="3337" width="5" style="111" customWidth="1"/>
    <col min="3338" max="3338" width="6.7109375" style="111" customWidth="1"/>
    <col min="3339" max="3339" width="20.28515625" style="111" customWidth="1"/>
    <col min="3340" max="3340" width="11.140625" style="111" customWidth="1"/>
    <col min="3341" max="3341" width="13.28515625" style="111" customWidth="1"/>
    <col min="3342" max="3342" width="4.140625" style="111" customWidth="1"/>
    <col min="3343" max="3343" width="6.28515625" style="111" customWidth="1"/>
    <col min="3344" max="3346" width="4.140625" style="111" customWidth="1"/>
    <col min="3347" max="3347" width="10.28515625" style="111" bestFit="1" customWidth="1"/>
    <col min="3348" max="3348" width="4.42578125" style="111" customWidth="1"/>
    <col min="3349" max="3350" width="10.28515625" style="111" bestFit="1" customWidth="1"/>
    <col min="3351" max="3351" width="17" style="111" customWidth="1"/>
    <col min="3352" max="3584" width="9.140625" style="111"/>
    <col min="3585" max="3585" width="13.5703125" style="111" customWidth="1"/>
    <col min="3586" max="3586" width="5.140625" style="111" customWidth="1"/>
    <col min="3587" max="3587" width="6.85546875" style="111" customWidth="1"/>
    <col min="3588" max="3588" width="4.7109375" style="111" customWidth="1"/>
    <col min="3589" max="3593" width="5" style="111" customWidth="1"/>
    <col min="3594" max="3594" width="6.7109375" style="111" customWidth="1"/>
    <col min="3595" max="3595" width="20.28515625" style="111" customWidth="1"/>
    <col min="3596" max="3596" width="11.140625" style="111" customWidth="1"/>
    <col min="3597" max="3597" width="13.28515625" style="111" customWidth="1"/>
    <col min="3598" max="3598" width="4.140625" style="111" customWidth="1"/>
    <col min="3599" max="3599" width="6.28515625" style="111" customWidth="1"/>
    <col min="3600" max="3602" width="4.140625" style="111" customWidth="1"/>
    <col min="3603" max="3603" width="10.28515625" style="111" bestFit="1" customWidth="1"/>
    <col min="3604" max="3604" width="4.42578125" style="111" customWidth="1"/>
    <col min="3605" max="3606" width="10.28515625" style="111" bestFit="1" customWidth="1"/>
    <col min="3607" max="3607" width="17" style="111" customWidth="1"/>
    <col min="3608" max="3840" width="9.140625" style="111"/>
    <col min="3841" max="3841" width="13.5703125" style="111" customWidth="1"/>
    <col min="3842" max="3842" width="5.140625" style="111" customWidth="1"/>
    <col min="3843" max="3843" width="6.85546875" style="111" customWidth="1"/>
    <col min="3844" max="3844" width="4.7109375" style="111" customWidth="1"/>
    <col min="3845" max="3849" width="5" style="111" customWidth="1"/>
    <col min="3850" max="3850" width="6.7109375" style="111" customWidth="1"/>
    <col min="3851" max="3851" width="20.28515625" style="111" customWidth="1"/>
    <col min="3852" max="3852" width="11.140625" style="111" customWidth="1"/>
    <col min="3853" max="3853" width="13.28515625" style="111" customWidth="1"/>
    <col min="3854" max="3854" width="4.140625" style="111" customWidth="1"/>
    <col min="3855" max="3855" width="6.28515625" style="111" customWidth="1"/>
    <col min="3856" max="3858" width="4.140625" style="111" customWidth="1"/>
    <col min="3859" max="3859" width="10.28515625" style="111" bestFit="1" customWidth="1"/>
    <col min="3860" max="3860" width="4.42578125" style="111" customWidth="1"/>
    <col min="3861" max="3862" width="10.28515625" style="111" bestFit="1" customWidth="1"/>
    <col min="3863" max="3863" width="17" style="111" customWidth="1"/>
    <col min="3864" max="4096" width="9.140625" style="111"/>
    <col min="4097" max="4097" width="13.5703125" style="111" customWidth="1"/>
    <col min="4098" max="4098" width="5.140625" style="111" customWidth="1"/>
    <col min="4099" max="4099" width="6.85546875" style="111" customWidth="1"/>
    <col min="4100" max="4100" width="4.7109375" style="111" customWidth="1"/>
    <col min="4101" max="4105" width="5" style="111" customWidth="1"/>
    <col min="4106" max="4106" width="6.7109375" style="111" customWidth="1"/>
    <col min="4107" max="4107" width="20.28515625" style="111" customWidth="1"/>
    <col min="4108" max="4108" width="11.140625" style="111" customWidth="1"/>
    <col min="4109" max="4109" width="13.28515625" style="111" customWidth="1"/>
    <col min="4110" max="4110" width="4.140625" style="111" customWidth="1"/>
    <col min="4111" max="4111" width="6.28515625" style="111" customWidth="1"/>
    <col min="4112" max="4114" width="4.140625" style="111" customWidth="1"/>
    <col min="4115" max="4115" width="10.28515625" style="111" bestFit="1" customWidth="1"/>
    <col min="4116" max="4116" width="4.42578125" style="111" customWidth="1"/>
    <col min="4117" max="4118" width="10.28515625" style="111" bestFit="1" customWidth="1"/>
    <col min="4119" max="4119" width="17" style="111" customWidth="1"/>
    <col min="4120" max="4352" width="9.140625" style="111"/>
    <col min="4353" max="4353" width="13.5703125" style="111" customWidth="1"/>
    <col min="4354" max="4354" width="5.140625" style="111" customWidth="1"/>
    <col min="4355" max="4355" width="6.85546875" style="111" customWidth="1"/>
    <col min="4356" max="4356" width="4.7109375" style="111" customWidth="1"/>
    <col min="4357" max="4361" width="5" style="111" customWidth="1"/>
    <col min="4362" max="4362" width="6.7109375" style="111" customWidth="1"/>
    <col min="4363" max="4363" width="20.28515625" style="111" customWidth="1"/>
    <col min="4364" max="4364" width="11.140625" style="111" customWidth="1"/>
    <col min="4365" max="4365" width="13.28515625" style="111" customWidth="1"/>
    <col min="4366" max="4366" width="4.140625" style="111" customWidth="1"/>
    <col min="4367" max="4367" width="6.28515625" style="111" customWidth="1"/>
    <col min="4368" max="4370" width="4.140625" style="111" customWidth="1"/>
    <col min="4371" max="4371" width="10.28515625" style="111" bestFit="1" customWidth="1"/>
    <col min="4372" max="4372" width="4.42578125" style="111" customWidth="1"/>
    <col min="4373" max="4374" width="10.28515625" style="111" bestFit="1" customWidth="1"/>
    <col min="4375" max="4375" width="17" style="111" customWidth="1"/>
    <col min="4376" max="4608" width="9.140625" style="111"/>
    <col min="4609" max="4609" width="13.5703125" style="111" customWidth="1"/>
    <col min="4610" max="4610" width="5.140625" style="111" customWidth="1"/>
    <col min="4611" max="4611" width="6.85546875" style="111" customWidth="1"/>
    <col min="4612" max="4612" width="4.7109375" style="111" customWidth="1"/>
    <col min="4613" max="4617" width="5" style="111" customWidth="1"/>
    <col min="4618" max="4618" width="6.7109375" style="111" customWidth="1"/>
    <col min="4619" max="4619" width="20.28515625" style="111" customWidth="1"/>
    <col min="4620" max="4620" width="11.140625" style="111" customWidth="1"/>
    <col min="4621" max="4621" width="13.28515625" style="111" customWidth="1"/>
    <col min="4622" max="4622" width="4.140625" style="111" customWidth="1"/>
    <col min="4623" max="4623" width="6.28515625" style="111" customWidth="1"/>
    <col min="4624" max="4626" width="4.140625" style="111" customWidth="1"/>
    <col min="4627" max="4627" width="10.28515625" style="111" bestFit="1" customWidth="1"/>
    <col min="4628" max="4628" width="4.42578125" style="111" customWidth="1"/>
    <col min="4629" max="4630" width="10.28515625" style="111" bestFit="1" customWidth="1"/>
    <col min="4631" max="4631" width="17" style="111" customWidth="1"/>
    <col min="4632" max="4864" width="9.140625" style="111"/>
    <col min="4865" max="4865" width="13.5703125" style="111" customWidth="1"/>
    <col min="4866" max="4866" width="5.140625" style="111" customWidth="1"/>
    <col min="4867" max="4867" width="6.85546875" style="111" customWidth="1"/>
    <col min="4868" max="4868" width="4.7109375" style="111" customWidth="1"/>
    <col min="4869" max="4873" width="5" style="111" customWidth="1"/>
    <col min="4874" max="4874" width="6.7109375" style="111" customWidth="1"/>
    <col min="4875" max="4875" width="20.28515625" style="111" customWidth="1"/>
    <col min="4876" max="4876" width="11.140625" style="111" customWidth="1"/>
    <col min="4877" max="4877" width="13.28515625" style="111" customWidth="1"/>
    <col min="4878" max="4878" width="4.140625" style="111" customWidth="1"/>
    <col min="4879" max="4879" width="6.28515625" style="111" customWidth="1"/>
    <col min="4880" max="4882" width="4.140625" style="111" customWidth="1"/>
    <col min="4883" max="4883" width="10.28515625" style="111" bestFit="1" customWidth="1"/>
    <col min="4884" max="4884" width="4.42578125" style="111" customWidth="1"/>
    <col min="4885" max="4886" width="10.28515625" style="111" bestFit="1" customWidth="1"/>
    <col min="4887" max="4887" width="17" style="111" customWidth="1"/>
    <col min="4888" max="5120" width="9.140625" style="111"/>
    <col min="5121" max="5121" width="13.5703125" style="111" customWidth="1"/>
    <col min="5122" max="5122" width="5.140625" style="111" customWidth="1"/>
    <col min="5123" max="5123" width="6.85546875" style="111" customWidth="1"/>
    <col min="5124" max="5124" width="4.7109375" style="111" customWidth="1"/>
    <col min="5125" max="5129" width="5" style="111" customWidth="1"/>
    <col min="5130" max="5130" width="6.7109375" style="111" customWidth="1"/>
    <col min="5131" max="5131" width="20.28515625" style="111" customWidth="1"/>
    <col min="5132" max="5132" width="11.140625" style="111" customWidth="1"/>
    <col min="5133" max="5133" width="13.28515625" style="111" customWidth="1"/>
    <col min="5134" max="5134" width="4.140625" style="111" customWidth="1"/>
    <col min="5135" max="5135" width="6.28515625" style="111" customWidth="1"/>
    <col min="5136" max="5138" width="4.140625" style="111" customWidth="1"/>
    <col min="5139" max="5139" width="10.28515625" style="111" bestFit="1" customWidth="1"/>
    <col min="5140" max="5140" width="4.42578125" style="111" customWidth="1"/>
    <col min="5141" max="5142" width="10.28515625" style="111" bestFit="1" customWidth="1"/>
    <col min="5143" max="5143" width="17" style="111" customWidth="1"/>
    <col min="5144" max="5376" width="9.140625" style="111"/>
    <col min="5377" max="5377" width="13.5703125" style="111" customWidth="1"/>
    <col min="5378" max="5378" width="5.140625" style="111" customWidth="1"/>
    <col min="5379" max="5379" width="6.85546875" style="111" customWidth="1"/>
    <col min="5380" max="5380" width="4.7109375" style="111" customWidth="1"/>
    <col min="5381" max="5385" width="5" style="111" customWidth="1"/>
    <col min="5386" max="5386" width="6.7109375" style="111" customWidth="1"/>
    <col min="5387" max="5387" width="20.28515625" style="111" customWidth="1"/>
    <col min="5388" max="5388" width="11.140625" style="111" customWidth="1"/>
    <col min="5389" max="5389" width="13.28515625" style="111" customWidth="1"/>
    <col min="5390" max="5390" width="4.140625" style="111" customWidth="1"/>
    <col min="5391" max="5391" width="6.28515625" style="111" customWidth="1"/>
    <col min="5392" max="5394" width="4.140625" style="111" customWidth="1"/>
    <col min="5395" max="5395" width="10.28515625" style="111" bestFit="1" customWidth="1"/>
    <col min="5396" max="5396" width="4.42578125" style="111" customWidth="1"/>
    <col min="5397" max="5398" width="10.28515625" style="111" bestFit="1" customWidth="1"/>
    <col min="5399" max="5399" width="17" style="111" customWidth="1"/>
    <col min="5400" max="5632" width="9.140625" style="111"/>
    <col min="5633" max="5633" width="13.5703125" style="111" customWidth="1"/>
    <col min="5634" max="5634" width="5.140625" style="111" customWidth="1"/>
    <col min="5635" max="5635" width="6.85546875" style="111" customWidth="1"/>
    <col min="5636" max="5636" width="4.7109375" style="111" customWidth="1"/>
    <col min="5637" max="5641" width="5" style="111" customWidth="1"/>
    <col min="5642" max="5642" width="6.7109375" style="111" customWidth="1"/>
    <col min="5643" max="5643" width="20.28515625" style="111" customWidth="1"/>
    <col min="5644" max="5644" width="11.140625" style="111" customWidth="1"/>
    <col min="5645" max="5645" width="13.28515625" style="111" customWidth="1"/>
    <col min="5646" max="5646" width="4.140625" style="111" customWidth="1"/>
    <col min="5647" max="5647" width="6.28515625" style="111" customWidth="1"/>
    <col min="5648" max="5650" width="4.140625" style="111" customWidth="1"/>
    <col min="5651" max="5651" width="10.28515625" style="111" bestFit="1" customWidth="1"/>
    <col min="5652" max="5652" width="4.42578125" style="111" customWidth="1"/>
    <col min="5653" max="5654" width="10.28515625" style="111" bestFit="1" customWidth="1"/>
    <col min="5655" max="5655" width="17" style="111" customWidth="1"/>
    <col min="5656" max="5888" width="9.140625" style="111"/>
    <col min="5889" max="5889" width="13.5703125" style="111" customWidth="1"/>
    <col min="5890" max="5890" width="5.140625" style="111" customWidth="1"/>
    <col min="5891" max="5891" width="6.85546875" style="111" customWidth="1"/>
    <col min="5892" max="5892" width="4.7109375" style="111" customWidth="1"/>
    <col min="5893" max="5897" width="5" style="111" customWidth="1"/>
    <col min="5898" max="5898" width="6.7109375" style="111" customWidth="1"/>
    <col min="5899" max="5899" width="20.28515625" style="111" customWidth="1"/>
    <col min="5900" max="5900" width="11.140625" style="111" customWidth="1"/>
    <col min="5901" max="5901" width="13.28515625" style="111" customWidth="1"/>
    <col min="5902" max="5902" width="4.140625" style="111" customWidth="1"/>
    <col min="5903" max="5903" width="6.28515625" style="111" customWidth="1"/>
    <col min="5904" max="5906" width="4.140625" style="111" customWidth="1"/>
    <col min="5907" max="5907" width="10.28515625" style="111" bestFit="1" customWidth="1"/>
    <col min="5908" max="5908" width="4.42578125" style="111" customWidth="1"/>
    <col min="5909" max="5910" width="10.28515625" style="111" bestFit="1" customWidth="1"/>
    <col min="5911" max="5911" width="17" style="111" customWidth="1"/>
    <col min="5912" max="6144" width="9.140625" style="111"/>
    <col min="6145" max="6145" width="13.5703125" style="111" customWidth="1"/>
    <col min="6146" max="6146" width="5.140625" style="111" customWidth="1"/>
    <col min="6147" max="6147" width="6.85546875" style="111" customWidth="1"/>
    <col min="6148" max="6148" width="4.7109375" style="111" customWidth="1"/>
    <col min="6149" max="6153" width="5" style="111" customWidth="1"/>
    <col min="6154" max="6154" width="6.7109375" style="111" customWidth="1"/>
    <col min="6155" max="6155" width="20.28515625" style="111" customWidth="1"/>
    <col min="6156" max="6156" width="11.140625" style="111" customWidth="1"/>
    <col min="6157" max="6157" width="13.28515625" style="111" customWidth="1"/>
    <col min="6158" max="6158" width="4.140625" style="111" customWidth="1"/>
    <col min="6159" max="6159" width="6.28515625" style="111" customWidth="1"/>
    <col min="6160" max="6162" width="4.140625" style="111" customWidth="1"/>
    <col min="6163" max="6163" width="10.28515625" style="111" bestFit="1" customWidth="1"/>
    <col min="6164" max="6164" width="4.42578125" style="111" customWidth="1"/>
    <col min="6165" max="6166" width="10.28515625" style="111" bestFit="1" customWidth="1"/>
    <col min="6167" max="6167" width="17" style="111" customWidth="1"/>
    <col min="6168" max="6400" width="9.140625" style="111"/>
    <col min="6401" max="6401" width="13.5703125" style="111" customWidth="1"/>
    <col min="6402" max="6402" width="5.140625" style="111" customWidth="1"/>
    <col min="6403" max="6403" width="6.85546875" style="111" customWidth="1"/>
    <col min="6404" max="6404" width="4.7109375" style="111" customWidth="1"/>
    <col min="6405" max="6409" width="5" style="111" customWidth="1"/>
    <col min="6410" max="6410" width="6.7109375" style="111" customWidth="1"/>
    <col min="6411" max="6411" width="20.28515625" style="111" customWidth="1"/>
    <col min="6412" max="6412" width="11.140625" style="111" customWidth="1"/>
    <col min="6413" max="6413" width="13.28515625" style="111" customWidth="1"/>
    <col min="6414" max="6414" width="4.140625" style="111" customWidth="1"/>
    <col min="6415" max="6415" width="6.28515625" style="111" customWidth="1"/>
    <col min="6416" max="6418" width="4.140625" style="111" customWidth="1"/>
    <col min="6419" max="6419" width="10.28515625" style="111" bestFit="1" customWidth="1"/>
    <col min="6420" max="6420" width="4.42578125" style="111" customWidth="1"/>
    <col min="6421" max="6422" width="10.28515625" style="111" bestFit="1" customWidth="1"/>
    <col min="6423" max="6423" width="17" style="111" customWidth="1"/>
    <col min="6424" max="6656" width="9.140625" style="111"/>
    <col min="6657" max="6657" width="13.5703125" style="111" customWidth="1"/>
    <col min="6658" max="6658" width="5.140625" style="111" customWidth="1"/>
    <col min="6659" max="6659" width="6.85546875" style="111" customWidth="1"/>
    <col min="6660" max="6660" width="4.7109375" style="111" customWidth="1"/>
    <col min="6661" max="6665" width="5" style="111" customWidth="1"/>
    <col min="6666" max="6666" width="6.7109375" style="111" customWidth="1"/>
    <col min="6667" max="6667" width="20.28515625" style="111" customWidth="1"/>
    <col min="6668" max="6668" width="11.140625" style="111" customWidth="1"/>
    <col min="6669" max="6669" width="13.28515625" style="111" customWidth="1"/>
    <col min="6670" max="6670" width="4.140625" style="111" customWidth="1"/>
    <col min="6671" max="6671" width="6.28515625" style="111" customWidth="1"/>
    <col min="6672" max="6674" width="4.140625" style="111" customWidth="1"/>
    <col min="6675" max="6675" width="10.28515625" style="111" bestFit="1" customWidth="1"/>
    <col min="6676" max="6676" width="4.42578125" style="111" customWidth="1"/>
    <col min="6677" max="6678" width="10.28515625" style="111" bestFit="1" customWidth="1"/>
    <col min="6679" max="6679" width="17" style="111" customWidth="1"/>
    <col min="6680" max="6912" width="9.140625" style="111"/>
    <col min="6913" max="6913" width="13.5703125" style="111" customWidth="1"/>
    <col min="6914" max="6914" width="5.140625" style="111" customWidth="1"/>
    <col min="6915" max="6915" width="6.85546875" style="111" customWidth="1"/>
    <col min="6916" max="6916" width="4.7109375" style="111" customWidth="1"/>
    <col min="6917" max="6921" width="5" style="111" customWidth="1"/>
    <col min="6922" max="6922" width="6.7109375" style="111" customWidth="1"/>
    <col min="6923" max="6923" width="20.28515625" style="111" customWidth="1"/>
    <col min="6924" max="6924" width="11.140625" style="111" customWidth="1"/>
    <col min="6925" max="6925" width="13.28515625" style="111" customWidth="1"/>
    <col min="6926" max="6926" width="4.140625" style="111" customWidth="1"/>
    <col min="6927" max="6927" width="6.28515625" style="111" customWidth="1"/>
    <col min="6928" max="6930" width="4.140625" style="111" customWidth="1"/>
    <col min="6931" max="6931" width="10.28515625" style="111" bestFit="1" customWidth="1"/>
    <col min="6932" max="6932" width="4.42578125" style="111" customWidth="1"/>
    <col min="6933" max="6934" width="10.28515625" style="111" bestFit="1" customWidth="1"/>
    <col min="6935" max="6935" width="17" style="111" customWidth="1"/>
    <col min="6936" max="7168" width="9.140625" style="111"/>
    <col min="7169" max="7169" width="13.5703125" style="111" customWidth="1"/>
    <col min="7170" max="7170" width="5.140625" style="111" customWidth="1"/>
    <col min="7171" max="7171" width="6.85546875" style="111" customWidth="1"/>
    <col min="7172" max="7172" width="4.7109375" style="111" customWidth="1"/>
    <col min="7173" max="7177" width="5" style="111" customWidth="1"/>
    <col min="7178" max="7178" width="6.7109375" style="111" customWidth="1"/>
    <col min="7179" max="7179" width="20.28515625" style="111" customWidth="1"/>
    <col min="7180" max="7180" width="11.140625" style="111" customWidth="1"/>
    <col min="7181" max="7181" width="13.28515625" style="111" customWidth="1"/>
    <col min="7182" max="7182" width="4.140625" style="111" customWidth="1"/>
    <col min="7183" max="7183" width="6.28515625" style="111" customWidth="1"/>
    <col min="7184" max="7186" width="4.140625" style="111" customWidth="1"/>
    <col min="7187" max="7187" width="10.28515625" style="111" bestFit="1" customWidth="1"/>
    <col min="7188" max="7188" width="4.42578125" style="111" customWidth="1"/>
    <col min="7189" max="7190" width="10.28515625" style="111" bestFit="1" customWidth="1"/>
    <col min="7191" max="7191" width="17" style="111" customWidth="1"/>
    <col min="7192" max="7424" width="9.140625" style="111"/>
    <col min="7425" max="7425" width="13.5703125" style="111" customWidth="1"/>
    <col min="7426" max="7426" width="5.140625" style="111" customWidth="1"/>
    <col min="7427" max="7427" width="6.85546875" style="111" customWidth="1"/>
    <col min="7428" max="7428" width="4.7109375" style="111" customWidth="1"/>
    <col min="7429" max="7433" width="5" style="111" customWidth="1"/>
    <col min="7434" max="7434" width="6.7109375" style="111" customWidth="1"/>
    <col min="7435" max="7435" width="20.28515625" style="111" customWidth="1"/>
    <col min="7436" max="7436" width="11.140625" style="111" customWidth="1"/>
    <col min="7437" max="7437" width="13.28515625" style="111" customWidth="1"/>
    <col min="7438" max="7438" width="4.140625" style="111" customWidth="1"/>
    <col min="7439" max="7439" width="6.28515625" style="111" customWidth="1"/>
    <col min="7440" max="7442" width="4.140625" style="111" customWidth="1"/>
    <col min="7443" max="7443" width="10.28515625" style="111" bestFit="1" customWidth="1"/>
    <col min="7444" max="7444" width="4.42578125" style="111" customWidth="1"/>
    <col min="7445" max="7446" width="10.28515625" style="111" bestFit="1" customWidth="1"/>
    <col min="7447" max="7447" width="17" style="111" customWidth="1"/>
    <col min="7448" max="7680" width="9.140625" style="111"/>
    <col min="7681" max="7681" width="13.5703125" style="111" customWidth="1"/>
    <col min="7682" max="7682" width="5.140625" style="111" customWidth="1"/>
    <col min="7683" max="7683" width="6.85546875" style="111" customWidth="1"/>
    <col min="7684" max="7684" width="4.7109375" style="111" customWidth="1"/>
    <col min="7685" max="7689" width="5" style="111" customWidth="1"/>
    <col min="7690" max="7690" width="6.7109375" style="111" customWidth="1"/>
    <col min="7691" max="7691" width="20.28515625" style="111" customWidth="1"/>
    <col min="7692" max="7692" width="11.140625" style="111" customWidth="1"/>
    <col min="7693" max="7693" width="13.28515625" style="111" customWidth="1"/>
    <col min="7694" max="7694" width="4.140625" style="111" customWidth="1"/>
    <col min="7695" max="7695" width="6.28515625" style="111" customWidth="1"/>
    <col min="7696" max="7698" width="4.140625" style="111" customWidth="1"/>
    <col min="7699" max="7699" width="10.28515625" style="111" bestFit="1" customWidth="1"/>
    <col min="7700" max="7700" width="4.42578125" style="111" customWidth="1"/>
    <col min="7701" max="7702" width="10.28515625" style="111" bestFit="1" customWidth="1"/>
    <col min="7703" max="7703" width="17" style="111" customWidth="1"/>
    <col min="7704" max="7936" width="9.140625" style="111"/>
    <col min="7937" max="7937" width="13.5703125" style="111" customWidth="1"/>
    <col min="7938" max="7938" width="5.140625" style="111" customWidth="1"/>
    <col min="7939" max="7939" width="6.85546875" style="111" customWidth="1"/>
    <col min="7940" max="7940" width="4.7109375" style="111" customWidth="1"/>
    <col min="7941" max="7945" width="5" style="111" customWidth="1"/>
    <col min="7946" max="7946" width="6.7109375" style="111" customWidth="1"/>
    <col min="7947" max="7947" width="20.28515625" style="111" customWidth="1"/>
    <col min="7948" max="7948" width="11.140625" style="111" customWidth="1"/>
    <col min="7949" max="7949" width="13.28515625" style="111" customWidth="1"/>
    <col min="7950" max="7950" width="4.140625" style="111" customWidth="1"/>
    <col min="7951" max="7951" width="6.28515625" style="111" customWidth="1"/>
    <col min="7952" max="7954" width="4.140625" style="111" customWidth="1"/>
    <col min="7955" max="7955" width="10.28515625" style="111" bestFit="1" customWidth="1"/>
    <col min="7956" max="7956" width="4.42578125" style="111" customWidth="1"/>
    <col min="7957" max="7958" width="10.28515625" style="111" bestFit="1" customWidth="1"/>
    <col min="7959" max="7959" width="17" style="111" customWidth="1"/>
    <col min="7960" max="8192" width="9.140625" style="111"/>
    <col min="8193" max="8193" width="13.5703125" style="111" customWidth="1"/>
    <col min="8194" max="8194" width="5.140625" style="111" customWidth="1"/>
    <col min="8195" max="8195" width="6.85546875" style="111" customWidth="1"/>
    <col min="8196" max="8196" width="4.7109375" style="111" customWidth="1"/>
    <col min="8197" max="8201" width="5" style="111" customWidth="1"/>
    <col min="8202" max="8202" width="6.7109375" style="111" customWidth="1"/>
    <col min="8203" max="8203" width="20.28515625" style="111" customWidth="1"/>
    <col min="8204" max="8204" width="11.140625" style="111" customWidth="1"/>
    <col min="8205" max="8205" width="13.28515625" style="111" customWidth="1"/>
    <col min="8206" max="8206" width="4.140625" style="111" customWidth="1"/>
    <col min="8207" max="8207" width="6.28515625" style="111" customWidth="1"/>
    <col min="8208" max="8210" width="4.140625" style="111" customWidth="1"/>
    <col min="8211" max="8211" width="10.28515625" style="111" bestFit="1" customWidth="1"/>
    <col min="8212" max="8212" width="4.42578125" style="111" customWidth="1"/>
    <col min="8213" max="8214" width="10.28515625" style="111" bestFit="1" customWidth="1"/>
    <col min="8215" max="8215" width="17" style="111" customWidth="1"/>
    <col min="8216" max="8448" width="9.140625" style="111"/>
    <col min="8449" max="8449" width="13.5703125" style="111" customWidth="1"/>
    <col min="8450" max="8450" width="5.140625" style="111" customWidth="1"/>
    <col min="8451" max="8451" width="6.85546875" style="111" customWidth="1"/>
    <col min="8452" max="8452" width="4.7109375" style="111" customWidth="1"/>
    <col min="8453" max="8457" width="5" style="111" customWidth="1"/>
    <col min="8458" max="8458" width="6.7109375" style="111" customWidth="1"/>
    <col min="8459" max="8459" width="20.28515625" style="111" customWidth="1"/>
    <col min="8460" max="8460" width="11.140625" style="111" customWidth="1"/>
    <col min="8461" max="8461" width="13.28515625" style="111" customWidth="1"/>
    <col min="8462" max="8462" width="4.140625" style="111" customWidth="1"/>
    <col min="8463" max="8463" width="6.28515625" style="111" customWidth="1"/>
    <col min="8464" max="8466" width="4.140625" style="111" customWidth="1"/>
    <col min="8467" max="8467" width="10.28515625" style="111" bestFit="1" customWidth="1"/>
    <col min="8468" max="8468" width="4.42578125" style="111" customWidth="1"/>
    <col min="8469" max="8470" width="10.28515625" style="111" bestFit="1" customWidth="1"/>
    <col min="8471" max="8471" width="17" style="111" customWidth="1"/>
    <col min="8472" max="8704" width="9.140625" style="111"/>
    <col min="8705" max="8705" width="13.5703125" style="111" customWidth="1"/>
    <col min="8706" max="8706" width="5.140625" style="111" customWidth="1"/>
    <col min="8707" max="8707" width="6.85546875" style="111" customWidth="1"/>
    <col min="8708" max="8708" width="4.7109375" style="111" customWidth="1"/>
    <col min="8709" max="8713" width="5" style="111" customWidth="1"/>
    <col min="8714" max="8714" width="6.7109375" style="111" customWidth="1"/>
    <col min="8715" max="8715" width="20.28515625" style="111" customWidth="1"/>
    <col min="8716" max="8716" width="11.140625" style="111" customWidth="1"/>
    <col min="8717" max="8717" width="13.28515625" style="111" customWidth="1"/>
    <col min="8718" max="8718" width="4.140625" style="111" customWidth="1"/>
    <col min="8719" max="8719" width="6.28515625" style="111" customWidth="1"/>
    <col min="8720" max="8722" width="4.140625" style="111" customWidth="1"/>
    <col min="8723" max="8723" width="10.28515625" style="111" bestFit="1" customWidth="1"/>
    <col min="8724" max="8724" width="4.42578125" style="111" customWidth="1"/>
    <col min="8725" max="8726" width="10.28515625" style="111" bestFit="1" customWidth="1"/>
    <col min="8727" max="8727" width="17" style="111" customWidth="1"/>
    <col min="8728" max="8960" width="9.140625" style="111"/>
    <col min="8961" max="8961" width="13.5703125" style="111" customWidth="1"/>
    <col min="8962" max="8962" width="5.140625" style="111" customWidth="1"/>
    <col min="8963" max="8963" width="6.85546875" style="111" customWidth="1"/>
    <col min="8964" max="8964" width="4.7109375" style="111" customWidth="1"/>
    <col min="8965" max="8969" width="5" style="111" customWidth="1"/>
    <col min="8970" max="8970" width="6.7109375" style="111" customWidth="1"/>
    <col min="8971" max="8971" width="20.28515625" style="111" customWidth="1"/>
    <col min="8972" max="8972" width="11.140625" style="111" customWidth="1"/>
    <col min="8973" max="8973" width="13.28515625" style="111" customWidth="1"/>
    <col min="8974" max="8974" width="4.140625" style="111" customWidth="1"/>
    <col min="8975" max="8975" width="6.28515625" style="111" customWidth="1"/>
    <col min="8976" max="8978" width="4.140625" style="111" customWidth="1"/>
    <col min="8979" max="8979" width="10.28515625" style="111" bestFit="1" customWidth="1"/>
    <col min="8980" max="8980" width="4.42578125" style="111" customWidth="1"/>
    <col min="8981" max="8982" width="10.28515625" style="111" bestFit="1" customWidth="1"/>
    <col min="8983" max="8983" width="17" style="111" customWidth="1"/>
    <col min="8984" max="9216" width="9.140625" style="111"/>
    <col min="9217" max="9217" width="13.5703125" style="111" customWidth="1"/>
    <col min="9218" max="9218" width="5.140625" style="111" customWidth="1"/>
    <col min="9219" max="9219" width="6.85546875" style="111" customWidth="1"/>
    <col min="9220" max="9220" width="4.7109375" style="111" customWidth="1"/>
    <col min="9221" max="9225" width="5" style="111" customWidth="1"/>
    <col min="9226" max="9226" width="6.7109375" style="111" customWidth="1"/>
    <col min="9227" max="9227" width="20.28515625" style="111" customWidth="1"/>
    <col min="9228" max="9228" width="11.140625" style="111" customWidth="1"/>
    <col min="9229" max="9229" width="13.28515625" style="111" customWidth="1"/>
    <col min="9230" max="9230" width="4.140625" style="111" customWidth="1"/>
    <col min="9231" max="9231" width="6.28515625" style="111" customWidth="1"/>
    <col min="9232" max="9234" width="4.140625" style="111" customWidth="1"/>
    <col min="9235" max="9235" width="10.28515625" style="111" bestFit="1" customWidth="1"/>
    <col min="9236" max="9236" width="4.42578125" style="111" customWidth="1"/>
    <col min="9237" max="9238" width="10.28515625" style="111" bestFit="1" customWidth="1"/>
    <col min="9239" max="9239" width="17" style="111" customWidth="1"/>
    <col min="9240" max="9472" width="9.140625" style="111"/>
    <col min="9473" max="9473" width="13.5703125" style="111" customWidth="1"/>
    <col min="9474" max="9474" width="5.140625" style="111" customWidth="1"/>
    <col min="9475" max="9475" width="6.85546875" style="111" customWidth="1"/>
    <col min="9476" max="9476" width="4.7109375" style="111" customWidth="1"/>
    <col min="9477" max="9481" width="5" style="111" customWidth="1"/>
    <col min="9482" max="9482" width="6.7109375" style="111" customWidth="1"/>
    <col min="9483" max="9483" width="20.28515625" style="111" customWidth="1"/>
    <col min="9484" max="9484" width="11.140625" style="111" customWidth="1"/>
    <col min="9485" max="9485" width="13.28515625" style="111" customWidth="1"/>
    <col min="9486" max="9486" width="4.140625" style="111" customWidth="1"/>
    <col min="9487" max="9487" width="6.28515625" style="111" customWidth="1"/>
    <col min="9488" max="9490" width="4.140625" style="111" customWidth="1"/>
    <col min="9491" max="9491" width="10.28515625" style="111" bestFit="1" customWidth="1"/>
    <col min="9492" max="9492" width="4.42578125" style="111" customWidth="1"/>
    <col min="9493" max="9494" width="10.28515625" style="111" bestFit="1" customWidth="1"/>
    <col min="9495" max="9495" width="17" style="111" customWidth="1"/>
    <col min="9496" max="9728" width="9.140625" style="111"/>
    <col min="9729" max="9729" width="13.5703125" style="111" customWidth="1"/>
    <col min="9730" max="9730" width="5.140625" style="111" customWidth="1"/>
    <col min="9731" max="9731" width="6.85546875" style="111" customWidth="1"/>
    <col min="9732" max="9732" width="4.7109375" style="111" customWidth="1"/>
    <col min="9733" max="9737" width="5" style="111" customWidth="1"/>
    <col min="9738" max="9738" width="6.7109375" style="111" customWidth="1"/>
    <col min="9739" max="9739" width="20.28515625" style="111" customWidth="1"/>
    <col min="9740" max="9740" width="11.140625" style="111" customWidth="1"/>
    <col min="9741" max="9741" width="13.28515625" style="111" customWidth="1"/>
    <col min="9742" max="9742" width="4.140625" style="111" customWidth="1"/>
    <col min="9743" max="9743" width="6.28515625" style="111" customWidth="1"/>
    <col min="9744" max="9746" width="4.140625" style="111" customWidth="1"/>
    <col min="9747" max="9747" width="10.28515625" style="111" bestFit="1" customWidth="1"/>
    <col min="9748" max="9748" width="4.42578125" style="111" customWidth="1"/>
    <col min="9749" max="9750" width="10.28515625" style="111" bestFit="1" customWidth="1"/>
    <col min="9751" max="9751" width="17" style="111" customWidth="1"/>
    <col min="9752" max="9984" width="9.140625" style="111"/>
    <col min="9985" max="9985" width="13.5703125" style="111" customWidth="1"/>
    <col min="9986" max="9986" width="5.140625" style="111" customWidth="1"/>
    <col min="9987" max="9987" width="6.85546875" style="111" customWidth="1"/>
    <col min="9988" max="9988" width="4.7109375" style="111" customWidth="1"/>
    <col min="9989" max="9993" width="5" style="111" customWidth="1"/>
    <col min="9994" max="9994" width="6.7109375" style="111" customWidth="1"/>
    <col min="9995" max="9995" width="20.28515625" style="111" customWidth="1"/>
    <col min="9996" max="9996" width="11.140625" style="111" customWidth="1"/>
    <col min="9997" max="9997" width="13.28515625" style="111" customWidth="1"/>
    <col min="9998" max="9998" width="4.140625" style="111" customWidth="1"/>
    <col min="9999" max="9999" width="6.28515625" style="111" customWidth="1"/>
    <col min="10000" max="10002" width="4.140625" style="111" customWidth="1"/>
    <col min="10003" max="10003" width="10.28515625" style="111" bestFit="1" customWidth="1"/>
    <col min="10004" max="10004" width="4.42578125" style="111" customWidth="1"/>
    <col min="10005" max="10006" width="10.28515625" style="111" bestFit="1" customWidth="1"/>
    <col min="10007" max="10007" width="17" style="111" customWidth="1"/>
    <col min="10008" max="10240" width="9.140625" style="111"/>
    <col min="10241" max="10241" width="13.5703125" style="111" customWidth="1"/>
    <col min="10242" max="10242" width="5.140625" style="111" customWidth="1"/>
    <col min="10243" max="10243" width="6.85546875" style="111" customWidth="1"/>
    <col min="10244" max="10244" width="4.7109375" style="111" customWidth="1"/>
    <col min="10245" max="10249" width="5" style="111" customWidth="1"/>
    <col min="10250" max="10250" width="6.7109375" style="111" customWidth="1"/>
    <col min="10251" max="10251" width="20.28515625" style="111" customWidth="1"/>
    <col min="10252" max="10252" width="11.140625" style="111" customWidth="1"/>
    <col min="10253" max="10253" width="13.28515625" style="111" customWidth="1"/>
    <col min="10254" max="10254" width="4.140625" style="111" customWidth="1"/>
    <col min="10255" max="10255" width="6.28515625" style="111" customWidth="1"/>
    <col min="10256" max="10258" width="4.140625" style="111" customWidth="1"/>
    <col min="10259" max="10259" width="10.28515625" style="111" bestFit="1" customWidth="1"/>
    <col min="10260" max="10260" width="4.42578125" style="111" customWidth="1"/>
    <col min="10261" max="10262" width="10.28515625" style="111" bestFit="1" customWidth="1"/>
    <col min="10263" max="10263" width="17" style="111" customWidth="1"/>
    <col min="10264" max="10496" width="9.140625" style="111"/>
    <col min="10497" max="10497" width="13.5703125" style="111" customWidth="1"/>
    <col min="10498" max="10498" width="5.140625" style="111" customWidth="1"/>
    <col min="10499" max="10499" width="6.85546875" style="111" customWidth="1"/>
    <col min="10500" max="10500" width="4.7109375" style="111" customWidth="1"/>
    <col min="10501" max="10505" width="5" style="111" customWidth="1"/>
    <col min="10506" max="10506" width="6.7109375" style="111" customWidth="1"/>
    <col min="10507" max="10507" width="20.28515625" style="111" customWidth="1"/>
    <col min="10508" max="10508" width="11.140625" style="111" customWidth="1"/>
    <col min="10509" max="10509" width="13.28515625" style="111" customWidth="1"/>
    <col min="10510" max="10510" width="4.140625" style="111" customWidth="1"/>
    <col min="10511" max="10511" width="6.28515625" style="111" customWidth="1"/>
    <col min="10512" max="10514" width="4.140625" style="111" customWidth="1"/>
    <col min="10515" max="10515" width="10.28515625" style="111" bestFit="1" customWidth="1"/>
    <col min="10516" max="10516" width="4.42578125" style="111" customWidth="1"/>
    <col min="10517" max="10518" width="10.28515625" style="111" bestFit="1" customWidth="1"/>
    <col min="10519" max="10519" width="17" style="111" customWidth="1"/>
    <col min="10520" max="10752" width="9.140625" style="111"/>
    <col min="10753" max="10753" width="13.5703125" style="111" customWidth="1"/>
    <col min="10754" max="10754" width="5.140625" style="111" customWidth="1"/>
    <col min="10755" max="10755" width="6.85546875" style="111" customWidth="1"/>
    <col min="10756" max="10756" width="4.7109375" style="111" customWidth="1"/>
    <col min="10757" max="10761" width="5" style="111" customWidth="1"/>
    <col min="10762" max="10762" width="6.7109375" style="111" customWidth="1"/>
    <col min="10763" max="10763" width="20.28515625" style="111" customWidth="1"/>
    <col min="10764" max="10764" width="11.140625" style="111" customWidth="1"/>
    <col min="10765" max="10765" width="13.28515625" style="111" customWidth="1"/>
    <col min="10766" max="10766" width="4.140625" style="111" customWidth="1"/>
    <col min="10767" max="10767" width="6.28515625" style="111" customWidth="1"/>
    <col min="10768" max="10770" width="4.140625" style="111" customWidth="1"/>
    <col min="10771" max="10771" width="10.28515625" style="111" bestFit="1" customWidth="1"/>
    <col min="10772" max="10772" width="4.42578125" style="111" customWidth="1"/>
    <col min="10773" max="10774" width="10.28515625" style="111" bestFit="1" customWidth="1"/>
    <col min="10775" max="10775" width="17" style="111" customWidth="1"/>
    <col min="10776" max="11008" width="9.140625" style="111"/>
    <col min="11009" max="11009" width="13.5703125" style="111" customWidth="1"/>
    <col min="11010" max="11010" width="5.140625" style="111" customWidth="1"/>
    <col min="11011" max="11011" width="6.85546875" style="111" customWidth="1"/>
    <col min="11012" max="11012" width="4.7109375" style="111" customWidth="1"/>
    <col min="11013" max="11017" width="5" style="111" customWidth="1"/>
    <col min="11018" max="11018" width="6.7109375" style="111" customWidth="1"/>
    <col min="11019" max="11019" width="20.28515625" style="111" customWidth="1"/>
    <col min="11020" max="11020" width="11.140625" style="111" customWidth="1"/>
    <col min="11021" max="11021" width="13.28515625" style="111" customWidth="1"/>
    <col min="11022" max="11022" width="4.140625" style="111" customWidth="1"/>
    <col min="11023" max="11023" width="6.28515625" style="111" customWidth="1"/>
    <col min="11024" max="11026" width="4.140625" style="111" customWidth="1"/>
    <col min="11027" max="11027" width="10.28515625" style="111" bestFit="1" customWidth="1"/>
    <col min="11028" max="11028" width="4.42578125" style="111" customWidth="1"/>
    <col min="11029" max="11030" width="10.28515625" style="111" bestFit="1" customWidth="1"/>
    <col min="11031" max="11031" width="17" style="111" customWidth="1"/>
    <col min="11032" max="11264" width="9.140625" style="111"/>
    <col min="11265" max="11265" width="13.5703125" style="111" customWidth="1"/>
    <col min="11266" max="11266" width="5.140625" style="111" customWidth="1"/>
    <col min="11267" max="11267" width="6.85546875" style="111" customWidth="1"/>
    <col min="11268" max="11268" width="4.7109375" style="111" customWidth="1"/>
    <col min="11269" max="11273" width="5" style="111" customWidth="1"/>
    <col min="11274" max="11274" width="6.7109375" style="111" customWidth="1"/>
    <col min="11275" max="11275" width="20.28515625" style="111" customWidth="1"/>
    <col min="11276" max="11276" width="11.140625" style="111" customWidth="1"/>
    <col min="11277" max="11277" width="13.28515625" style="111" customWidth="1"/>
    <col min="11278" max="11278" width="4.140625" style="111" customWidth="1"/>
    <col min="11279" max="11279" width="6.28515625" style="111" customWidth="1"/>
    <col min="11280" max="11282" width="4.140625" style="111" customWidth="1"/>
    <col min="11283" max="11283" width="10.28515625" style="111" bestFit="1" customWidth="1"/>
    <col min="11284" max="11284" width="4.42578125" style="111" customWidth="1"/>
    <col min="11285" max="11286" width="10.28515625" style="111" bestFit="1" customWidth="1"/>
    <col min="11287" max="11287" width="17" style="111" customWidth="1"/>
    <col min="11288" max="11520" width="9.140625" style="111"/>
    <col min="11521" max="11521" width="13.5703125" style="111" customWidth="1"/>
    <col min="11522" max="11522" width="5.140625" style="111" customWidth="1"/>
    <col min="11523" max="11523" width="6.85546875" style="111" customWidth="1"/>
    <col min="11524" max="11524" width="4.7109375" style="111" customWidth="1"/>
    <col min="11525" max="11529" width="5" style="111" customWidth="1"/>
    <col min="11530" max="11530" width="6.7109375" style="111" customWidth="1"/>
    <col min="11531" max="11531" width="20.28515625" style="111" customWidth="1"/>
    <col min="11532" max="11532" width="11.140625" style="111" customWidth="1"/>
    <col min="11533" max="11533" width="13.28515625" style="111" customWidth="1"/>
    <col min="11534" max="11534" width="4.140625" style="111" customWidth="1"/>
    <col min="11535" max="11535" width="6.28515625" style="111" customWidth="1"/>
    <col min="11536" max="11538" width="4.140625" style="111" customWidth="1"/>
    <col min="11539" max="11539" width="10.28515625" style="111" bestFit="1" customWidth="1"/>
    <col min="11540" max="11540" width="4.42578125" style="111" customWidth="1"/>
    <col min="11541" max="11542" width="10.28515625" style="111" bestFit="1" customWidth="1"/>
    <col min="11543" max="11543" width="17" style="111" customWidth="1"/>
    <col min="11544" max="11776" width="9.140625" style="111"/>
    <col min="11777" max="11777" width="13.5703125" style="111" customWidth="1"/>
    <col min="11778" max="11778" width="5.140625" style="111" customWidth="1"/>
    <col min="11779" max="11779" width="6.85546875" style="111" customWidth="1"/>
    <col min="11780" max="11780" width="4.7109375" style="111" customWidth="1"/>
    <col min="11781" max="11785" width="5" style="111" customWidth="1"/>
    <col min="11786" max="11786" width="6.7109375" style="111" customWidth="1"/>
    <col min="11787" max="11787" width="20.28515625" style="111" customWidth="1"/>
    <col min="11788" max="11788" width="11.140625" style="111" customWidth="1"/>
    <col min="11789" max="11789" width="13.28515625" style="111" customWidth="1"/>
    <col min="11790" max="11790" width="4.140625" style="111" customWidth="1"/>
    <col min="11791" max="11791" width="6.28515625" style="111" customWidth="1"/>
    <col min="11792" max="11794" width="4.140625" style="111" customWidth="1"/>
    <col min="11795" max="11795" width="10.28515625" style="111" bestFit="1" customWidth="1"/>
    <col min="11796" max="11796" width="4.42578125" style="111" customWidth="1"/>
    <col min="11797" max="11798" width="10.28515625" style="111" bestFit="1" customWidth="1"/>
    <col min="11799" max="11799" width="17" style="111" customWidth="1"/>
    <col min="11800" max="12032" width="9.140625" style="111"/>
    <col min="12033" max="12033" width="13.5703125" style="111" customWidth="1"/>
    <col min="12034" max="12034" width="5.140625" style="111" customWidth="1"/>
    <col min="12035" max="12035" width="6.85546875" style="111" customWidth="1"/>
    <col min="12036" max="12036" width="4.7109375" style="111" customWidth="1"/>
    <col min="12037" max="12041" width="5" style="111" customWidth="1"/>
    <col min="12042" max="12042" width="6.7109375" style="111" customWidth="1"/>
    <col min="12043" max="12043" width="20.28515625" style="111" customWidth="1"/>
    <col min="12044" max="12044" width="11.140625" style="111" customWidth="1"/>
    <col min="12045" max="12045" width="13.28515625" style="111" customWidth="1"/>
    <col min="12046" max="12046" width="4.140625" style="111" customWidth="1"/>
    <col min="12047" max="12047" width="6.28515625" style="111" customWidth="1"/>
    <col min="12048" max="12050" width="4.140625" style="111" customWidth="1"/>
    <col min="12051" max="12051" width="10.28515625" style="111" bestFit="1" customWidth="1"/>
    <col min="12052" max="12052" width="4.42578125" style="111" customWidth="1"/>
    <col min="12053" max="12054" width="10.28515625" style="111" bestFit="1" customWidth="1"/>
    <col min="12055" max="12055" width="17" style="111" customWidth="1"/>
    <col min="12056" max="12288" width="9.140625" style="111"/>
    <col min="12289" max="12289" width="13.5703125" style="111" customWidth="1"/>
    <col min="12290" max="12290" width="5.140625" style="111" customWidth="1"/>
    <col min="12291" max="12291" width="6.85546875" style="111" customWidth="1"/>
    <col min="12292" max="12292" width="4.7109375" style="111" customWidth="1"/>
    <col min="12293" max="12297" width="5" style="111" customWidth="1"/>
    <col min="12298" max="12298" width="6.7109375" style="111" customWidth="1"/>
    <col min="12299" max="12299" width="20.28515625" style="111" customWidth="1"/>
    <col min="12300" max="12300" width="11.140625" style="111" customWidth="1"/>
    <col min="12301" max="12301" width="13.28515625" style="111" customWidth="1"/>
    <col min="12302" max="12302" width="4.140625" style="111" customWidth="1"/>
    <col min="12303" max="12303" width="6.28515625" style="111" customWidth="1"/>
    <col min="12304" max="12306" width="4.140625" style="111" customWidth="1"/>
    <col min="12307" max="12307" width="10.28515625" style="111" bestFit="1" customWidth="1"/>
    <col min="12308" max="12308" width="4.42578125" style="111" customWidth="1"/>
    <col min="12309" max="12310" width="10.28515625" style="111" bestFit="1" customWidth="1"/>
    <col min="12311" max="12311" width="17" style="111" customWidth="1"/>
    <col min="12312" max="12544" width="9.140625" style="111"/>
    <col min="12545" max="12545" width="13.5703125" style="111" customWidth="1"/>
    <col min="12546" max="12546" width="5.140625" style="111" customWidth="1"/>
    <col min="12547" max="12547" width="6.85546875" style="111" customWidth="1"/>
    <col min="12548" max="12548" width="4.7109375" style="111" customWidth="1"/>
    <col min="12549" max="12553" width="5" style="111" customWidth="1"/>
    <col min="12554" max="12554" width="6.7109375" style="111" customWidth="1"/>
    <col min="12555" max="12555" width="20.28515625" style="111" customWidth="1"/>
    <col min="12556" max="12556" width="11.140625" style="111" customWidth="1"/>
    <col min="12557" max="12557" width="13.28515625" style="111" customWidth="1"/>
    <col min="12558" max="12558" width="4.140625" style="111" customWidth="1"/>
    <col min="12559" max="12559" width="6.28515625" style="111" customWidth="1"/>
    <col min="12560" max="12562" width="4.140625" style="111" customWidth="1"/>
    <col min="12563" max="12563" width="10.28515625" style="111" bestFit="1" customWidth="1"/>
    <col min="12564" max="12564" width="4.42578125" style="111" customWidth="1"/>
    <col min="12565" max="12566" width="10.28515625" style="111" bestFit="1" customWidth="1"/>
    <col min="12567" max="12567" width="17" style="111" customWidth="1"/>
    <col min="12568" max="12800" width="9.140625" style="111"/>
    <col min="12801" max="12801" width="13.5703125" style="111" customWidth="1"/>
    <col min="12802" max="12802" width="5.140625" style="111" customWidth="1"/>
    <col min="12803" max="12803" width="6.85546875" style="111" customWidth="1"/>
    <col min="12804" max="12804" width="4.7109375" style="111" customWidth="1"/>
    <col min="12805" max="12809" width="5" style="111" customWidth="1"/>
    <col min="12810" max="12810" width="6.7109375" style="111" customWidth="1"/>
    <col min="12811" max="12811" width="20.28515625" style="111" customWidth="1"/>
    <col min="12812" max="12812" width="11.140625" style="111" customWidth="1"/>
    <col min="12813" max="12813" width="13.28515625" style="111" customWidth="1"/>
    <col min="12814" max="12814" width="4.140625" style="111" customWidth="1"/>
    <col min="12815" max="12815" width="6.28515625" style="111" customWidth="1"/>
    <col min="12816" max="12818" width="4.140625" style="111" customWidth="1"/>
    <col min="12819" max="12819" width="10.28515625" style="111" bestFit="1" customWidth="1"/>
    <col min="12820" max="12820" width="4.42578125" style="111" customWidth="1"/>
    <col min="12821" max="12822" width="10.28515625" style="111" bestFit="1" customWidth="1"/>
    <col min="12823" max="12823" width="17" style="111" customWidth="1"/>
    <col min="12824" max="13056" width="9.140625" style="111"/>
    <col min="13057" max="13057" width="13.5703125" style="111" customWidth="1"/>
    <col min="13058" max="13058" width="5.140625" style="111" customWidth="1"/>
    <col min="13059" max="13059" width="6.85546875" style="111" customWidth="1"/>
    <col min="13060" max="13060" width="4.7109375" style="111" customWidth="1"/>
    <col min="13061" max="13065" width="5" style="111" customWidth="1"/>
    <col min="13066" max="13066" width="6.7109375" style="111" customWidth="1"/>
    <col min="13067" max="13067" width="20.28515625" style="111" customWidth="1"/>
    <col min="13068" max="13068" width="11.140625" style="111" customWidth="1"/>
    <col min="13069" max="13069" width="13.28515625" style="111" customWidth="1"/>
    <col min="13070" max="13070" width="4.140625" style="111" customWidth="1"/>
    <col min="13071" max="13071" width="6.28515625" style="111" customWidth="1"/>
    <col min="13072" max="13074" width="4.140625" style="111" customWidth="1"/>
    <col min="13075" max="13075" width="10.28515625" style="111" bestFit="1" customWidth="1"/>
    <col min="13076" max="13076" width="4.42578125" style="111" customWidth="1"/>
    <col min="13077" max="13078" width="10.28515625" style="111" bestFit="1" customWidth="1"/>
    <col min="13079" max="13079" width="17" style="111" customWidth="1"/>
    <col min="13080" max="13312" width="9.140625" style="111"/>
    <col min="13313" max="13313" width="13.5703125" style="111" customWidth="1"/>
    <col min="13314" max="13314" width="5.140625" style="111" customWidth="1"/>
    <col min="13315" max="13315" width="6.85546875" style="111" customWidth="1"/>
    <col min="13316" max="13316" width="4.7109375" style="111" customWidth="1"/>
    <col min="13317" max="13321" width="5" style="111" customWidth="1"/>
    <col min="13322" max="13322" width="6.7109375" style="111" customWidth="1"/>
    <col min="13323" max="13323" width="20.28515625" style="111" customWidth="1"/>
    <col min="13324" max="13324" width="11.140625" style="111" customWidth="1"/>
    <col min="13325" max="13325" width="13.28515625" style="111" customWidth="1"/>
    <col min="13326" max="13326" width="4.140625" style="111" customWidth="1"/>
    <col min="13327" max="13327" width="6.28515625" style="111" customWidth="1"/>
    <col min="13328" max="13330" width="4.140625" style="111" customWidth="1"/>
    <col min="13331" max="13331" width="10.28515625" style="111" bestFit="1" customWidth="1"/>
    <col min="13332" max="13332" width="4.42578125" style="111" customWidth="1"/>
    <col min="13333" max="13334" width="10.28515625" style="111" bestFit="1" customWidth="1"/>
    <col min="13335" max="13335" width="17" style="111" customWidth="1"/>
    <col min="13336" max="13568" width="9.140625" style="111"/>
    <col min="13569" max="13569" width="13.5703125" style="111" customWidth="1"/>
    <col min="13570" max="13570" width="5.140625" style="111" customWidth="1"/>
    <col min="13571" max="13571" width="6.85546875" style="111" customWidth="1"/>
    <col min="13572" max="13572" width="4.7109375" style="111" customWidth="1"/>
    <col min="13573" max="13577" width="5" style="111" customWidth="1"/>
    <col min="13578" max="13578" width="6.7109375" style="111" customWidth="1"/>
    <col min="13579" max="13579" width="20.28515625" style="111" customWidth="1"/>
    <col min="13580" max="13580" width="11.140625" style="111" customWidth="1"/>
    <col min="13581" max="13581" width="13.28515625" style="111" customWidth="1"/>
    <col min="13582" max="13582" width="4.140625" style="111" customWidth="1"/>
    <col min="13583" max="13583" width="6.28515625" style="111" customWidth="1"/>
    <col min="13584" max="13586" width="4.140625" style="111" customWidth="1"/>
    <col min="13587" max="13587" width="10.28515625" style="111" bestFit="1" customWidth="1"/>
    <col min="13588" max="13588" width="4.42578125" style="111" customWidth="1"/>
    <col min="13589" max="13590" width="10.28515625" style="111" bestFit="1" customWidth="1"/>
    <col min="13591" max="13591" width="17" style="111" customWidth="1"/>
    <col min="13592" max="13824" width="9.140625" style="111"/>
    <col min="13825" max="13825" width="13.5703125" style="111" customWidth="1"/>
    <col min="13826" max="13826" width="5.140625" style="111" customWidth="1"/>
    <col min="13827" max="13827" width="6.85546875" style="111" customWidth="1"/>
    <col min="13828" max="13828" width="4.7109375" style="111" customWidth="1"/>
    <col min="13829" max="13833" width="5" style="111" customWidth="1"/>
    <col min="13834" max="13834" width="6.7109375" style="111" customWidth="1"/>
    <col min="13835" max="13835" width="20.28515625" style="111" customWidth="1"/>
    <col min="13836" max="13836" width="11.140625" style="111" customWidth="1"/>
    <col min="13837" max="13837" width="13.28515625" style="111" customWidth="1"/>
    <col min="13838" max="13838" width="4.140625" style="111" customWidth="1"/>
    <col min="13839" max="13839" width="6.28515625" style="111" customWidth="1"/>
    <col min="13840" max="13842" width="4.140625" style="111" customWidth="1"/>
    <col min="13843" max="13843" width="10.28515625" style="111" bestFit="1" customWidth="1"/>
    <col min="13844" max="13844" width="4.42578125" style="111" customWidth="1"/>
    <col min="13845" max="13846" width="10.28515625" style="111" bestFit="1" customWidth="1"/>
    <col min="13847" max="13847" width="17" style="111" customWidth="1"/>
    <col min="13848" max="14080" width="9.140625" style="111"/>
    <col min="14081" max="14081" width="13.5703125" style="111" customWidth="1"/>
    <col min="14082" max="14082" width="5.140625" style="111" customWidth="1"/>
    <col min="14083" max="14083" width="6.85546875" style="111" customWidth="1"/>
    <col min="14084" max="14084" width="4.7109375" style="111" customWidth="1"/>
    <col min="14085" max="14089" width="5" style="111" customWidth="1"/>
    <col min="14090" max="14090" width="6.7109375" style="111" customWidth="1"/>
    <col min="14091" max="14091" width="20.28515625" style="111" customWidth="1"/>
    <col min="14092" max="14092" width="11.140625" style="111" customWidth="1"/>
    <col min="14093" max="14093" width="13.28515625" style="111" customWidth="1"/>
    <col min="14094" max="14094" width="4.140625" style="111" customWidth="1"/>
    <col min="14095" max="14095" width="6.28515625" style="111" customWidth="1"/>
    <col min="14096" max="14098" width="4.140625" style="111" customWidth="1"/>
    <col min="14099" max="14099" width="10.28515625" style="111" bestFit="1" customWidth="1"/>
    <col min="14100" max="14100" width="4.42578125" style="111" customWidth="1"/>
    <col min="14101" max="14102" width="10.28515625" style="111" bestFit="1" customWidth="1"/>
    <col min="14103" max="14103" width="17" style="111" customWidth="1"/>
    <col min="14104" max="14336" width="9.140625" style="111"/>
    <col min="14337" max="14337" width="13.5703125" style="111" customWidth="1"/>
    <col min="14338" max="14338" width="5.140625" style="111" customWidth="1"/>
    <col min="14339" max="14339" width="6.85546875" style="111" customWidth="1"/>
    <col min="14340" max="14340" width="4.7109375" style="111" customWidth="1"/>
    <col min="14341" max="14345" width="5" style="111" customWidth="1"/>
    <col min="14346" max="14346" width="6.7109375" style="111" customWidth="1"/>
    <col min="14347" max="14347" width="20.28515625" style="111" customWidth="1"/>
    <col min="14348" max="14348" width="11.140625" style="111" customWidth="1"/>
    <col min="14349" max="14349" width="13.28515625" style="111" customWidth="1"/>
    <col min="14350" max="14350" width="4.140625" style="111" customWidth="1"/>
    <col min="14351" max="14351" width="6.28515625" style="111" customWidth="1"/>
    <col min="14352" max="14354" width="4.140625" style="111" customWidth="1"/>
    <col min="14355" max="14355" width="10.28515625" style="111" bestFit="1" customWidth="1"/>
    <col min="14356" max="14356" width="4.42578125" style="111" customWidth="1"/>
    <col min="14357" max="14358" width="10.28515625" style="111" bestFit="1" customWidth="1"/>
    <col min="14359" max="14359" width="17" style="111" customWidth="1"/>
    <col min="14360" max="14592" width="9.140625" style="111"/>
    <col min="14593" max="14593" width="13.5703125" style="111" customWidth="1"/>
    <col min="14594" max="14594" width="5.140625" style="111" customWidth="1"/>
    <col min="14595" max="14595" width="6.85546875" style="111" customWidth="1"/>
    <col min="14596" max="14596" width="4.7109375" style="111" customWidth="1"/>
    <col min="14597" max="14601" width="5" style="111" customWidth="1"/>
    <col min="14602" max="14602" width="6.7109375" style="111" customWidth="1"/>
    <col min="14603" max="14603" width="20.28515625" style="111" customWidth="1"/>
    <col min="14604" max="14604" width="11.140625" style="111" customWidth="1"/>
    <col min="14605" max="14605" width="13.28515625" style="111" customWidth="1"/>
    <col min="14606" max="14606" width="4.140625" style="111" customWidth="1"/>
    <col min="14607" max="14607" width="6.28515625" style="111" customWidth="1"/>
    <col min="14608" max="14610" width="4.140625" style="111" customWidth="1"/>
    <col min="14611" max="14611" width="10.28515625" style="111" bestFit="1" customWidth="1"/>
    <col min="14612" max="14612" width="4.42578125" style="111" customWidth="1"/>
    <col min="14613" max="14614" width="10.28515625" style="111" bestFit="1" customWidth="1"/>
    <col min="14615" max="14615" width="17" style="111" customWidth="1"/>
    <col min="14616" max="14848" width="9.140625" style="111"/>
    <col min="14849" max="14849" width="13.5703125" style="111" customWidth="1"/>
    <col min="14850" max="14850" width="5.140625" style="111" customWidth="1"/>
    <col min="14851" max="14851" width="6.85546875" style="111" customWidth="1"/>
    <col min="14852" max="14852" width="4.7109375" style="111" customWidth="1"/>
    <col min="14853" max="14857" width="5" style="111" customWidth="1"/>
    <col min="14858" max="14858" width="6.7109375" style="111" customWidth="1"/>
    <col min="14859" max="14859" width="20.28515625" style="111" customWidth="1"/>
    <col min="14860" max="14860" width="11.140625" style="111" customWidth="1"/>
    <col min="14861" max="14861" width="13.28515625" style="111" customWidth="1"/>
    <col min="14862" max="14862" width="4.140625" style="111" customWidth="1"/>
    <col min="14863" max="14863" width="6.28515625" style="111" customWidth="1"/>
    <col min="14864" max="14866" width="4.140625" style="111" customWidth="1"/>
    <col min="14867" max="14867" width="10.28515625" style="111" bestFit="1" customWidth="1"/>
    <col min="14868" max="14868" width="4.42578125" style="111" customWidth="1"/>
    <col min="14869" max="14870" width="10.28515625" style="111" bestFit="1" customWidth="1"/>
    <col min="14871" max="14871" width="17" style="111" customWidth="1"/>
    <col min="14872" max="15104" width="9.140625" style="111"/>
    <col min="15105" max="15105" width="13.5703125" style="111" customWidth="1"/>
    <col min="15106" max="15106" width="5.140625" style="111" customWidth="1"/>
    <col min="15107" max="15107" width="6.85546875" style="111" customWidth="1"/>
    <col min="15108" max="15108" width="4.7109375" style="111" customWidth="1"/>
    <col min="15109" max="15113" width="5" style="111" customWidth="1"/>
    <col min="15114" max="15114" width="6.7109375" style="111" customWidth="1"/>
    <col min="15115" max="15115" width="20.28515625" style="111" customWidth="1"/>
    <col min="15116" max="15116" width="11.140625" style="111" customWidth="1"/>
    <col min="15117" max="15117" width="13.28515625" style="111" customWidth="1"/>
    <col min="15118" max="15118" width="4.140625" style="111" customWidth="1"/>
    <col min="15119" max="15119" width="6.28515625" style="111" customWidth="1"/>
    <col min="15120" max="15122" width="4.140625" style="111" customWidth="1"/>
    <col min="15123" max="15123" width="10.28515625" style="111" bestFit="1" customWidth="1"/>
    <col min="15124" max="15124" width="4.42578125" style="111" customWidth="1"/>
    <col min="15125" max="15126" width="10.28515625" style="111" bestFit="1" customWidth="1"/>
    <col min="15127" max="15127" width="17" style="111" customWidth="1"/>
    <col min="15128" max="15360" width="9.140625" style="111"/>
    <col min="15361" max="15361" width="13.5703125" style="111" customWidth="1"/>
    <col min="15362" max="15362" width="5.140625" style="111" customWidth="1"/>
    <col min="15363" max="15363" width="6.85546875" style="111" customWidth="1"/>
    <col min="15364" max="15364" width="4.7109375" style="111" customWidth="1"/>
    <col min="15365" max="15369" width="5" style="111" customWidth="1"/>
    <col min="15370" max="15370" width="6.7109375" style="111" customWidth="1"/>
    <col min="15371" max="15371" width="20.28515625" style="111" customWidth="1"/>
    <col min="15372" max="15372" width="11.140625" style="111" customWidth="1"/>
    <col min="15373" max="15373" width="13.28515625" style="111" customWidth="1"/>
    <col min="15374" max="15374" width="4.140625" style="111" customWidth="1"/>
    <col min="15375" max="15375" width="6.28515625" style="111" customWidth="1"/>
    <col min="15376" max="15378" width="4.140625" style="111" customWidth="1"/>
    <col min="15379" max="15379" width="10.28515625" style="111" bestFit="1" customWidth="1"/>
    <col min="15380" max="15380" width="4.42578125" style="111" customWidth="1"/>
    <col min="15381" max="15382" width="10.28515625" style="111" bestFit="1" customWidth="1"/>
    <col min="15383" max="15383" width="17" style="111" customWidth="1"/>
    <col min="15384" max="15616" width="9.140625" style="111"/>
    <col min="15617" max="15617" width="13.5703125" style="111" customWidth="1"/>
    <col min="15618" max="15618" width="5.140625" style="111" customWidth="1"/>
    <col min="15619" max="15619" width="6.85546875" style="111" customWidth="1"/>
    <col min="15620" max="15620" width="4.7109375" style="111" customWidth="1"/>
    <col min="15621" max="15625" width="5" style="111" customWidth="1"/>
    <col min="15626" max="15626" width="6.7109375" style="111" customWidth="1"/>
    <col min="15627" max="15627" width="20.28515625" style="111" customWidth="1"/>
    <col min="15628" max="15628" width="11.140625" style="111" customWidth="1"/>
    <col min="15629" max="15629" width="13.28515625" style="111" customWidth="1"/>
    <col min="15630" max="15630" width="4.140625" style="111" customWidth="1"/>
    <col min="15631" max="15631" width="6.28515625" style="111" customWidth="1"/>
    <col min="15632" max="15634" width="4.140625" style="111" customWidth="1"/>
    <col min="15635" max="15635" width="10.28515625" style="111" bestFit="1" customWidth="1"/>
    <col min="15636" max="15636" width="4.42578125" style="111" customWidth="1"/>
    <col min="15637" max="15638" width="10.28515625" style="111" bestFit="1" customWidth="1"/>
    <col min="15639" max="15639" width="17" style="111" customWidth="1"/>
    <col min="15640" max="15872" width="9.140625" style="111"/>
    <col min="15873" max="15873" width="13.5703125" style="111" customWidth="1"/>
    <col min="15874" max="15874" width="5.140625" style="111" customWidth="1"/>
    <col min="15875" max="15875" width="6.85546875" style="111" customWidth="1"/>
    <col min="15876" max="15876" width="4.7109375" style="111" customWidth="1"/>
    <col min="15877" max="15881" width="5" style="111" customWidth="1"/>
    <col min="15882" max="15882" width="6.7109375" style="111" customWidth="1"/>
    <col min="15883" max="15883" width="20.28515625" style="111" customWidth="1"/>
    <col min="15884" max="15884" width="11.140625" style="111" customWidth="1"/>
    <col min="15885" max="15885" width="13.28515625" style="111" customWidth="1"/>
    <col min="15886" max="15886" width="4.140625" style="111" customWidth="1"/>
    <col min="15887" max="15887" width="6.28515625" style="111" customWidth="1"/>
    <col min="15888" max="15890" width="4.140625" style="111" customWidth="1"/>
    <col min="15891" max="15891" width="10.28515625" style="111" bestFit="1" customWidth="1"/>
    <col min="15892" max="15892" width="4.42578125" style="111" customWidth="1"/>
    <col min="15893" max="15894" width="10.28515625" style="111" bestFit="1" customWidth="1"/>
    <col min="15895" max="15895" width="17" style="111" customWidth="1"/>
    <col min="15896" max="16128" width="9.140625" style="111"/>
    <col min="16129" max="16129" width="13.5703125" style="111" customWidth="1"/>
    <col min="16130" max="16130" width="5.140625" style="111" customWidth="1"/>
    <col min="16131" max="16131" width="6.85546875" style="111" customWidth="1"/>
    <col min="16132" max="16132" width="4.7109375" style="111" customWidth="1"/>
    <col min="16133" max="16137" width="5" style="111" customWidth="1"/>
    <col min="16138" max="16138" width="6.7109375" style="111" customWidth="1"/>
    <col min="16139" max="16139" width="20.28515625" style="111" customWidth="1"/>
    <col min="16140" max="16140" width="11.140625" style="111" customWidth="1"/>
    <col min="16141" max="16141" width="13.28515625" style="111" customWidth="1"/>
    <col min="16142" max="16142" width="4.140625" style="111" customWidth="1"/>
    <col min="16143" max="16143" width="6.28515625" style="111" customWidth="1"/>
    <col min="16144" max="16146" width="4.140625" style="111" customWidth="1"/>
    <col min="16147" max="16147" width="10.28515625" style="111" bestFit="1" customWidth="1"/>
    <col min="16148" max="16148" width="4.42578125" style="111" customWidth="1"/>
    <col min="16149" max="16150" width="10.28515625" style="111" bestFit="1" customWidth="1"/>
    <col min="16151" max="16151" width="17" style="111" customWidth="1"/>
    <col min="16152" max="16384" width="9.140625" style="111"/>
  </cols>
  <sheetData>
    <row r="1" spans="1:24" ht="18.75" customHeight="1" thickTop="1">
      <c r="A1" s="274" t="s">
        <v>35</v>
      </c>
      <c r="B1" s="275"/>
      <c r="C1" s="275"/>
      <c r="D1" s="275"/>
      <c r="E1" s="275"/>
      <c r="F1" s="275"/>
      <c r="G1" s="275"/>
      <c r="H1" s="275"/>
      <c r="I1" s="275"/>
      <c r="J1" s="275"/>
      <c r="K1" s="276"/>
      <c r="L1" s="111">
        <v>26</v>
      </c>
      <c r="M1" s="274" t="s">
        <v>35</v>
      </c>
      <c r="N1" s="275"/>
      <c r="O1" s="275"/>
      <c r="P1" s="275"/>
      <c r="Q1" s="275"/>
      <c r="R1" s="275"/>
      <c r="S1" s="275"/>
      <c r="T1" s="275"/>
      <c r="U1" s="275"/>
      <c r="V1" s="275"/>
      <c r="W1" s="276"/>
      <c r="X1" s="111">
        <v>25</v>
      </c>
    </row>
    <row r="2" spans="1:24" ht="18.75" customHeight="1">
      <c r="A2" s="112" t="s">
        <v>36</v>
      </c>
      <c r="B2" s="113"/>
      <c r="C2" s="113"/>
      <c r="D2" s="113"/>
      <c r="E2" s="113"/>
      <c r="F2" s="113"/>
      <c r="G2" s="113"/>
      <c r="H2" s="113"/>
      <c r="I2" s="113"/>
      <c r="J2" s="113"/>
      <c r="K2" s="114"/>
      <c r="L2" s="111" t="s">
        <v>37</v>
      </c>
      <c r="M2" s="112" t="s">
        <v>38</v>
      </c>
      <c r="N2" s="113"/>
      <c r="O2" s="113"/>
      <c r="P2" s="113"/>
      <c r="Q2" s="113"/>
      <c r="R2" s="113"/>
      <c r="S2" s="113"/>
      <c r="T2" s="113"/>
      <c r="U2" s="113"/>
      <c r="V2" s="113"/>
      <c r="W2" s="114"/>
    </row>
    <row r="3" spans="1:24" ht="18.75" customHeight="1">
      <c r="A3" s="277" t="s">
        <v>39</v>
      </c>
      <c r="B3" s="278"/>
      <c r="C3" s="278"/>
      <c r="D3" s="278"/>
      <c r="E3" s="278"/>
      <c r="F3" s="278"/>
      <c r="G3" s="278"/>
      <c r="H3" s="278"/>
      <c r="I3" s="278"/>
      <c r="J3" s="278"/>
      <c r="K3" s="279"/>
      <c r="M3" s="277" t="s">
        <v>39</v>
      </c>
      <c r="N3" s="278"/>
      <c r="O3" s="278"/>
      <c r="P3" s="278"/>
      <c r="Q3" s="278"/>
      <c r="R3" s="278"/>
      <c r="S3" s="278"/>
      <c r="T3" s="278"/>
      <c r="U3" s="278"/>
      <c r="V3" s="278"/>
      <c r="W3" s="279"/>
    </row>
    <row r="4" spans="1:24" ht="18.75" customHeight="1">
      <c r="A4" s="269" t="s">
        <v>40</v>
      </c>
      <c r="B4" s="270"/>
      <c r="C4" s="270"/>
      <c r="D4" s="270"/>
      <c r="E4" s="115" t="s">
        <v>41</v>
      </c>
      <c r="F4" s="271" t="e">
        <f>'[9]Bang TH nop'!B9</f>
        <v>#REF!</v>
      </c>
      <c r="G4" s="270"/>
      <c r="H4" s="270"/>
      <c r="I4" s="270"/>
      <c r="J4" s="270"/>
      <c r="K4" s="273"/>
      <c r="M4" s="269" t="s">
        <v>40</v>
      </c>
      <c r="N4" s="270"/>
      <c r="O4" s="270"/>
      <c r="P4" s="270"/>
      <c r="Q4" s="115" t="s">
        <v>41</v>
      </c>
      <c r="R4" s="271" t="s">
        <v>42</v>
      </c>
      <c r="S4" s="270"/>
      <c r="T4" s="270"/>
      <c r="U4" s="270"/>
      <c r="V4" s="270"/>
      <c r="W4" s="273"/>
    </row>
    <row r="5" spans="1:24" ht="18.75" customHeight="1">
      <c r="A5" s="269" t="s">
        <v>43</v>
      </c>
      <c r="B5" s="270"/>
      <c r="C5" s="270"/>
      <c r="D5" s="270"/>
      <c r="E5" s="115" t="s">
        <v>41</v>
      </c>
      <c r="F5" s="271" t="e">
        <f>'[9]Bang TH nop'!C9</f>
        <v>#REF!</v>
      </c>
      <c r="G5" s="271"/>
      <c r="H5" s="271"/>
      <c r="I5" s="271"/>
      <c r="J5" s="271"/>
      <c r="K5" s="272"/>
      <c r="M5" s="269" t="s">
        <v>43</v>
      </c>
      <c r="N5" s="270"/>
      <c r="O5" s="270"/>
      <c r="P5" s="270"/>
      <c r="Q5" s="115" t="s">
        <v>41</v>
      </c>
      <c r="R5" s="271">
        <v>50018</v>
      </c>
      <c r="S5" s="271"/>
      <c r="T5" s="271"/>
      <c r="U5" s="271"/>
      <c r="V5" s="271"/>
      <c r="W5" s="272"/>
    </row>
    <row r="6" spans="1:24" ht="18.75" customHeight="1">
      <c r="A6" s="269" t="s">
        <v>44</v>
      </c>
      <c r="B6" s="270"/>
      <c r="C6" s="270"/>
      <c r="D6" s="270"/>
      <c r="E6" s="115" t="s">
        <v>41</v>
      </c>
      <c r="F6" s="270" t="str">
        <f>$L$2</f>
        <v>Gián tiếp</v>
      </c>
      <c r="G6" s="270"/>
      <c r="H6" s="270"/>
      <c r="I6" s="270"/>
      <c r="J6" s="270"/>
      <c r="K6" s="273"/>
      <c r="M6" s="269" t="s">
        <v>44</v>
      </c>
      <c r="N6" s="270"/>
      <c r="O6" s="270"/>
      <c r="P6" s="270"/>
      <c r="Q6" s="115" t="s">
        <v>41</v>
      </c>
      <c r="R6" s="270" t="str">
        <f>$L$2</f>
        <v>Gián tiếp</v>
      </c>
      <c r="S6" s="270"/>
      <c r="T6" s="270"/>
      <c r="U6" s="270"/>
      <c r="V6" s="270"/>
      <c r="W6" s="273"/>
    </row>
    <row r="7" spans="1:24" ht="18.75" customHeight="1">
      <c r="A7" s="277" t="s">
        <v>45</v>
      </c>
      <c r="B7" s="278"/>
      <c r="C7" s="278"/>
      <c r="D7" s="278"/>
      <c r="E7" s="278"/>
      <c r="F7" s="278"/>
      <c r="G7" s="278"/>
      <c r="H7" s="278"/>
      <c r="I7" s="278"/>
      <c r="J7" s="278"/>
      <c r="K7" s="279"/>
      <c r="M7" s="277" t="s">
        <v>45</v>
      </c>
      <c r="N7" s="278"/>
      <c r="O7" s="278"/>
      <c r="P7" s="278"/>
      <c r="Q7" s="278"/>
      <c r="R7" s="278"/>
      <c r="S7" s="278"/>
      <c r="T7" s="278"/>
      <c r="U7" s="278"/>
      <c r="V7" s="278"/>
      <c r="W7" s="279"/>
    </row>
    <row r="8" spans="1:24" ht="18.75" customHeight="1">
      <c r="A8" s="269" t="s">
        <v>46</v>
      </c>
      <c r="B8" s="270"/>
      <c r="C8" s="270"/>
      <c r="D8" s="270"/>
      <c r="E8" s="115" t="s">
        <v>41</v>
      </c>
      <c r="F8" s="284">
        <v>3876000</v>
      </c>
      <c r="G8" s="284"/>
      <c r="H8" s="284"/>
      <c r="I8" s="284"/>
      <c r="J8" s="115" t="s">
        <v>47</v>
      </c>
      <c r="K8" s="116"/>
      <c r="M8" s="269" t="s">
        <v>46</v>
      </c>
      <c r="N8" s="270"/>
      <c r="O8" s="270"/>
      <c r="P8" s="270"/>
      <c r="Q8" s="115" t="s">
        <v>41</v>
      </c>
      <c r="R8" s="284">
        <v>3876000</v>
      </c>
      <c r="S8" s="284"/>
      <c r="T8" s="284"/>
      <c r="U8" s="284"/>
      <c r="V8" s="115" t="s">
        <v>47</v>
      </c>
      <c r="W8" s="116"/>
    </row>
    <row r="9" spans="1:24" ht="18.75" customHeight="1">
      <c r="A9" s="117" t="s">
        <v>48</v>
      </c>
      <c r="B9" s="115"/>
      <c r="C9" s="118"/>
      <c r="D9" s="119"/>
      <c r="E9" s="120"/>
      <c r="F9" s="120"/>
      <c r="G9" s="120"/>
      <c r="H9" s="115"/>
      <c r="I9" s="121" t="e">
        <f>'[9]LUONG T7'!#REF!</f>
        <v>#REF!</v>
      </c>
      <c r="J9" s="122"/>
      <c r="K9" s="123"/>
      <c r="M9" s="117" t="s">
        <v>48</v>
      </c>
      <c r="N9" s="115"/>
      <c r="O9" s="118"/>
      <c r="P9" s="119"/>
      <c r="Q9" s="120"/>
      <c r="R9" s="120"/>
      <c r="S9" s="120"/>
      <c r="T9" s="115"/>
      <c r="U9" s="121" t="e">
        <f>'[9]LUONG T7'!#REF!</f>
        <v>#REF!</v>
      </c>
      <c r="V9" s="122"/>
      <c r="W9" s="123"/>
    </row>
    <row r="10" spans="1:24" ht="18.75" customHeight="1">
      <c r="A10" s="117" t="s">
        <v>49</v>
      </c>
      <c r="B10" s="115"/>
      <c r="C10" s="118"/>
      <c r="D10" s="119"/>
      <c r="E10" s="120"/>
      <c r="F10" s="120"/>
      <c r="G10" s="120"/>
      <c r="H10" s="115"/>
      <c r="I10" s="121" t="e">
        <f>I11/C11/8</f>
        <v>#REF!</v>
      </c>
      <c r="J10" s="122"/>
      <c r="K10" s="123"/>
      <c r="M10" s="117" t="s">
        <v>49</v>
      </c>
      <c r="N10" s="115"/>
      <c r="O10" s="118"/>
      <c r="P10" s="119"/>
      <c r="Q10" s="120"/>
      <c r="R10" s="120"/>
      <c r="S10" s="120"/>
      <c r="T10" s="115"/>
      <c r="U10" s="121" t="e">
        <f>U11/O11/8</f>
        <v>#REF!</v>
      </c>
      <c r="V10" s="122"/>
      <c r="W10" s="123"/>
    </row>
    <row r="11" spans="1:24" ht="18.75" customHeight="1">
      <c r="A11" s="117" t="s">
        <v>50</v>
      </c>
      <c r="B11" s="115" t="s">
        <v>41</v>
      </c>
      <c r="C11" s="118" t="e">
        <f>'[9]LUONG T7'!#REF!</f>
        <v>#REF!</v>
      </c>
      <c r="D11" s="119" t="s">
        <v>51</v>
      </c>
      <c r="E11" s="282" t="s">
        <v>52</v>
      </c>
      <c r="F11" s="282"/>
      <c r="G11" s="282"/>
      <c r="H11" s="115" t="s">
        <v>41</v>
      </c>
      <c r="I11" s="283" t="e">
        <f>'[9]LUONG T7'!#REF!</f>
        <v>#REF!</v>
      </c>
      <c r="J11" s="283"/>
      <c r="K11" s="123" t="s">
        <v>47</v>
      </c>
      <c r="L11" s="124" t="e">
        <f>F8/L1*C11</f>
        <v>#REF!</v>
      </c>
      <c r="M11" s="117" t="s">
        <v>50</v>
      </c>
      <c r="N11" s="115" t="s">
        <v>41</v>
      </c>
      <c r="O11" s="118" t="e">
        <f>'[9]LUONG T7'!#REF!</f>
        <v>#REF!</v>
      </c>
      <c r="P11" s="119" t="s">
        <v>51</v>
      </c>
      <c r="Q11" s="282" t="s">
        <v>52</v>
      </c>
      <c r="R11" s="282"/>
      <c r="S11" s="282"/>
      <c r="T11" s="115" t="s">
        <v>41</v>
      </c>
      <c r="U11" s="283" t="e">
        <f>'[9]LUONG T7'!#REF!</f>
        <v>#REF!</v>
      </c>
      <c r="V11" s="283"/>
      <c r="W11" s="123" t="s">
        <v>47</v>
      </c>
      <c r="X11" s="124" t="e">
        <f>R8/X1*O11</f>
        <v>#REF!</v>
      </c>
    </row>
    <row r="12" spans="1:24" ht="18.75" customHeight="1">
      <c r="A12" s="117" t="s">
        <v>53</v>
      </c>
      <c r="B12" s="115" t="s">
        <v>41</v>
      </c>
      <c r="C12" s="118" t="e">
        <f>'[9]LUONG T7'!#REF!</f>
        <v>#REF!</v>
      </c>
      <c r="D12" s="119" t="s">
        <v>51</v>
      </c>
      <c r="E12" s="270" t="s">
        <v>54</v>
      </c>
      <c r="F12" s="270"/>
      <c r="G12" s="270"/>
      <c r="H12" s="115" t="s">
        <v>41</v>
      </c>
      <c r="I12" s="281" t="e">
        <f>$F$8/$L$1*C12</f>
        <v>#REF!</v>
      </c>
      <c r="J12" s="281"/>
      <c r="K12" s="123" t="s">
        <v>47</v>
      </c>
      <c r="L12" s="124"/>
      <c r="M12" s="117" t="s">
        <v>53</v>
      </c>
      <c r="N12" s="115" t="s">
        <v>41</v>
      </c>
      <c r="O12" s="118" t="e">
        <f>'[9]LUONG T7'!#REF!</f>
        <v>#REF!</v>
      </c>
      <c r="P12" s="119" t="s">
        <v>51</v>
      </c>
      <c r="Q12" s="270" t="s">
        <v>54</v>
      </c>
      <c r="R12" s="270"/>
      <c r="S12" s="270"/>
      <c r="T12" s="115" t="s">
        <v>41</v>
      </c>
      <c r="U12" s="281" t="e">
        <f>$F$8/$L$1*O12</f>
        <v>#REF!</v>
      </c>
      <c r="V12" s="281"/>
      <c r="W12" s="123" t="s">
        <v>47</v>
      </c>
      <c r="X12" s="124"/>
    </row>
    <row r="13" spans="1:24" ht="18.75" customHeight="1">
      <c r="A13" s="117" t="s">
        <v>55</v>
      </c>
      <c r="B13" s="115" t="s">
        <v>41</v>
      </c>
      <c r="C13" s="118" t="e">
        <f>'[9]LUONG T7'!#REF!</f>
        <v>#REF!</v>
      </c>
      <c r="D13" s="119" t="s">
        <v>51</v>
      </c>
      <c r="E13" s="280" t="s">
        <v>56</v>
      </c>
      <c r="F13" s="280"/>
      <c r="G13" s="280"/>
      <c r="H13" s="115" t="s">
        <v>41</v>
      </c>
      <c r="I13" s="281" t="e">
        <f>$F$8/$L$1*C13</f>
        <v>#REF!</v>
      </c>
      <c r="J13" s="281"/>
      <c r="K13" s="123" t="s">
        <v>47</v>
      </c>
      <c r="L13" s="124"/>
      <c r="M13" s="117" t="s">
        <v>55</v>
      </c>
      <c r="N13" s="115" t="s">
        <v>41</v>
      </c>
      <c r="O13" s="118" t="e">
        <f>'[9]LUONG T7'!#REF!</f>
        <v>#REF!</v>
      </c>
      <c r="P13" s="119" t="s">
        <v>51</v>
      </c>
      <c r="Q13" s="280" t="s">
        <v>56</v>
      </c>
      <c r="R13" s="280"/>
      <c r="S13" s="280"/>
      <c r="T13" s="115" t="s">
        <v>41</v>
      </c>
      <c r="U13" s="281" t="e">
        <f>$F$8/$L$1*O13</f>
        <v>#REF!</v>
      </c>
      <c r="V13" s="281"/>
      <c r="W13" s="123" t="s">
        <v>47</v>
      </c>
      <c r="X13" s="124"/>
    </row>
    <row r="14" spans="1:24" ht="18.75" customHeight="1">
      <c r="A14" s="117" t="s">
        <v>57</v>
      </c>
      <c r="B14" s="115" t="s">
        <v>41</v>
      </c>
      <c r="C14" s="118" t="e">
        <f>'[9]LUONG T7'!#REF!</f>
        <v>#REF!</v>
      </c>
      <c r="D14" s="119" t="s">
        <v>51</v>
      </c>
      <c r="E14" s="280" t="s">
        <v>58</v>
      </c>
      <c r="F14" s="280"/>
      <c r="G14" s="280"/>
      <c r="H14" s="115" t="s">
        <v>41</v>
      </c>
      <c r="I14" s="281" t="e">
        <f>$F$8/$L$1*C14</f>
        <v>#REF!</v>
      </c>
      <c r="J14" s="281"/>
      <c r="K14" s="123" t="s">
        <v>47</v>
      </c>
      <c r="L14" s="124"/>
      <c r="M14" s="117" t="s">
        <v>57</v>
      </c>
      <c r="N14" s="115" t="s">
        <v>41</v>
      </c>
      <c r="O14" s="118" t="e">
        <f>'[9]LUONG T7'!#REF!</f>
        <v>#REF!</v>
      </c>
      <c r="P14" s="119" t="s">
        <v>51</v>
      </c>
      <c r="Q14" s="280" t="s">
        <v>58</v>
      </c>
      <c r="R14" s="280"/>
      <c r="S14" s="280"/>
      <c r="T14" s="115" t="s">
        <v>41</v>
      </c>
      <c r="U14" s="281" t="e">
        <f>$F$8/$L$1*O14</f>
        <v>#REF!</v>
      </c>
      <c r="V14" s="281"/>
      <c r="W14" s="123" t="s">
        <v>47</v>
      </c>
      <c r="X14" s="124"/>
    </row>
    <row r="15" spans="1:24" ht="18.75" customHeight="1">
      <c r="A15" s="117" t="s">
        <v>59</v>
      </c>
      <c r="B15" s="115" t="s">
        <v>41</v>
      </c>
      <c r="C15" s="118" t="e">
        <f>'[9]LUONG T7'!#REF!</f>
        <v>#REF!</v>
      </c>
      <c r="D15" s="119" t="s">
        <v>60</v>
      </c>
      <c r="E15" s="270" t="s">
        <v>61</v>
      </c>
      <c r="F15" s="270"/>
      <c r="G15" s="270"/>
      <c r="H15" s="115" t="s">
        <v>41</v>
      </c>
      <c r="I15" s="281" t="e">
        <f>'[9]LUONG T7'!#REF!</f>
        <v>#REF!</v>
      </c>
      <c r="J15" s="281"/>
      <c r="K15" s="123" t="s">
        <v>47</v>
      </c>
      <c r="L15" s="124" t="e">
        <f>F8*C15/L1/8*1.5</f>
        <v>#REF!</v>
      </c>
      <c r="M15" s="117" t="s">
        <v>59</v>
      </c>
      <c r="N15" s="115" t="s">
        <v>41</v>
      </c>
      <c r="O15" s="118" t="e">
        <f>'[9]LUONG T7'!#REF!</f>
        <v>#REF!</v>
      </c>
      <c r="P15" s="119" t="s">
        <v>60</v>
      </c>
      <c r="Q15" s="270" t="s">
        <v>61</v>
      </c>
      <c r="R15" s="270"/>
      <c r="S15" s="270"/>
      <c r="T15" s="115" t="s">
        <v>41</v>
      </c>
      <c r="U15" s="281" t="e">
        <f>'[9]LUONG T7'!#REF!</f>
        <v>#REF!</v>
      </c>
      <c r="V15" s="281"/>
      <c r="W15" s="123" t="s">
        <v>47</v>
      </c>
      <c r="X15" s="124" t="e">
        <f>R8*O15/X1/8*1.5</f>
        <v>#REF!</v>
      </c>
    </row>
    <row r="16" spans="1:24" ht="18.75" customHeight="1">
      <c r="A16" s="269" t="s">
        <v>62</v>
      </c>
      <c r="B16" s="270"/>
      <c r="C16" s="118"/>
      <c r="D16" s="119" t="s">
        <v>51</v>
      </c>
      <c r="E16" s="270" t="s">
        <v>63</v>
      </c>
      <c r="F16" s="270"/>
      <c r="G16" s="270"/>
      <c r="H16" s="125" t="s">
        <v>41</v>
      </c>
      <c r="I16" s="281"/>
      <c r="J16" s="281"/>
      <c r="K16" s="123" t="s">
        <v>47</v>
      </c>
      <c r="L16" s="124"/>
      <c r="M16" s="269" t="s">
        <v>62</v>
      </c>
      <c r="N16" s="270"/>
      <c r="O16" s="118"/>
      <c r="P16" s="119" t="s">
        <v>51</v>
      </c>
      <c r="Q16" s="270" t="s">
        <v>63</v>
      </c>
      <c r="R16" s="270"/>
      <c r="S16" s="270"/>
      <c r="T16" s="125" t="s">
        <v>41</v>
      </c>
      <c r="U16" s="281"/>
      <c r="V16" s="281"/>
      <c r="W16" s="123" t="s">
        <v>47</v>
      </c>
      <c r="X16" s="124"/>
    </row>
    <row r="17" spans="1:24" ht="18.75" customHeight="1">
      <c r="A17" s="117" t="s">
        <v>64</v>
      </c>
      <c r="B17" s="115" t="s">
        <v>41</v>
      </c>
      <c r="C17" s="118"/>
      <c r="D17" s="119" t="s">
        <v>51</v>
      </c>
      <c r="E17" s="270" t="s">
        <v>65</v>
      </c>
      <c r="F17" s="270"/>
      <c r="G17" s="270"/>
      <c r="H17" s="115" t="s">
        <v>41</v>
      </c>
      <c r="I17" s="281"/>
      <c r="J17" s="281"/>
      <c r="K17" s="123" t="s">
        <v>47</v>
      </c>
      <c r="L17" s="124"/>
      <c r="M17" s="117" t="s">
        <v>64</v>
      </c>
      <c r="N17" s="115" t="s">
        <v>41</v>
      </c>
      <c r="O17" s="118"/>
      <c r="P17" s="119" t="s">
        <v>51</v>
      </c>
      <c r="Q17" s="270" t="s">
        <v>65</v>
      </c>
      <c r="R17" s="270"/>
      <c r="S17" s="270"/>
      <c r="T17" s="115" t="s">
        <v>41</v>
      </c>
      <c r="U17" s="281"/>
      <c r="V17" s="281"/>
      <c r="W17" s="123" t="s">
        <v>47</v>
      </c>
      <c r="X17" s="124"/>
    </row>
    <row r="18" spans="1:24" ht="18.75" customHeight="1">
      <c r="A18" s="126" t="s">
        <v>66</v>
      </c>
      <c r="B18" s="115"/>
      <c r="C18" s="118" t="e">
        <f>'[9]LUONG T7'!#REF!</f>
        <v>#REF!</v>
      </c>
      <c r="D18" s="119" t="s">
        <v>60</v>
      </c>
      <c r="E18" s="270" t="s">
        <v>67</v>
      </c>
      <c r="F18" s="270"/>
      <c r="G18" s="270"/>
      <c r="H18" s="115" t="s">
        <v>41</v>
      </c>
      <c r="I18" s="281" t="e">
        <f>$F$8*C18/8/$L$1</f>
        <v>#REF!</v>
      </c>
      <c r="J18" s="281"/>
      <c r="K18" s="123" t="s">
        <v>47</v>
      </c>
      <c r="L18" s="124"/>
      <c r="M18" s="126" t="s">
        <v>66</v>
      </c>
      <c r="N18" s="115"/>
      <c r="O18" s="118" t="e">
        <f>'[9]LUONG T7'!#REF!</f>
        <v>#REF!</v>
      </c>
      <c r="P18" s="119" t="s">
        <v>60</v>
      </c>
      <c r="Q18" s="270" t="s">
        <v>67</v>
      </c>
      <c r="R18" s="270"/>
      <c r="S18" s="270"/>
      <c r="T18" s="115" t="s">
        <v>41</v>
      </c>
      <c r="U18" s="281">
        <v>10000</v>
      </c>
      <c r="V18" s="281"/>
      <c r="W18" s="123" t="s">
        <v>47</v>
      </c>
      <c r="X18" s="124"/>
    </row>
    <row r="19" spans="1:24" ht="18.75" customHeight="1">
      <c r="A19" s="117" t="s">
        <v>68</v>
      </c>
      <c r="B19" s="115" t="s">
        <v>41</v>
      </c>
      <c r="C19" s="118"/>
      <c r="D19" s="119" t="s">
        <v>60</v>
      </c>
      <c r="E19" s="270" t="s">
        <v>69</v>
      </c>
      <c r="F19" s="270"/>
      <c r="G19" s="270"/>
      <c r="H19" s="115" t="s">
        <v>41</v>
      </c>
      <c r="I19" s="281">
        <v>240000</v>
      </c>
      <c r="J19" s="281"/>
      <c r="K19" s="123" t="s">
        <v>47</v>
      </c>
      <c r="L19" s="124"/>
      <c r="M19" s="117" t="s">
        <v>68</v>
      </c>
      <c r="N19" s="115" t="s">
        <v>41</v>
      </c>
      <c r="O19" s="118"/>
      <c r="P19" s="119" t="s">
        <v>60</v>
      </c>
      <c r="Q19" s="270" t="s">
        <v>69</v>
      </c>
      <c r="R19" s="270"/>
      <c r="S19" s="270"/>
      <c r="T19" s="115" t="s">
        <v>41</v>
      </c>
      <c r="U19" s="281">
        <v>240000</v>
      </c>
      <c r="V19" s="281"/>
      <c r="W19" s="123" t="s">
        <v>47</v>
      </c>
      <c r="X19" s="124"/>
    </row>
    <row r="20" spans="1:24" ht="18.75" customHeight="1">
      <c r="A20" s="117" t="s">
        <v>70</v>
      </c>
      <c r="B20" s="115" t="s">
        <v>41</v>
      </c>
      <c r="C20" s="118"/>
      <c r="D20" s="119" t="s">
        <v>71</v>
      </c>
      <c r="E20" s="127" t="s">
        <v>72</v>
      </c>
      <c r="F20" s="127"/>
      <c r="G20" s="127"/>
      <c r="H20" s="115" t="s">
        <v>41</v>
      </c>
      <c r="I20" s="281"/>
      <c r="J20" s="281"/>
      <c r="K20" s="123" t="s">
        <v>47</v>
      </c>
      <c r="L20" s="124" t="e">
        <f>+IF(L11-I11&lt;0,0,L11-I11)+IF(L15-I15&lt;0,0,L15-I15)</f>
        <v>#REF!</v>
      </c>
      <c r="M20" s="117" t="s">
        <v>70</v>
      </c>
      <c r="N20" s="115" t="s">
        <v>41</v>
      </c>
      <c r="O20" s="118"/>
      <c r="P20" s="119" t="s">
        <v>71</v>
      </c>
      <c r="Q20" s="127" t="s">
        <v>72</v>
      </c>
      <c r="R20" s="127"/>
      <c r="S20" s="127"/>
      <c r="T20" s="115" t="s">
        <v>41</v>
      </c>
      <c r="U20" s="281"/>
      <c r="V20" s="281"/>
      <c r="W20" s="123" t="s">
        <v>47</v>
      </c>
      <c r="X20" s="124" t="e">
        <f>+IF(X11-U11&lt;0,0,X11-U11)+IF(X15-U15&lt;0,0,X15-U15)</f>
        <v>#REF!</v>
      </c>
    </row>
    <row r="21" spans="1:24" ht="18.75" customHeight="1">
      <c r="A21" s="128" t="s">
        <v>73</v>
      </c>
      <c r="B21" s="129"/>
      <c r="C21" s="118"/>
      <c r="D21" s="119" t="s">
        <v>51</v>
      </c>
      <c r="E21" s="270" t="s">
        <v>74</v>
      </c>
      <c r="F21" s="270"/>
      <c r="G21" s="270"/>
      <c r="H21" s="115" t="s">
        <v>41</v>
      </c>
      <c r="I21" s="281">
        <v>324000</v>
      </c>
      <c r="J21" s="281"/>
      <c r="K21" s="123" t="s">
        <v>47</v>
      </c>
      <c r="L21" s="124"/>
      <c r="M21" s="128" t="s">
        <v>73</v>
      </c>
      <c r="N21" s="129"/>
      <c r="O21" s="118"/>
      <c r="P21" s="119" t="s">
        <v>51</v>
      </c>
      <c r="Q21" s="270" t="s">
        <v>74</v>
      </c>
      <c r="R21" s="270"/>
      <c r="S21" s="270"/>
      <c r="T21" s="115" t="s">
        <v>41</v>
      </c>
      <c r="U21" s="281">
        <v>324000</v>
      </c>
      <c r="V21" s="281"/>
      <c r="W21" s="123" t="s">
        <v>47</v>
      </c>
      <c r="X21" s="124"/>
    </row>
    <row r="22" spans="1:24" ht="18.75" customHeight="1">
      <c r="A22" s="288" t="s">
        <v>75</v>
      </c>
      <c r="B22" s="282"/>
      <c r="C22" s="118"/>
      <c r="D22" s="119"/>
      <c r="E22" s="120"/>
      <c r="F22" s="120"/>
      <c r="G22" s="120"/>
      <c r="H22" s="115" t="s">
        <v>41</v>
      </c>
      <c r="I22" s="281" t="e">
        <f>'[9]LUONG T7'!#REF!</f>
        <v>#REF!</v>
      </c>
      <c r="J22" s="281"/>
      <c r="K22" s="123" t="s">
        <v>47</v>
      </c>
      <c r="L22" s="124"/>
      <c r="M22" s="288" t="s">
        <v>75</v>
      </c>
      <c r="N22" s="282"/>
      <c r="O22" s="118"/>
      <c r="P22" s="119"/>
      <c r="Q22" s="120"/>
      <c r="R22" s="120"/>
      <c r="S22" s="120"/>
      <c r="T22" s="115" t="s">
        <v>41</v>
      </c>
      <c r="U22" s="281" t="e">
        <f>'[9]LUONG T7'!#REF!</f>
        <v>#REF!</v>
      </c>
      <c r="V22" s="281"/>
      <c r="W22" s="123" t="s">
        <v>47</v>
      </c>
      <c r="X22" s="124"/>
    </row>
    <row r="23" spans="1:24" ht="18.75" customHeight="1">
      <c r="A23" s="117" t="s">
        <v>76</v>
      </c>
      <c r="B23" s="115" t="s">
        <v>41</v>
      </c>
      <c r="C23" s="118"/>
      <c r="D23" s="119"/>
      <c r="E23" s="120" t="s">
        <v>77</v>
      </c>
      <c r="F23" s="120"/>
      <c r="G23" s="120"/>
      <c r="H23" s="115" t="s">
        <v>41</v>
      </c>
      <c r="I23" s="281" t="e">
        <f>L20</f>
        <v>#REF!</v>
      </c>
      <c r="J23" s="281"/>
      <c r="K23" s="123" t="s">
        <v>47</v>
      </c>
      <c r="L23" s="124"/>
      <c r="M23" s="117" t="s">
        <v>76</v>
      </c>
      <c r="N23" s="115" t="s">
        <v>41</v>
      </c>
      <c r="O23" s="118"/>
      <c r="P23" s="119"/>
      <c r="Q23" s="120" t="s">
        <v>77</v>
      </c>
      <c r="R23" s="120"/>
      <c r="S23" s="120"/>
      <c r="T23" s="115" t="s">
        <v>41</v>
      </c>
      <c r="U23" s="281" t="e">
        <f>X20</f>
        <v>#REF!</v>
      </c>
      <c r="V23" s="281"/>
      <c r="W23" s="123" t="s">
        <v>47</v>
      </c>
      <c r="X23" s="124"/>
    </row>
    <row r="24" spans="1:24" ht="18.75" customHeight="1">
      <c r="A24" s="285" t="s">
        <v>78</v>
      </c>
      <c r="B24" s="286"/>
      <c r="C24" s="286"/>
      <c r="D24" s="286"/>
      <c r="E24" s="286"/>
      <c r="F24" s="286"/>
      <c r="G24" s="115" t="s">
        <v>41</v>
      </c>
      <c r="H24" s="287" t="e">
        <f>+I21+I11+I12+I13+I14+I15+I18+I22+I23+I19</f>
        <v>#REF!</v>
      </c>
      <c r="I24" s="287"/>
      <c r="J24" s="287"/>
      <c r="K24" s="123" t="s">
        <v>47</v>
      </c>
      <c r="M24" s="285" t="s">
        <v>78</v>
      </c>
      <c r="N24" s="286"/>
      <c r="O24" s="286"/>
      <c r="P24" s="286"/>
      <c r="Q24" s="286"/>
      <c r="R24" s="286"/>
      <c r="S24" s="115" t="s">
        <v>41</v>
      </c>
      <c r="T24" s="287" t="e">
        <f>+U21+U11+U12+U13+U14+U15+U18+U22+U23+U19</f>
        <v>#REF!</v>
      </c>
      <c r="U24" s="287"/>
      <c r="V24" s="287"/>
      <c r="W24" s="123" t="s">
        <v>47</v>
      </c>
    </row>
    <row r="25" spans="1:24" ht="18.75" customHeight="1">
      <c r="A25" s="130"/>
      <c r="B25" s="131"/>
      <c r="C25" s="131"/>
      <c r="D25" s="131"/>
      <c r="E25" s="131"/>
      <c r="F25" s="131"/>
      <c r="G25" s="131"/>
      <c r="H25" s="131"/>
      <c r="I25" s="131"/>
      <c r="J25" s="131"/>
      <c r="K25" s="132"/>
      <c r="M25" s="130"/>
      <c r="N25" s="131"/>
      <c r="O25" s="131"/>
      <c r="P25" s="131"/>
      <c r="Q25" s="131"/>
      <c r="R25" s="131"/>
      <c r="S25" s="131"/>
      <c r="T25" s="131"/>
      <c r="U25" s="131"/>
      <c r="V25" s="131"/>
      <c r="W25" s="132"/>
    </row>
    <row r="26" spans="1:24" ht="18.75" customHeight="1">
      <c r="A26" s="295" t="s">
        <v>79</v>
      </c>
      <c r="B26" s="296"/>
      <c r="C26" s="296"/>
      <c r="D26" s="296"/>
      <c r="E26" s="296"/>
      <c r="F26" s="296"/>
      <c r="G26" s="115"/>
      <c r="H26" s="115"/>
      <c r="I26" s="115"/>
      <c r="J26" s="115"/>
      <c r="K26" s="123"/>
      <c r="M26" s="295" t="s">
        <v>79</v>
      </c>
      <c r="N26" s="296"/>
      <c r="O26" s="296"/>
      <c r="P26" s="296"/>
      <c r="Q26" s="296"/>
      <c r="R26" s="296"/>
      <c r="S26" s="115"/>
      <c r="T26" s="115"/>
      <c r="U26" s="115"/>
      <c r="V26" s="115"/>
      <c r="W26" s="123"/>
    </row>
    <row r="27" spans="1:24" ht="18.75" customHeight="1">
      <c r="A27" s="289" t="s">
        <v>80</v>
      </c>
      <c r="B27" s="290"/>
      <c r="C27" s="290"/>
      <c r="D27" s="290"/>
      <c r="E27" s="290"/>
      <c r="F27" s="290"/>
      <c r="G27" s="115" t="s">
        <v>41</v>
      </c>
      <c r="H27" s="297" t="e">
        <f>IF(($L$1-(C11+C12+C13+C14))&gt;12,0,F8*8%)</f>
        <v>#REF!</v>
      </c>
      <c r="I27" s="297"/>
      <c r="J27" s="297"/>
      <c r="K27" s="123" t="s">
        <v>47</v>
      </c>
      <c r="M27" s="289" t="s">
        <v>80</v>
      </c>
      <c r="N27" s="290"/>
      <c r="O27" s="290"/>
      <c r="P27" s="290"/>
      <c r="Q27" s="290"/>
      <c r="R27" s="290"/>
      <c r="S27" s="115" t="s">
        <v>41</v>
      </c>
      <c r="T27" s="297" t="e">
        <f>IF(($L$1-(O11+O12+O13+O14))&gt;12,0,R8*8%)</f>
        <v>#REF!</v>
      </c>
      <c r="U27" s="297"/>
      <c r="V27" s="297"/>
      <c r="W27" s="123" t="s">
        <v>47</v>
      </c>
    </row>
    <row r="28" spans="1:24" ht="18.75" customHeight="1">
      <c r="A28" s="289" t="s">
        <v>81</v>
      </c>
      <c r="B28" s="290"/>
      <c r="C28" s="290"/>
      <c r="D28" s="290"/>
      <c r="E28" s="290"/>
      <c r="F28" s="290"/>
      <c r="G28" s="115" t="s">
        <v>41</v>
      </c>
      <c r="H28" s="291" t="e">
        <f>IF(($L$1-(C11+C12+C13+C14))&gt;12,0,F8*1.5%)</f>
        <v>#REF!</v>
      </c>
      <c r="I28" s="291"/>
      <c r="J28" s="291"/>
      <c r="K28" s="123" t="s">
        <v>47</v>
      </c>
      <c r="M28" s="289" t="s">
        <v>81</v>
      </c>
      <c r="N28" s="290"/>
      <c r="O28" s="290"/>
      <c r="P28" s="290"/>
      <c r="Q28" s="290"/>
      <c r="R28" s="290"/>
      <c r="S28" s="115" t="s">
        <v>41</v>
      </c>
      <c r="T28" s="291" t="e">
        <f>IF(($L$1-(O11+O12+O13+O14))&gt;12,0,R8*1.5%)</f>
        <v>#REF!</v>
      </c>
      <c r="U28" s="291"/>
      <c r="V28" s="291"/>
      <c r="W28" s="123" t="s">
        <v>47</v>
      </c>
    </row>
    <row r="29" spans="1:24" ht="18.75" customHeight="1">
      <c r="A29" s="289" t="s">
        <v>82</v>
      </c>
      <c r="B29" s="290"/>
      <c r="C29" s="290"/>
      <c r="D29" s="290"/>
      <c r="E29" s="290"/>
      <c r="F29" s="290"/>
      <c r="G29" s="115" t="s">
        <v>41</v>
      </c>
      <c r="H29" s="291" t="e">
        <f>IF(($L$1-(C11+C12+C13+C14))&gt;12,0,F8*1%)</f>
        <v>#REF!</v>
      </c>
      <c r="I29" s="291"/>
      <c r="J29" s="291"/>
      <c r="K29" s="123" t="s">
        <v>47</v>
      </c>
      <c r="M29" s="289" t="s">
        <v>82</v>
      </c>
      <c r="N29" s="290"/>
      <c r="O29" s="290"/>
      <c r="P29" s="290"/>
      <c r="Q29" s="290"/>
      <c r="R29" s="290"/>
      <c r="S29" s="115" t="s">
        <v>41</v>
      </c>
      <c r="T29" s="291" t="e">
        <f>IF(($L$1-(O11+O12+O13+O14))&gt;12,0,R8*1%)</f>
        <v>#REF!</v>
      </c>
      <c r="U29" s="291"/>
      <c r="V29" s="291"/>
      <c r="W29" s="123" t="s">
        <v>47</v>
      </c>
    </row>
    <row r="30" spans="1:24" ht="18.75" customHeight="1">
      <c r="A30" s="289" t="s">
        <v>83</v>
      </c>
      <c r="B30" s="290"/>
      <c r="C30" s="290"/>
      <c r="D30" s="290"/>
      <c r="E30" s="290"/>
      <c r="F30" s="290"/>
      <c r="G30" s="115" t="s">
        <v>41</v>
      </c>
      <c r="H30" s="291">
        <v>0</v>
      </c>
      <c r="I30" s="291"/>
      <c r="J30" s="291"/>
      <c r="K30" s="123" t="s">
        <v>47</v>
      </c>
      <c r="M30" s="289" t="s">
        <v>83</v>
      </c>
      <c r="N30" s="290"/>
      <c r="O30" s="290"/>
      <c r="P30" s="290"/>
      <c r="Q30" s="290"/>
      <c r="R30" s="290"/>
      <c r="S30" s="115" t="s">
        <v>41</v>
      </c>
      <c r="T30" s="291">
        <v>0</v>
      </c>
      <c r="U30" s="291"/>
      <c r="V30" s="291"/>
      <c r="W30" s="123" t="s">
        <v>47</v>
      </c>
    </row>
    <row r="31" spans="1:24" ht="18.75" customHeight="1">
      <c r="A31" s="292" t="s">
        <v>84</v>
      </c>
      <c r="B31" s="293"/>
      <c r="C31" s="293"/>
      <c r="D31" s="293"/>
      <c r="E31" s="293"/>
      <c r="F31" s="293"/>
      <c r="G31" s="115" t="s">
        <v>41</v>
      </c>
      <c r="H31" s="294" t="e">
        <f>SUM(H27:J30)</f>
        <v>#REF!</v>
      </c>
      <c r="I31" s="294"/>
      <c r="J31" s="294"/>
      <c r="K31" s="123" t="s">
        <v>47</v>
      </c>
      <c r="M31" s="292" t="s">
        <v>84</v>
      </c>
      <c r="N31" s="293"/>
      <c r="O31" s="293"/>
      <c r="P31" s="293"/>
      <c r="Q31" s="293"/>
      <c r="R31" s="293"/>
      <c r="S31" s="115" t="s">
        <v>41</v>
      </c>
      <c r="T31" s="294" t="e">
        <f>SUM(T27:V30)</f>
        <v>#REF!</v>
      </c>
      <c r="U31" s="294"/>
      <c r="V31" s="294"/>
      <c r="W31" s="123" t="s">
        <v>47</v>
      </c>
    </row>
    <row r="32" spans="1:24" ht="18.75" customHeight="1">
      <c r="A32" s="289" t="s">
        <v>85</v>
      </c>
      <c r="B32" s="290"/>
      <c r="C32" s="290"/>
      <c r="D32" s="290"/>
      <c r="E32" s="290"/>
      <c r="F32" s="290"/>
      <c r="G32" s="115" t="s">
        <v>41</v>
      </c>
      <c r="H32" s="301" t="e">
        <f>ROUND(H24-H31,-2)</f>
        <v>#REF!</v>
      </c>
      <c r="I32" s="301"/>
      <c r="J32" s="301"/>
      <c r="K32" s="123" t="s">
        <v>47</v>
      </c>
      <c r="M32" s="289" t="s">
        <v>85</v>
      </c>
      <c r="N32" s="290"/>
      <c r="O32" s="290"/>
      <c r="P32" s="290"/>
      <c r="Q32" s="290"/>
      <c r="R32" s="290"/>
      <c r="S32" s="115" t="s">
        <v>41</v>
      </c>
      <c r="T32" s="301" t="e">
        <f>ROUND(T24-T31,-2)</f>
        <v>#REF!</v>
      </c>
      <c r="U32" s="301"/>
      <c r="V32" s="301"/>
      <c r="W32" s="123" t="s">
        <v>47</v>
      </c>
    </row>
    <row r="33" spans="1:24" ht="18.75" customHeight="1">
      <c r="A33" s="133"/>
      <c r="B33" s="134"/>
      <c r="C33" s="134"/>
      <c r="D33" s="134"/>
      <c r="E33" s="134"/>
      <c r="F33" s="134"/>
      <c r="G33" s="134"/>
      <c r="H33" s="134"/>
      <c r="I33" s="134"/>
      <c r="J33" s="134"/>
      <c r="K33" s="135"/>
      <c r="M33" s="133"/>
      <c r="N33" s="134"/>
      <c r="O33" s="134"/>
      <c r="P33" s="134"/>
      <c r="Q33" s="134"/>
      <c r="R33" s="134"/>
      <c r="S33" s="134"/>
      <c r="T33" s="134"/>
      <c r="U33" s="134"/>
      <c r="V33" s="134"/>
      <c r="W33" s="135"/>
    </row>
    <row r="34" spans="1:24" ht="18.75" customHeight="1">
      <c r="A34" s="136"/>
      <c r="B34" s="115"/>
      <c r="C34" s="115"/>
      <c r="D34" s="115"/>
      <c r="E34" s="115"/>
      <c r="F34" s="115"/>
      <c r="G34" s="115"/>
      <c r="H34" s="115"/>
      <c r="I34" s="298" t="s">
        <v>86</v>
      </c>
      <c r="J34" s="298"/>
      <c r="K34" s="302"/>
      <c r="M34" s="136"/>
      <c r="N34" s="115"/>
      <c r="O34" s="115"/>
      <c r="P34" s="115"/>
      <c r="Q34" s="115"/>
      <c r="R34" s="115"/>
      <c r="S34" s="115"/>
      <c r="T34" s="115"/>
      <c r="U34" s="298" t="s">
        <v>86</v>
      </c>
      <c r="V34" s="298"/>
      <c r="W34" s="302"/>
    </row>
    <row r="35" spans="1:24" ht="18.75" customHeight="1">
      <c r="A35" s="136"/>
      <c r="B35" s="298"/>
      <c r="C35" s="298"/>
      <c r="D35" s="298"/>
      <c r="E35" s="298"/>
      <c r="F35" s="115"/>
      <c r="G35" s="115"/>
      <c r="H35" s="115"/>
      <c r="I35" s="115"/>
      <c r="J35" s="115"/>
      <c r="K35" s="116"/>
      <c r="M35" s="136"/>
      <c r="N35" s="298"/>
      <c r="O35" s="298"/>
      <c r="P35" s="298"/>
      <c r="Q35" s="298"/>
      <c r="R35" s="115"/>
      <c r="S35" s="115"/>
      <c r="T35" s="115"/>
      <c r="U35" s="115"/>
      <c r="V35" s="115"/>
      <c r="W35" s="116"/>
    </row>
    <row r="36" spans="1:24" ht="18.75" customHeight="1" thickBot="1">
      <c r="A36" s="137"/>
      <c r="B36" s="138"/>
      <c r="C36" s="138"/>
      <c r="D36" s="138"/>
      <c r="E36" s="138"/>
      <c r="F36" s="138"/>
      <c r="G36" s="138"/>
      <c r="H36" s="138"/>
      <c r="I36" s="299" t="s">
        <v>87</v>
      </c>
      <c r="J36" s="299"/>
      <c r="K36" s="300"/>
      <c r="M36" s="137"/>
      <c r="N36" s="138"/>
      <c r="O36" s="138"/>
      <c r="P36" s="138"/>
      <c r="Q36" s="138"/>
      <c r="R36" s="138"/>
      <c r="S36" s="138"/>
      <c r="T36" s="138"/>
      <c r="U36" s="299" t="s">
        <v>87</v>
      </c>
      <c r="V36" s="299"/>
      <c r="W36" s="300"/>
    </row>
    <row r="39" spans="1:24" ht="18.75" customHeight="1" thickTop="1">
      <c r="A39" s="274" t="s">
        <v>35</v>
      </c>
      <c r="B39" s="275"/>
      <c r="C39" s="275"/>
      <c r="D39" s="275"/>
      <c r="E39" s="275"/>
      <c r="F39" s="275"/>
      <c r="G39" s="275"/>
      <c r="H39" s="275"/>
      <c r="I39" s="275"/>
      <c r="J39" s="275"/>
      <c r="K39" s="276"/>
      <c r="L39" s="111">
        <v>25</v>
      </c>
      <c r="M39" s="274" t="s">
        <v>35</v>
      </c>
      <c r="N39" s="275"/>
      <c r="O39" s="275"/>
      <c r="P39" s="275"/>
      <c r="Q39" s="275"/>
      <c r="R39" s="275"/>
      <c r="S39" s="275"/>
      <c r="T39" s="275"/>
      <c r="U39" s="275"/>
      <c r="V39" s="275"/>
      <c r="W39" s="276"/>
      <c r="X39" s="111">
        <v>25</v>
      </c>
    </row>
    <row r="40" spans="1:24" ht="18.75" customHeight="1">
      <c r="A40" s="112" t="s">
        <v>88</v>
      </c>
      <c r="B40" s="113"/>
      <c r="C40" s="113"/>
      <c r="D40" s="113"/>
      <c r="E40" s="113"/>
      <c r="F40" s="113"/>
      <c r="G40" s="113"/>
      <c r="H40" s="113"/>
      <c r="I40" s="113"/>
      <c r="J40" s="113"/>
      <c r="K40" s="114"/>
      <c r="M40" s="112" t="s">
        <v>89</v>
      </c>
      <c r="N40" s="113"/>
      <c r="O40" s="113"/>
      <c r="P40" s="113"/>
      <c r="Q40" s="113"/>
      <c r="R40" s="113"/>
      <c r="S40" s="113"/>
      <c r="T40" s="113"/>
      <c r="U40" s="113"/>
      <c r="V40" s="113"/>
      <c r="W40" s="114"/>
    </row>
    <row r="41" spans="1:24" ht="18.75" customHeight="1">
      <c r="A41" s="277" t="s">
        <v>39</v>
      </c>
      <c r="B41" s="278"/>
      <c r="C41" s="278"/>
      <c r="D41" s="278"/>
      <c r="E41" s="278"/>
      <c r="F41" s="278"/>
      <c r="G41" s="278"/>
      <c r="H41" s="278"/>
      <c r="I41" s="278"/>
      <c r="J41" s="278"/>
      <c r="K41" s="279"/>
      <c r="M41" s="277" t="s">
        <v>39</v>
      </c>
      <c r="N41" s="278"/>
      <c r="O41" s="278"/>
      <c r="P41" s="278"/>
      <c r="Q41" s="278"/>
      <c r="R41" s="278"/>
      <c r="S41" s="278"/>
      <c r="T41" s="278"/>
      <c r="U41" s="278"/>
      <c r="V41" s="278"/>
      <c r="W41" s="279"/>
    </row>
    <row r="42" spans="1:24" ht="18.75" customHeight="1">
      <c r="A42" s="269" t="s">
        <v>40</v>
      </c>
      <c r="B42" s="270"/>
      <c r="C42" s="270"/>
      <c r="D42" s="270"/>
      <c r="E42" s="115" t="s">
        <v>41</v>
      </c>
      <c r="F42" s="271" t="s">
        <v>90</v>
      </c>
      <c r="G42" s="270"/>
      <c r="H42" s="270"/>
      <c r="I42" s="270"/>
      <c r="J42" s="270"/>
      <c r="K42" s="273"/>
      <c r="M42" s="269" t="s">
        <v>40</v>
      </c>
      <c r="N42" s="270"/>
      <c r="O42" s="270"/>
      <c r="P42" s="270"/>
      <c r="Q42" s="115" t="s">
        <v>41</v>
      </c>
      <c r="R42" s="271" t="s">
        <v>91</v>
      </c>
      <c r="S42" s="270"/>
      <c r="T42" s="270"/>
      <c r="U42" s="270"/>
      <c r="V42" s="270"/>
      <c r="W42" s="273"/>
    </row>
    <row r="43" spans="1:24" ht="18.75" customHeight="1">
      <c r="A43" s="269" t="s">
        <v>43</v>
      </c>
      <c r="B43" s="270"/>
      <c r="C43" s="270"/>
      <c r="D43" s="270"/>
      <c r="E43" s="115" t="s">
        <v>41</v>
      </c>
      <c r="F43" s="271">
        <v>50038</v>
      </c>
      <c r="G43" s="271"/>
      <c r="H43" s="271"/>
      <c r="I43" s="271"/>
      <c r="J43" s="271"/>
      <c r="K43" s="272"/>
      <c r="M43" s="269" t="s">
        <v>43</v>
      </c>
      <c r="N43" s="270"/>
      <c r="O43" s="270"/>
      <c r="P43" s="270"/>
      <c r="Q43" s="115" t="s">
        <v>41</v>
      </c>
      <c r="R43" s="271">
        <v>50041</v>
      </c>
      <c r="S43" s="271"/>
      <c r="T43" s="271"/>
      <c r="U43" s="271"/>
      <c r="V43" s="271"/>
      <c r="W43" s="272"/>
    </row>
    <row r="44" spans="1:24" ht="18.75" customHeight="1">
      <c r="A44" s="269" t="s">
        <v>44</v>
      </c>
      <c r="B44" s="270"/>
      <c r="C44" s="270"/>
      <c r="D44" s="270"/>
      <c r="E44" s="115" t="s">
        <v>41</v>
      </c>
      <c r="F44" s="270" t="str">
        <f>$L$2</f>
        <v>Gián tiếp</v>
      </c>
      <c r="G44" s="270"/>
      <c r="H44" s="270"/>
      <c r="I44" s="270"/>
      <c r="J44" s="270"/>
      <c r="K44" s="273"/>
      <c r="M44" s="269" t="s">
        <v>44</v>
      </c>
      <c r="N44" s="270"/>
      <c r="O44" s="270"/>
      <c r="P44" s="270"/>
      <c r="Q44" s="115" t="s">
        <v>41</v>
      </c>
      <c r="R44" s="270" t="str">
        <f>$L$2</f>
        <v>Gián tiếp</v>
      </c>
      <c r="S44" s="270"/>
      <c r="T44" s="270"/>
      <c r="U44" s="270"/>
      <c r="V44" s="270"/>
      <c r="W44" s="273"/>
    </row>
    <row r="45" spans="1:24" ht="18.75" customHeight="1">
      <c r="A45" s="277" t="s">
        <v>45</v>
      </c>
      <c r="B45" s="278"/>
      <c r="C45" s="278"/>
      <c r="D45" s="278"/>
      <c r="E45" s="278"/>
      <c r="F45" s="278"/>
      <c r="G45" s="278"/>
      <c r="H45" s="278"/>
      <c r="I45" s="278"/>
      <c r="J45" s="278"/>
      <c r="K45" s="279"/>
      <c r="M45" s="277" t="s">
        <v>45</v>
      </c>
      <c r="N45" s="278"/>
      <c r="O45" s="278"/>
      <c r="P45" s="278"/>
      <c r="Q45" s="278"/>
      <c r="R45" s="278"/>
      <c r="S45" s="278"/>
      <c r="T45" s="278"/>
      <c r="U45" s="278"/>
      <c r="V45" s="278"/>
      <c r="W45" s="279"/>
    </row>
    <row r="46" spans="1:24" ht="18.75" customHeight="1">
      <c r="A46" s="269" t="s">
        <v>46</v>
      </c>
      <c r="B46" s="270"/>
      <c r="C46" s="270"/>
      <c r="D46" s="270"/>
      <c r="E46" s="115" t="s">
        <v>41</v>
      </c>
      <c r="F46" s="284">
        <v>3876000</v>
      </c>
      <c r="G46" s="284"/>
      <c r="H46" s="284"/>
      <c r="I46" s="284"/>
      <c r="J46" s="115" t="s">
        <v>47</v>
      </c>
      <c r="K46" s="116"/>
      <c r="M46" s="269" t="s">
        <v>46</v>
      </c>
      <c r="N46" s="270"/>
      <c r="O46" s="270"/>
      <c r="P46" s="270"/>
      <c r="Q46" s="115" t="s">
        <v>41</v>
      </c>
      <c r="R46" s="284">
        <v>3876000</v>
      </c>
      <c r="S46" s="284"/>
      <c r="T46" s="284"/>
      <c r="U46" s="284"/>
      <c r="V46" s="115" t="s">
        <v>47</v>
      </c>
      <c r="W46" s="116"/>
    </row>
    <row r="47" spans="1:24" ht="18.75" customHeight="1">
      <c r="A47" s="117" t="s">
        <v>48</v>
      </c>
      <c r="B47" s="115"/>
      <c r="C47" s="118"/>
      <c r="D47" s="119"/>
      <c r="E47" s="120"/>
      <c r="F47" s="120"/>
      <c r="G47" s="120"/>
      <c r="H47" s="115"/>
      <c r="I47" s="121" t="e">
        <f>'[9]LUONG T7'!#REF!</f>
        <v>#REF!</v>
      </c>
      <c r="J47" s="122"/>
      <c r="K47" s="123"/>
      <c r="M47" s="117" t="s">
        <v>48</v>
      </c>
      <c r="N47" s="115"/>
      <c r="O47" s="118"/>
      <c r="P47" s="119"/>
      <c r="Q47" s="120"/>
      <c r="R47" s="120"/>
      <c r="S47" s="120"/>
      <c r="T47" s="115"/>
      <c r="U47" s="121" t="e">
        <f>'[9]LUONG T7'!#REF!</f>
        <v>#REF!</v>
      </c>
      <c r="V47" s="122"/>
      <c r="W47" s="123"/>
    </row>
    <row r="48" spans="1:24" ht="18.75" customHeight="1">
      <c r="A48" s="117" t="s">
        <v>49</v>
      </c>
      <c r="B48" s="115"/>
      <c r="C48" s="118"/>
      <c r="D48" s="119"/>
      <c r="E48" s="120"/>
      <c r="F48" s="120"/>
      <c r="G48" s="120"/>
      <c r="H48" s="115"/>
      <c r="I48" s="121" t="e">
        <f>I49/C49/8</f>
        <v>#REF!</v>
      </c>
      <c r="J48" s="122"/>
      <c r="K48" s="123"/>
      <c r="M48" s="117" t="s">
        <v>49</v>
      </c>
      <c r="N48" s="115"/>
      <c r="O48" s="118"/>
      <c r="P48" s="119"/>
      <c r="Q48" s="120"/>
      <c r="R48" s="120"/>
      <c r="S48" s="120"/>
      <c r="T48" s="115"/>
      <c r="U48" s="121" t="e">
        <f>U49/O49/8</f>
        <v>#REF!</v>
      </c>
      <c r="V48" s="122"/>
      <c r="W48" s="123"/>
    </row>
    <row r="49" spans="1:24" ht="18.75" customHeight="1">
      <c r="A49" s="117" t="s">
        <v>50</v>
      </c>
      <c r="B49" s="115" t="s">
        <v>41</v>
      </c>
      <c r="C49" s="118" t="e">
        <f>'[9]LUONG T7'!#REF!</f>
        <v>#REF!</v>
      </c>
      <c r="D49" s="119" t="s">
        <v>51</v>
      </c>
      <c r="E49" s="282" t="s">
        <v>52</v>
      </c>
      <c r="F49" s="282"/>
      <c r="G49" s="282"/>
      <c r="H49" s="115" t="s">
        <v>41</v>
      </c>
      <c r="I49" s="283" t="e">
        <f>'[9]LUONG T7'!#REF!</f>
        <v>#REF!</v>
      </c>
      <c r="J49" s="283"/>
      <c r="K49" s="123" t="s">
        <v>47</v>
      </c>
      <c r="L49" s="124" t="e">
        <f>F46/L39*C49</f>
        <v>#REF!</v>
      </c>
      <c r="M49" s="117" t="s">
        <v>50</v>
      </c>
      <c r="N49" s="115" t="s">
        <v>41</v>
      </c>
      <c r="O49" s="118" t="e">
        <f>'[9]LUONG T7'!#REF!</f>
        <v>#REF!</v>
      </c>
      <c r="P49" s="119" t="s">
        <v>51</v>
      </c>
      <c r="Q49" s="282" t="s">
        <v>52</v>
      </c>
      <c r="R49" s="282"/>
      <c r="S49" s="282"/>
      <c r="T49" s="115" t="s">
        <v>41</v>
      </c>
      <c r="U49" s="283" t="e">
        <f>'[9]LUONG T7'!#REF!</f>
        <v>#REF!</v>
      </c>
      <c r="V49" s="283"/>
      <c r="W49" s="123" t="s">
        <v>47</v>
      </c>
      <c r="X49" s="124" t="e">
        <f>R46/X39*O49</f>
        <v>#REF!</v>
      </c>
    </row>
    <row r="50" spans="1:24" ht="18.75" customHeight="1">
      <c r="A50" s="117" t="s">
        <v>53</v>
      </c>
      <c r="B50" s="115" t="s">
        <v>41</v>
      </c>
      <c r="C50" s="118" t="e">
        <f>'[9]LUONG T7'!#REF!</f>
        <v>#REF!</v>
      </c>
      <c r="D50" s="119" t="s">
        <v>51</v>
      </c>
      <c r="E50" s="270" t="s">
        <v>54</v>
      </c>
      <c r="F50" s="270"/>
      <c r="G50" s="270"/>
      <c r="H50" s="115" t="s">
        <v>41</v>
      </c>
      <c r="I50" s="281" t="e">
        <f>$F$8/$L$1*C50</f>
        <v>#REF!</v>
      </c>
      <c r="J50" s="281"/>
      <c r="K50" s="123" t="s">
        <v>47</v>
      </c>
      <c r="L50" s="124"/>
      <c r="M50" s="117" t="s">
        <v>53</v>
      </c>
      <c r="N50" s="115" t="s">
        <v>41</v>
      </c>
      <c r="O50" s="118" t="e">
        <f>'[9]LUONG T7'!#REF!</f>
        <v>#REF!</v>
      </c>
      <c r="P50" s="119" t="s">
        <v>51</v>
      </c>
      <c r="Q50" s="270" t="s">
        <v>54</v>
      </c>
      <c r="R50" s="270"/>
      <c r="S50" s="270"/>
      <c r="T50" s="115" t="s">
        <v>41</v>
      </c>
      <c r="U50" s="281" t="e">
        <f>$F$8/$L$1*O50</f>
        <v>#REF!</v>
      </c>
      <c r="V50" s="281"/>
      <c r="W50" s="123" t="s">
        <v>47</v>
      </c>
      <c r="X50" s="124"/>
    </row>
    <row r="51" spans="1:24" ht="18.75" customHeight="1">
      <c r="A51" s="117" t="s">
        <v>55</v>
      </c>
      <c r="B51" s="115" t="s">
        <v>41</v>
      </c>
      <c r="C51" s="118" t="e">
        <f>'[9]LUONG T7'!#REF!</f>
        <v>#REF!</v>
      </c>
      <c r="D51" s="119" t="s">
        <v>51</v>
      </c>
      <c r="E51" s="280" t="s">
        <v>56</v>
      </c>
      <c r="F51" s="280"/>
      <c r="G51" s="280"/>
      <c r="H51" s="115" t="s">
        <v>41</v>
      </c>
      <c r="I51" s="281" t="e">
        <f>$F$8/$L$1*C51</f>
        <v>#REF!</v>
      </c>
      <c r="J51" s="281"/>
      <c r="K51" s="123" t="s">
        <v>47</v>
      </c>
      <c r="L51" s="124"/>
      <c r="M51" s="117" t="s">
        <v>55</v>
      </c>
      <c r="N51" s="115" t="s">
        <v>41</v>
      </c>
      <c r="O51" s="118" t="e">
        <f>'[9]LUONG T7'!#REF!</f>
        <v>#REF!</v>
      </c>
      <c r="P51" s="119" t="s">
        <v>51</v>
      </c>
      <c r="Q51" s="280" t="s">
        <v>56</v>
      </c>
      <c r="R51" s="280"/>
      <c r="S51" s="280"/>
      <c r="T51" s="115" t="s">
        <v>41</v>
      </c>
      <c r="U51" s="281" t="e">
        <f>$F$8/$L$1*O51</f>
        <v>#REF!</v>
      </c>
      <c r="V51" s="281"/>
      <c r="W51" s="123" t="s">
        <v>47</v>
      </c>
      <c r="X51" s="124"/>
    </row>
    <row r="52" spans="1:24" ht="18.75" customHeight="1">
      <c r="A52" s="117" t="s">
        <v>57</v>
      </c>
      <c r="B52" s="115" t="s">
        <v>41</v>
      </c>
      <c r="C52" s="118" t="e">
        <f>'[9]LUONG T7'!#REF!</f>
        <v>#REF!</v>
      </c>
      <c r="D52" s="119" t="s">
        <v>51</v>
      </c>
      <c r="E52" s="280" t="s">
        <v>58</v>
      </c>
      <c r="F52" s="280"/>
      <c r="G52" s="280"/>
      <c r="H52" s="115" t="s">
        <v>41</v>
      </c>
      <c r="I52" s="281" t="e">
        <f>$F$8/$L$1*C52</f>
        <v>#REF!</v>
      </c>
      <c r="J52" s="281"/>
      <c r="K52" s="123" t="s">
        <v>47</v>
      </c>
      <c r="L52" s="124"/>
      <c r="M52" s="117" t="s">
        <v>57</v>
      </c>
      <c r="N52" s="115" t="s">
        <v>41</v>
      </c>
      <c r="O52" s="118" t="e">
        <f>'[9]LUONG T7'!#REF!</f>
        <v>#REF!</v>
      </c>
      <c r="P52" s="119" t="s">
        <v>51</v>
      </c>
      <c r="Q52" s="280" t="s">
        <v>58</v>
      </c>
      <c r="R52" s="280"/>
      <c r="S52" s="280"/>
      <c r="T52" s="115" t="s">
        <v>41</v>
      </c>
      <c r="U52" s="281" t="e">
        <f>$F$8/$L$1*O52</f>
        <v>#REF!</v>
      </c>
      <c r="V52" s="281"/>
      <c r="W52" s="123" t="s">
        <v>47</v>
      </c>
      <c r="X52" s="124"/>
    </row>
    <row r="53" spans="1:24" ht="18.75" customHeight="1">
      <c r="A53" s="117" t="s">
        <v>59</v>
      </c>
      <c r="B53" s="115" t="s">
        <v>41</v>
      </c>
      <c r="C53" s="118" t="e">
        <f>'[9]LUONG T7'!#REF!</f>
        <v>#REF!</v>
      </c>
      <c r="D53" s="119" t="s">
        <v>60</v>
      </c>
      <c r="E53" s="270" t="s">
        <v>61</v>
      </c>
      <c r="F53" s="270"/>
      <c r="G53" s="270"/>
      <c r="H53" s="115" t="s">
        <v>41</v>
      </c>
      <c r="I53" s="281" t="e">
        <f>'[9]LUONG T7'!#REF!</f>
        <v>#REF!</v>
      </c>
      <c r="J53" s="281"/>
      <c r="K53" s="123" t="s">
        <v>47</v>
      </c>
      <c r="L53" s="124" t="e">
        <f>F46*C53/L39/8*1.5</f>
        <v>#REF!</v>
      </c>
      <c r="M53" s="117" t="s">
        <v>59</v>
      </c>
      <c r="N53" s="115" t="s">
        <v>41</v>
      </c>
      <c r="O53" s="118" t="e">
        <f>'[9]LUONG T7'!#REF!</f>
        <v>#REF!</v>
      </c>
      <c r="P53" s="119" t="s">
        <v>60</v>
      </c>
      <c r="Q53" s="270" t="s">
        <v>61</v>
      </c>
      <c r="R53" s="270"/>
      <c r="S53" s="270"/>
      <c r="T53" s="115" t="s">
        <v>41</v>
      </c>
      <c r="U53" s="281" t="e">
        <f>'[9]LUONG T7'!#REF!</f>
        <v>#REF!</v>
      </c>
      <c r="V53" s="281"/>
      <c r="W53" s="123" t="s">
        <v>47</v>
      </c>
      <c r="X53" s="124" t="e">
        <f>R46*O53/X39/8*1.5</f>
        <v>#REF!</v>
      </c>
    </row>
    <row r="54" spans="1:24" ht="18.75" customHeight="1">
      <c r="A54" s="269" t="s">
        <v>62</v>
      </c>
      <c r="B54" s="270"/>
      <c r="C54" s="118"/>
      <c r="D54" s="119" t="s">
        <v>51</v>
      </c>
      <c r="E54" s="270" t="s">
        <v>63</v>
      </c>
      <c r="F54" s="270"/>
      <c r="G54" s="270"/>
      <c r="H54" s="125" t="s">
        <v>41</v>
      </c>
      <c r="I54" s="281"/>
      <c r="J54" s="281"/>
      <c r="K54" s="123" t="s">
        <v>47</v>
      </c>
      <c r="L54" s="124"/>
      <c r="M54" s="269" t="s">
        <v>62</v>
      </c>
      <c r="N54" s="270"/>
      <c r="O54" s="118"/>
      <c r="P54" s="119" t="s">
        <v>51</v>
      </c>
      <c r="Q54" s="270" t="s">
        <v>63</v>
      </c>
      <c r="R54" s="270"/>
      <c r="S54" s="270"/>
      <c r="T54" s="125" t="s">
        <v>41</v>
      </c>
      <c r="U54" s="281"/>
      <c r="V54" s="281"/>
      <c r="W54" s="123" t="s">
        <v>47</v>
      </c>
      <c r="X54" s="124"/>
    </row>
    <row r="55" spans="1:24" ht="18.75" customHeight="1">
      <c r="A55" s="117" t="s">
        <v>64</v>
      </c>
      <c r="B55" s="115" t="s">
        <v>41</v>
      </c>
      <c r="C55" s="118"/>
      <c r="D55" s="119" t="s">
        <v>51</v>
      </c>
      <c r="E55" s="270" t="s">
        <v>65</v>
      </c>
      <c r="F55" s="270"/>
      <c r="G55" s="270"/>
      <c r="H55" s="115" t="s">
        <v>41</v>
      </c>
      <c r="I55" s="281"/>
      <c r="J55" s="281"/>
      <c r="K55" s="123" t="s">
        <v>47</v>
      </c>
      <c r="L55" s="124"/>
      <c r="M55" s="117" t="s">
        <v>64</v>
      </c>
      <c r="N55" s="115" t="s">
        <v>41</v>
      </c>
      <c r="O55" s="118"/>
      <c r="P55" s="119" t="s">
        <v>51</v>
      </c>
      <c r="Q55" s="270" t="s">
        <v>65</v>
      </c>
      <c r="R55" s="270"/>
      <c r="S55" s="270"/>
      <c r="T55" s="115" t="s">
        <v>41</v>
      </c>
      <c r="U55" s="281"/>
      <c r="V55" s="281"/>
      <c r="W55" s="123" t="s">
        <v>47</v>
      </c>
      <c r="X55" s="124"/>
    </row>
    <row r="56" spans="1:24" ht="18.75" customHeight="1">
      <c r="A56" s="126" t="s">
        <v>66</v>
      </c>
      <c r="B56" s="115"/>
      <c r="C56" s="118" t="e">
        <f>'[9]LUONG T7'!#REF!</f>
        <v>#REF!</v>
      </c>
      <c r="D56" s="119" t="s">
        <v>60</v>
      </c>
      <c r="E56" s="270" t="s">
        <v>67</v>
      </c>
      <c r="F56" s="270"/>
      <c r="G56" s="270"/>
      <c r="H56" s="115" t="s">
        <v>41</v>
      </c>
      <c r="I56" s="281" t="e">
        <f>$F$8*C56/8/$L$1</f>
        <v>#REF!</v>
      </c>
      <c r="J56" s="281"/>
      <c r="K56" s="123" t="s">
        <v>47</v>
      </c>
      <c r="L56" s="124"/>
      <c r="M56" s="126" t="s">
        <v>66</v>
      </c>
      <c r="N56" s="115"/>
      <c r="O56" s="118" t="e">
        <f>'[9]LUONG T7'!#REF!</f>
        <v>#REF!</v>
      </c>
      <c r="P56" s="119" t="s">
        <v>60</v>
      </c>
      <c r="Q56" s="270" t="s">
        <v>67</v>
      </c>
      <c r="R56" s="270"/>
      <c r="S56" s="270"/>
      <c r="T56" s="115" t="s">
        <v>41</v>
      </c>
      <c r="U56" s="281" t="e">
        <f>$F$8*O56/8/$L$1</f>
        <v>#REF!</v>
      </c>
      <c r="V56" s="281"/>
      <c r="W56" s="123" t="s">
        <v>47</v>
      </c>
      <c r="X56" s="124"/>
    </row>
    <row r="57" spans="1:24" ht="18.75" customHeight="1">
      <c r="A57" s="117" t="s">
        <v>68</v>
      </c>
      <c r="B57" s="115" t="s">
        <v>41</v>
      </c>
      <c r="C57" s="118"/>
      <c r="D57" s="119" t="s">
        <v>60</v>
      </c>
      <c r="E57" s="270" t="s">
        <v>92</v>
      </c>
      <c r="F57" s="270"/>
      <c r="G57" s="270"/>
      <c r="H57" s="115" t="s">
        <v>41</v>
      </c>
      <c r="I57" s="283">
        <v>240000</v>
      </c>
      <c r="J57" s="283"/>
      <c r="K57" s="123" t="s">
        <v>47</v>
      </c>
      <c r="L57" s="124"/>
      <c r="M57" s="117" t="s">
        <v>68</v>
      </c>
      <c r="N57" s="115" t="s">
        <v>41</v>
      </c>
      <c r="O57" s="118"/>
      <c r="P57" s="119" t="s">
        <v>60</v>
      </c>
      <c r="Q57" s="270" t="s">
        <v>69</v>
      </c>
      <c r="R57" s="270"/>
      <c r="S57" s="270"/>
      <c r="T57" s="115" t="s">
        <v>41</v>
      </c>
      <c r="U57" s="283">
        <v>232500</v>
      </c>
      <c r="V57" s="283"/>
      <c r="W57" s="123" t="s">
        <v>47</v>
      </c>
      <c r="X57" s="124"/>
    </row>
    <row r="58" spans="1:24" ht="18.75" customHeight="1">
      <c r="A58" s="117" t="s">
        <v>70</v>
      </c>
      <c r="B58" s="115" t="s">
        <v>41</v>
      </c>
      <c r="C58" s="118"/>
      <c r="D58" s="119" t="s">
        <v>71</v>
      </c>
      <c r="E58" s="127" t="s">
        <v>72</v>
      </c>
      <c r="F58" s="127"/>
      <c r="G58" s="127"/>
      <c r="H58" s="115" t="s">
        <v>41</v>
      </c>
      <c r="I58" s="281"/>
      <c r="J58" s="281"/>
      <c r="K58" s="123" t="s">
        <v>47</v>
      </c>
      <c r="L58" s="124" t="e">
        <f>+IF(L49-I49&lt;0,0,L49-I49)+IF(L53-I53&lt;0,0,L53-I53)</f>
        <v>#REF!</v>
      </c>
      <c r="M58" s="117" t="s">
        <v>70</v>
      </c>
      <c r="N58" s="115" t="s">
        <v>41</v>
      </c>
      <c r="O58" s="118"/>
      <c r="P58" s="119" t="s">
        <v>71</v>
      </c>
      <c r="Q58" s="127" t="s">
        <v>72</v>
      </c>
      <c r="R58" s="127"/>
      <c r="S58" s="127"/>
      <c r="T58" s="115" t="s">
        <v>41</v>
      </c>
      <c r="U58" s="281"/>
      <c r="V58" s="281"/>
      <c r="W58" s="123" t="s">
        <v>47</v>
      </c>
      <c r="X58" s="124" t="e">
        <f>+IF(X49-U49&lt;0,0,X49-U49)+IF(X53-U53&lt;0,0,X53-U53)</f>
        <v>#REF!</v>
      </c>
    </row>
    <row r="59" spans="1:24" ht="18.75" customHeight="1">
      <c r="A59" s="128" t="s">
        <v>73</v>
      </c>
      <c r="B59" s="129"/>
      <c r="C59" s="118"/>
      <c r="D59" s="119" t="s">
        <v>51</v>
      </c>
      <c r="E59" s="270" t="s">
        <v>74</v>
      </c>
      <c r="F59" s="270"/>
      <c r="G59" s="270"/>
      <c r="H59" s="115" t="s">
        <v>41</v>
      </c>
      <c r="I59" s="281">
        <v>324000</v>
      </c>
      <c r="J59" s="281"/>
      <c r="K59" s="123" t="s">
        <v>47</v>
      </c>
      <c r="L59" s="124"/>
      <c r="M59" s="128" t="s">
        <v>73</v>
      </c>
      <c r="N59" s="129"/>
      <c r="O59" s="118"/>
      <c r="P59" s="119" t="s">
        <v>51</v>
      </c>
      <c r="Q59" s="270" t="s">
        <v>74</v>
      </c>
      <c r="R59" s="270"/>
      <c r="S59" s="270"/>
      <c r="T59" s="115" t="s">
        <v>41</v>
      </c>
      <c r="U59" s="281">
        <v>318000</v>
      </c>
      <c r="V59" s="281"/>
      <c r="W59" s="123" t="s">
        <v>47</v>
      </c>
      <c r="X59" s="124"/>
    </row>
    <row r="60" spans="1:24" ht="18.75" customHeight="1">
      <c r="A60" s="288" t="s">
        <v>75</v>
      </c>
      <c r="B60" s="282"/>
      <c r="C60" s="118"/>
      <c r="D60" s="119"/>
      <c r="E60" s="120"/>
      <c r="F60" s="120"/>
      <c r="G60" s="120"/>
      <c r="H60" s="115" t="s">
        <v>41</v>
      </c>
      <c r="I60" s="281" t="e">
        <f>'[9]LUONG T7'!#REF!</f>
        <v>#REF!</v>
      </c>
      <c r="J60" s="281"/>
      <c r="K60" s="123" t="s">
        <v>47</v>
      </c>
      <c r="L60" s="124"/>
      <c r="M60" s="288" t="s">
        <v>75</v>
      </c>
      <c r="N60" s="282"/>
      <c r="O60" s="118"/>
      <c r="P60" s="119"/>
      <c r="Q60" s="120"/>
      <c r="R60" s="120"/>
      <c r="S60" s="120"/>
      <c r="T60" s="115" t="s">
        <v>41</v>
      </c>
      <c r="U60" s="281" t="e">
        <f>'[9]LUONG T7'!#REF!</f>
        <v>#REF!</v>
      </c>
      <c r="V60" s="281"/>
      <c r="W60" s="123" t="s">
        <v>47</v>
      </c>
      <c r="X60" s="124"/>
    </row>
    <row r="61" spans="1:24" ht="18.75" customHeight="1">
      <c r="A61" s="117" t="s">
        <v>76</v>
      </c>
      <c r="B61" s="115" t="s">
        <v>41</v>
      </c>
      <c r="C61" s="118"/>
      <c r="D61" s="119"/>
      <c r="E61" s="120" t="s">
        <v>77</v>
      </c>
      <c r="F61" s="120"/>
      <c r="G61" s="120"/>
      <c r="H61" s="115" t="s">
        <v>41</v>
      </c>
      <c r="I61" s="281" t="e">
        <f>L58</f>
        <v>#REF!</v>
      </c>
      <c r="J61" s="281"/>
      <c r="K61" s="123" t="s">
        <v>47</v>
      </c>
      <c r="L61" s="124"/>
      <c r="M61" s="117" t="s">
        <v>76</v>
      </c>
      <c r="N61" s="115" t="s">
        <v>41</v>
      </c>
      <c r="O61" s="118"/>
      <c r="P61" s="119"/>
      <c r="Q61" s="120" t="s">
        <v>77</v>
      </c>
      <c r="R61" s="120"/>
      <c r="S61" s="120"/>
      <c r="T61" s="115" t="s">
        <v>41</v>
      </c>
      <c r="U61" s="281" t="e">
        <f>X58</f>
        <v>#REF!</v>
      </c>
      <c r="V61" s="281"/>
      <c r="W61" s="123" t="s">
        <v>47</v>
      </c>
      <c r="X61" s="124"/>
    </row>
    <row r="62" spans="1:24" ht="18.75" customHeight="1">
      <c r="A62" s="285" t="s">
        <v>78</v>
      </c>
      <c r="B62" s="286"/>
      <c r="C62" s="286"/>
      <c r="D62" s="286"/>
      <c r="E62" s="286"/>
      <c r="F62" s="286"/>
      <c r="G62" s="115" t="s">
        <v>41</v>
      </c>
      <c r="H62" s="287" t="e">
        <f>+I59+I49+I50+I51+I52+I53+I56+I60+I61+I57</f>
        <v>#REF!</v>
      </c>
      <c r="I62" s="287"/>
      <c r="J62" s="287"/>
      <c r="K62" s="123" t="s">
        <v>47</v>
      </c>
      <c r="M62" s="285" t="s">
        <v>78</v>
      </c>
      <c r="N62" s="286"/>
      <c r="O62" s="286"/>
      <c r="P62" s="286"/>
      <c r="Q62" s="286"/>
      <c r="R62" s="286"/>
      <c r="S62" s="115" t="s">
        <v>41</v>
      </c>
      <c r="T62" s="287" t="e">
        <f>+U59+U49+U50+U51+U52+U53+U56+U60+U61+U57</f>
        <v>#REF!</v>
      </c>
      <c r="U62" s="287"/>
      <c r="V62" s="287"/>
      <c r="W62" s="123" t="s">
        <v>47</v>
      </c>
    </row>
    <row r="63" spans="1:24" ht="18.75" customHeight="1">
      <c r="A63" s="130"/>
      <c r="B63" s="131"/>
      <c r="C63" s="131"/>
      <c r="D63" s="131"/>
      <c r="E63" s="131"/>
      <c r="F63" s="131"/>
      <c r="G63" s="131"/>
      <c r="H63" s="131"/>
      <c r="I63" s="131"/>
      <c r="J63" s="131"/>
      <c r="K63" s="132"/>
      <c r="M63" s="130"/>
      <c r="N63" s="131"/>
      <c r="O63" s="131"/>
      <c r="P63" s="131"/>
      <c r="Q63" s="131"/>
      <c r="R63" s="131"/>
      <c r="S63" s="131"/>
      <c r="T63" s="131"/>
      <c r="U63" s="131"/>
      <c r="V63" s="131"/>
      <c r="W63" s="132"/>
    </row>
    <row r="64" spans="1:24" ht="18.75" customHeight="1">
      <c r="A64" s="295" t="s">
        <v>79</v>
      </c>
      <c r="B64" s="296"/>
      <c r="C64" s="296"/>
      <c r="D64" s="296"/>
      <c r="E64" s="296"/>
      <c r="F64" s="296"/>
      <c r="G64" s="115"/>
      <c r="H64" s="115"/>
      <c r="I64" s="115"/>
      <c r="J64" s="115"/>
      <c r="K64" s="123"/>
      <c r="M64" s="295" t="s">
        <v>79</v>
      </c>
      <c r="N64" s="296"/>
      <c r="O64" s="296"/>
      <c r="P64" s="296"/>
      <c r="Q64" s="296"/>
      <c r="R64" s="296"/>
      <c r="S64" s="115"/>
      <c r="T64" s="115"/>
      <c r="U64" s="115"/>
      <c r="V64" s="115"/>
      <c r="W64" s="123"/>
    </row>
    <row r="65" spans="1:24" ht="18.75" customHeight="1">
      <c r="A65" s="289" t="s">
        <v>80</v>
      </c>
      <c r="B65" s="290"/>
      <c r="C65" s="290"/>
      <c r="D65" s="290"/>
      <c r="E65" s="290"/>
      <c r="F65" s="290"/>
      <c r="G65" s="115" t="s">
        <v>41</v>
      </c>
      <c r="H65" s="297" t="e">
        <f>IF(($L$1-(C49+C50+C51+C52))&gt;12,0,F46*8%)</f>
        <v>#REF!</v>
      </c>
      <c r="I65" s="297"/>
      <c r="J65" s="297"/>
      <c r="K65" s="123" t="s">
        <v>47</v>
      </c>
      <c r="M65" s="289" t="s">
        <v>80</v>
      </c>
      <c r="N65" s="290"/>
      <c r="O65" s="290"/>
      <c r="P65" s="290"/>
      <c r="Q65" s="290"/>
      <c r="R65" s="290"/>
      <c r="S65" s="115" t="s">
        <v>41</v>
      </c>
      <c r="T65" s="297" t="e">
        <f>IF(($L$1-(O49+O50+O51+O52))&gt;12,0,R46*8%)</f>
        <v>#REF!</v>
      </c>
      <c r="U65" s="297"/>
      <c r="V65" s="297"/>
      <c r="W65" s="123" t="s">
        <v>47</v>
      </c>
    </row>
    <row r="66" spans="1:24" ht="18.75" customHeight="1">
      <c r="A66" s="289" t="s">
        <v>81</v>
      </c>
      <c r="B66" s="290"/>
      <c r="C66" s="290"/>
      <c r="D66" s="290"/>
      <c r="E66" s="290"/>
      <c r="F66" s="290"/>
      <c r="G66" s="115" t="s">
        <v>41</v>
      </c>
      <c r="H66" s="291" t="e">
        <f>IF(($L$1-(C49+C50+C51+C52))&gt;12,0,F46*1.5%)</f>
        <v>#REF!</v>
      </c>
      <c r="I66" s="291"/>
      <c r="J66" s="291"/>
      <c r="K66" s="123" t="s">
        <v>47</v>
      </c>
      <c r="M66" s="289" t="s">
        <v>81</v>
      </c>
      <c r="N66" s="290"/>
      <c r="O66" s="290"/>
      <c r="P66" s="290"/>
      <c r="Q66" s="290"/>
      <c r="R66" s="290"/>
      <c r="S66" s="115" t="s">
        <v>41</v>
      </c>
      <c r="T66" s="291" t="e">
        <f>IF(($L$1-(O49+O50+O51+O52))&gt;12,0,R46*1.5%)</f>
        <v>#REF!</v>
      </c>
      <c r="U66" s="291"/>
      <c r="V66" s="291"/>
      <c r="W66" s="123" t="s">
        <v>47</v>
      </c>
    </row>
    <row r="67" spans="1:24" ht="18.75" customHeight="1">
      <c r="A67" s="289" t="s">
        <v>82</v>
      </c>
      <c r="B67" s="290"/>
      <c r="C67" s="290"/>
      <c r="D67" s="290"/>
      <c r="E67" s="290"/>
      <c r="F67" s="290"/>
      <c r="G67" s="115" t="s">
        <v>41</v>
      </c>
      <c r="H67" s="291" t="e">
        <f>IF(($L$1-(C49+C50+C51+C52))&gt;12,0,F46*1%)</f>
        <v>#REF!</v>
      </c>
      <c r="I67" s="291"/>
      <c r="J67" s="291"/>
      <c r="K67" s="123" t="s">
        <v>47</v>
      </c>
      <c r="M67" s="289" t="s">
        <v>82</v>
      </c>
      <c r="N67" s="290"/>
      <c r="O67" s="290"/>
      <c r="P67" s="290"/>
      <c r="Q67" s="290"/>
      <c r="R67" s="290"/>
      <c r="S67" s="115" t="s">
        <v>41</v>
      </c>
      <c r="T67" s="291" t="e">
        <f>IF(($L$1-(O49+O50+O51+O52))&gt;12,0,R46*1%)</f>
        <v>#REF!</v>
      </c>
      <c r="U67" s="291"/>
      <c r="V67" s="291"/>
      <c r="W67" s="123" t="s">
        <v>47</v>
      </c>
    </row>
    <row r="68" spans="1:24" ht="18.75" customHeight="1">
      <c r="A68" s="289" t="s">
        <v>83</v>
      </c>
      <c r="B68" s="290"/>
      <c r="C68" s="290"/>
      <c r="D68" s="290"/>
      <c r="E68" s="290"/>
      <c r="F68" s="290"/>
      <c r="G68" s="115" t="s">
        <v>41</v>
      </c>
      <c r="H68" s="291">
        <v>0</v>
      </c>
      <c r="I68" s="291"/>
      <c r="J68" s="291"/>
      <c r="K68" s="123" t="s">
        <v>47</v>
      </c>
      <c r="M68" s="289" t="s">
        <v>83</v>
      </c>
      <c r="N68" s="290"/>
      <c r="O68" s="290"/>
      <c r="P68" s="290"/>
      <c r="Q68" s="290"/>
      <c r="R68" s="290"/>
      <c r="S68" s="115" t="s">
        <v>41</v>
      </c>
      <c r="T68" s="291">
        <v>0</v>
      </c>
      <c r="U68" s="291"/>
      <c r="V68" s="291"/>
      <c r="W68" s="123" t="s">
        <v>47</v>
      </c>
    </row>
    <row r="69" spans="1:24" ht="18.75" customHeight="1">
      <c r="A69" s="292" t="s">
        <v>84</v>
      </c>
      <c r="B69" s="293"/>
      <c r="C69" s="293"/>
      <c r="D69" s="293"/>
      <c r="E69" s="293"/>
      <c r="F69" s="293"/>
      <c r="G69" s="115" t="s">
        <v>41</v>
      </c>
      <c r="H69" s="294" t="e">
        <f>SUM(H65:J68)</f>
        <v>#REF!</v>
      </c>
      <c r="I69" s="294"/>
      <c r="J69" s="294"/>
      <c r="K69" s="123" t="s">
        <v>47</v>
      </c>
      <c r="M69" s="292" t="s">
        <v>84</v>
      </c>
      <c r="N69" s="293"/>
      <c r="O69" s="293"/>
      <c r="P69" s="293"/>
      <c r="Q69" s="293"/>
      <c r="R69" s="293"/>
      <c r="S69" s="115" t="s">
        <v>41</v>
      </c>
      <c r="T69" s="294" t="e">
        <f>SUM(T65:V68)</f>
        <v>#REF!</v>
      </c>
      <c r="U69" s="294"/>
      <c r="V69" s="294"/>
      <c r="W69" s="123" t="s">
        <v>47</v>
      </c>
    </row>
    <row r="70" spans="1:24" ht="18.75" customHeight="1">
      <c r="A70" s="289" t="s">
        <v>85</v>
      </c>
      <c r="B70" s="290"/>
      <c r="C70" s="290"/>
      <c r="D70" s="290"/>
      <c r="E70" s="290"/>
      <c r="F70" s="290"/>
      <c r="G70" s="115" t="s">
        <v>41</v>
      </c>
      <c r="H70" s="301" t="e">
        <f>ROUND(H62-H69,-2)</f>
        <v>#REF!</v>
      </c>
      <c r="I70" s="301"/>
      <c r="J70" s="301"/>
      <c r="K70" s="123" t="s">
        <v>47</v>
      </c>
      <c r="M70" s="289" t="s">
        <v>85</v>
      </c>
      <c r="N70" s="290"/>
      <c r="O70" s="290"/>
      <c r="P70" s="290"/>
      <c r="Q70" s="290"/>
      <c r="R70" s="290"/>
      <c r="S70" s="115" t="s">
        <v>41</v>
      </c>
      <c r="T70" s="301" t="e">
        <f>ROUND(T62-T69,-2)</f>
        <v>#REF!</v>
      </c>
      <c r="U70" s="301"/>
      <c r="V70" s="301"/>
      <c r="W70" s="123" t="s">
        <v>47</v>
      </c>
    </row>
    <row r="71" spans="1:24" ht="18.75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134"/>
      <c r="K71" s="135"/>
      <c r="M71" s="133"/>
      <c r="N71" s="134"/>
      <c r="O71" s="134"/>
      <c r="P71" s="134"/>
      <c r="Q71" s="134"/>
      <c r="R71" s="134"/>
      <c r="S71" s="134"/>
      <c r="T71" s="134"/>
      <c r="U71" s="134"/>
      <c r="V71" s="134"/>
      <c r="W71" s="135"/>
    </row>
    <row r="72" spans="1:24" ht="18.75" customHeight="1">
      <c r="A72" s="136"/>
      <c r="B72" s="115"/>
      <c r="C72" s="115"/>
      <c r="D72" s="115"/>
      <c r="E72" s="115"/>
      <c r="F72" s="115"/>
      <c r="G72" s="115"/>
      <c r="H72" s="115"/>
      <c r="I72" s="298" t="s">
        <v>86</v>
      </c>
      <c r="J72" s="298"/>
      <c r="K72" s="302"/>
      <c r="M72" s="136"/>
      <c r="N72" s="115"/>
      <c r="O72" s="115"/>
      <c r="P72" s="115"/>
      <c r="Q72" s="115"/>
      <c r="R72" s="115"/>
      <c r="S72" s="115"/>
      <c r="T72" s="115"/>
      <c r="U72" s="298" t="s">
        <v>86</v>
      </c>
      <c r="V72" s="298"/>
      <c r="W72" s="302"/>
    </row>
    <row r="73" spans="1:24" ht="18.75" customHeight="1">
      <c r="A73" s="136"/>
      <c r="B73" s="298"/>
      <c r="C73" s="298"/>
      <c r="D73" s="298"/>
      <c r="E73" s="298"/>
      <c r="F73" s="115"/>
      <c r="G73" s="115"/>
      <c r="H73" s="115"/>
      <c r="I73" s="115"/>
      <c r="J73" s="115"/>
      <c r="K73" s="116"/>
      <c r="M73" s="136"/>
      <c r="N73" s="298"/>
      <c r="O73" s="298"/>
      <c r="P73" s="298"/>
      <c r="Q73" s="298"/>
      <c r="R73" s="115"/>
      <c r="S73" s="115"/>
      <c r="T73" s="115"/>
      <c r="U73" s="115"/>
      <c r="V73" s="115"/>
      <c r="W73" s="116"/>
    </row>
    <row r="74" spans="1:24" ht="18.75" customHeight="1" thickBot="1">
      <c r="A74" s="137"/>
      <c r="B74" s="138"/>
      <c r="C74" s="138"/>
      <c r="D74" s="138"/>
      <c r="E74" s="138"/>
      <c r="F74" s="138"/>
      <c r="G74" s="138"/>
      <c r="H74" s="138"/>
      <c r="I74" s="299" t="s">
        <v>87</v>
      </c>
      <c r="J74" s="299"/>
      <c r="K74" s="300"/>
      <c r="M74" s="137"/>
      <c r="N74" s="138"/>
      <c r="O74" s="138"/>
      <c r="P74" s="138"/>
      <c r="Q74" s="138"/>
      <c r="R74" s="138"/>
      <c r="S74" s="138"/>
      <c r="T74" s="138"/>
      <c r="U74" s="299" t="s">
        <v>87</v>
      </c>
      <c r="V74" s="299"/>
      <c r="W74" s="300"/>
    </row>
    <row r="76" spans="1:24" ht="18.75" customHeight="1" thickTop="1">
      <c r="A76" s="274" t="s">
        <v>35</v>
      </c>
      <c r="B76" s="275"/>
      <c r="C76" s="275"/>
      <c r="D76" s="275"/>
      <c r="E76" s="275"/>
      <c r="F76" s="275"/>
      <c r="G76" s="275"/>
      <c r="H76" s="275"/>
      <c r="I76" s="275"/>
      <c r="J76" s="275"/>
      <c r="K76" s="276"/>
      <c r="L76" s="111">
        <v>25</v>
      </c>
      <c r="M76" s="274" t="s">
        <v>35</v>
      </c>
      <c r="N76" s="275"/>
      <c r="O76" s="275"/>
      <c r="P76" s="275"/>
      <c r="Q76" s="275"/>
      <c r="R76" s="275"/>
      <c r="S76" s="275"/>
      <c r="T76" s="275"/>
      <c r="U76" s="275"/>
      <c r="V76" s="275"/>
      <c r="W76" s="276"/>
      <c r="X76" s="111">
        <v>25</v>
      </c>
    </row>
    <row r="77" spans="1:24" ht="18.75" customHeight="1">
      <c r="A77" s="112" t="s">
        <v>93</v>
      </c>
      <c r="B77" s="113"/>
      <c r="C77" s="113"/>
      <c r="D77" s="113"/>
      <c r="E77" s="113"/>
      <c r="F77" s="113"/>
      <c r="G77" s="113"/>
      <c r="H77" s="113"/>
      <c r="I77" s="113"/>
      <c r="J77" s="113"/>
      <c r="K77" s="114"/>
      <c r="M77" s="112" t="s">
        <v>94</v>
      </c>
      <c r="N77" s="113"/>
      <c r="O77" s="113"/>
      <c r="P77" s="113"/>
      <c r="Q77" s="113"/>
      <c r="R77" s="113"/>
      <c r="S77" s="113"/>
      <c r="T77" s="113"/>
      <c r="U77" s="113"/>
      <c r="V77" s="113"/>
      <c r="W77" s="114"/>
    </row>
    <row r="78" spans="1:24" ht="18.75" customHeight="1">
      <c r="A78" s="277" t="s">
        <v>39</v>
      </c>
      <c r="B78" s="278"/>
      <c r="C78" s="278"/>
      <c r="D78" s="278"/>
      <c r="E78" s="278"/>
      <c r="F78" s="278"/>
      <c r="G78" s="278"/>
      <c r="H78" s="278"/>
      <c r="I78" s="278"/>
      <c r="J78" s="278"/>
      <c r="K78" s="279"/>
      <c r="M78" s="277" t="s">
        <v>39</v>
      </c>
      <c r="N78" s="278"/>
      <c r="O78" s="278"/>
      <c r="P78" s="278"/>
      <c r="Q78" s="278"/>
      <c r="R78" s="278"/>
      <c r="S78" s="278"/>
      <c r="T78" s="278"/>
      <c r="U78" s="278"/>
      <c r="V78" s="278"/>
      <c r="W78" s="279"/>
    </row>
    <row r="79" spans="1:24" ht="18.75" customHeight="1">
      <c r="A79" s="269" t="s">
        <v>40</v>
      </c>
      <c r="B79" s="270"/>
      <c r="C79" s="270"/>
      <c r="D79" s="270"/>
      <c r="E79" s="115" t="s">
        <v>41</v>
      </c>
      <c r="F79" s="271" t="s">
        <v>95</v>
      </c>
      <c r="G79" s="270"/>
      <c r="H79" s="270"/>
      <c r="I79" s="270"/>
      <c r="J79" s="270"/>
      <c r="K79" s="273"/>
      <c r="M79" s="269" t="s">
        <v>40</v>
      </c>
      <c r="N79" s="270"/>
      <c r="O79" s="270"/>
      <c r="P79" s="270"/>
      <c r="Q79" s="115" t="s">
        <v>41</v>
      </c>
      <c r="R79" s="271" t="s">
        <v>96</v>
      </c>
      <c r="S79" s="270"/>
      <c r="T79" s="270"/>
      <c r="U79" s="270"/>
      <c r="V79" s="270"/>
      <c r="W79" s="273"/>
    </row>
    <row r="80" spans="1:24" ht="18.75" customHeight="1">
      <c r="A80" s="269" t="s">
        <v>43</v>
      </c>
      <c r="B80" s="270"/>
      <c r="C80" s="270"/>
      <c r="D80" s="270"/>
      <c r="E80" s="115" t="s">
        <v>41</v>
      </c>
      <c r="F80" s="271">
        <v>50091</v>
      </c>
      <c r="G80" s="271"/>
      <c r="H80" s="271"/>
      <c r="I80" s="271"/>
      <c r="J80" s="271"/>
      <c r="K80" s="272"/>
      <c r="M80" s="269" t="s">
        <v>43</v>
      </c>
      <c r="N80" s="270"/>
      <c r="O80" s="270"/>
      <c r="P80" s="270"/>
      <c r="Q80" s="115" t="s">
        <v>41</v>
      </c>
      <c r="R80" s="271">
        <v>50112</v>
      </c>
      <c r="S80" s="271"/>
      <c r="T80" s="271"/>
      <c r="U80" s="271"/>
      <c r="V80" s="271"/>
      <c r="W80" s="272"/>
    </row>
    <row r="81" spans="1:24" ht="18.75" customHeight="1">
      <c r="A81" s="269" t="s">
        <v>44</v>
      </c>
      <c r="B81" s="270"/>
      <c r="C81" s="270"/>
      <c r="D81" s="270"/>
      <c r="E81" s="115" t="s">
        <v>41</v>
      </c>
      <c r="F81" s="270" t="str">
        <f>$L$2</f>
        <v>Gián tiếp</v>
      </c>
      <c r="G81" s="270"/>
      <c r="H81" s="270"/>
      <c r="I81" s="270"/>
      <c r="J81" s="270"/>
      <c r="K81" s="273"/>
      <c r="M81" s="269" t="s">
        <v>44</v>
      </c>
      <c r="N81" s="270"/>
      <c r="O81" s="270"/>
      <c r="P81" s="270"/>
      <c r="Q81" s="115" t="s">
        <v>41</v>
      </c>
      <c r="R81" s="270" t="str">
        <f>$L$2</f>
        <v>Gián tiếp</v>
      </c>
      <c r="S81" s="270"/>
      <c r="T81" s="270"/>
      <c r="U81" s="270"/>
      <c r="V81" s="270"/>
      <c r="W81" s="273"/>
    </row>
    <row r="82" spans="1:24" ht="18.75" customHeight="1">
      <c r="A82" s="277" t="s">
        <v>45</v>
      </c>
      <c r="B82" s="278"/>
      <c r="C82" s="278"/>
      <c r="D82" s="278"/>
      <c r="E82" s="278"/>
      <c r="F82" s="278"/>
      <c r="G82" s="278"/>
      <c r="H82" s="278"/>
      <c r="I82" s="278"/>
      <c r="J82" s="278"/>
      <c r="K82" s="279"/>
      <c r="M82" s="277" t="s">
        <v>45</v>
      </c>
      <c r="N82" s="278"/>
      <c r="O82" s="278"/>
      <c r="P82" s="278"/>
      <c r="Q82" s="278"/>
      <c r="R82" s="278"/>
      <c r="S82" s="278"/>
      <c r="T82" s="278"/>
      <c r="U82" s="278"/>
      <c r="V82" s="278"/>
      <c r="W82" s="279"/>
    </row>
    <row r="83" spans="1:24" ht="18.75" customHeight="1">
      <c r="A83" s="269" t="s">
        <v>46</v>
      </c>
      <c r="B83" s="270"/>
      <c r="C83" s="270"/>
      <c r="D83" s="270"/>
      <c r="E83" s="115" t="s">
        <v>41</v>
      </c>
      <c r="F83" s="284">
        <v>3876000</v>
      </c>
      <c r="G83" s="284"/>
      <c r="H83" s="284"/>
      <c r="I83" s="284"/>
      <c r="J83" s="115" t="s">
        <v>47</v>
      </c>
      <c r="K83" s="116"/>
      <c r="M83" s="269" t="s">
        <v>46</v>
      </c>
      <c r="N83" s="270"/>
      <c r="O83" s="270"/>
      <c r="P83" s="270"/>
      <c r="Q83" s="115" t="s">
        <v>41</v>
      </c>
      <c r="R83" s="284">
        <v>3876000</v>
      </c>
      <c r="S83" s="284"/>
      <c r="T83" s="284"/>
      <c r="U83" s="284"/>
      <c r="V83" s="115" t="s">
        <v>47</v>
      </c>
      <c r="W83" s="116"/>
    </row>
    <row r="84" spans="1:24" ht="18.75" customHeight="1">
      <c r="A84" s="117" t="s">
        <v>48</v>
      </c>
      <c r="B84" s="115"/>
      <c r="C84" s="118"/>
      <c r="D84" s="119"/>
      <c r="E84" s="120"/>
      <c r="F84" s="120"/>
      <c r="G84" s="120"/>
      <c r="H84" s="115"/>
      <c r="I84" s="121" t="e">
        <f>'[9]LUONG T7'!#REF!</f>
        <v>#REF!</v>
      </c>
      <c r="J84" s="122"/>
      <c r="K84" s="123"/>
      <c r="M84" s="117" t="s">
        <v>48</v>
      </c>
      <c r="N84" s="115"/>
      <c r="O84" s="118"/>
      <c r="P84" s="119"/>
      <c r="Q84" s="120"/>
      <c r="R84" s="120"/>
      <c r="S84" s="120"/>
      <c r="T84" s="115"/>
      <c r="U84" s="121" t="e">
        <f>'[9]LUONG T7'!#REF!</f>
        <v>#REF!</v>
      </c>
      <c r="V84" s="122"/>
      <c r="W84" s="123"/>
    </row>
    <row r="85" spans="1:24" ht="18.75" customHeight="1">
      <c r="A85" s="117" t="s">
        <v>49</v>
      </c>
      <c r="B85" s="115"/>
      <c r="C85" s="118"/>
      <c r="D85" s="119"/>
      <c r="E85" s="120"/>
      <c r="F85" s="120"/>
      <c r="G85" s="120"/>
      <c r="H85" s="115"/>
      <c r="I85" s="121" t="e">
        <f>I86/C86/8</f>
        <v>#REF!</v>
      </c>
      <c r="J85" s="122"/>
      <c r="K85" s="123"/>
      <c r="M85" s="117" t="s">
        <v>49</v>
      </c>
      <c r="N85" s="115"/>
      <c r="O85" s="118"/>
      <c r="P85" s="119"/>
      <c r="Q85" s="120"/>
      <c r="R85" s="120"/>
      <c r="S85" s="120"/>
      <c r="T85" s="115"/>
      <c r="U85" s="121" t="e">
        <f>U86/O86/8</f>
        <v>#REF!</v>
      </c>
      <c r="V85" s="122"/>
      <c r="W85" s="123"/>
    </row>
    <row r="86" spans="1:24" ht="18.75" customHeight="1">
      <c r="A86" s="117" t="s">
        <v>50</v>
      </c>
      <c r="B86" s="115" t="s">
        <v>41</v>
      </c>
      <c r="C86" s="118" t="e">
        <f>'[9]LUONG T7'!#REF!</f>
        <v>#REF!</v>
      </c>
      <c r="D86" s="119" t="s">
        <v>51</v>
      </c>
      <c r="E86" s="282" t="s">
        <v>52</v>
      </c>
      <c r="F86" s="282"/>
      <c r="G86" s="282"/>
      <c r="H86" s="115" t="s">
        <v>41</v>
      </c>
      <c r="I86" s="283" t="e">
        <f>'[9]LUONG T7'!#REF!</f>
        <v>#REF!</v>
      </c>
      <c r="J86" s="283"/>
      <c r="K86" s="123" t="s">
        <v>47</v>
      </c>
      <c r="L86" s="124" t="e">
        <f>F83/L76*C86</f>
        <v>#REF!</v>
      </c>
      <c r="M86" s="117" t="s">
        <v>50</v>
      </c>
      <c r="N86" s="115" t="s">
        <v>41</v>
      </c>
      <c r="O86" s="118" t="e">
        <f>'[9]LUONG T7'!#REF!</f>
        <v>#REF!</v>
      </c>
      <c r="P86" s="119" t="s">
        <v>51</v>
      </c>
      <c r="Q86" s="282" t="s">
        <v>52</v>
      </c>
      <c r="R86" s="282"/>
      <c r="S86" s="282"/>
      <c r="T86" s="115" t="s">
        <v>41</v>
      </c>
      <c r="U86" s="283" t="e">
        <f>'[9]LUONG T7'!#REF!</f>
        <v>#REF!</v>
      </c>
      <c r="V86" s="283"/>
      <c r="W86" s="123" t="s">
        <v>47</v>
      </c>
      <c r="X86" s="124" t="e">
        <f>R83/X76*O86</f>
        <v>#REF!</v>
      </c>
    </row>
    <row r="87" spans="1:24" ht="18.75" customHeight="1">
      <c r="A87" s="117" t="s">
        <v>53</v>
      </c>
      <c r="B87" s="115" t="s">
        <v>41</v>
      </c>
      <c r="C87" s="118" t="e">
        <f>'[9]LUONG T7'!#REF!</f>
        <v>#REF!</v>
      </c>
      <c r="D87" s="119" t="s">
        <v>51</v>
      </c>
      <c r="E87" s="270" t="s">
        <v>54</v>
      </c>
      <c r="F87" s="270"/>
      <c r="G87" s="270"/>
      <c r="H87" s="115" t="s">
        <v>41</v>
      </c>
      <c r="I87" s="281" t="e">
        <f>$F$8/$L$1*C87</f>
        <v>#REF!</v>
      </c>
      <c r="J87" s="281"/>
      <c r="K87" s="123" t="s">
        <v>47</v>
      </c>
      <c r="L87" s="124"/>
      <c r="M87" s="117" t="s">
        <v>53</v>
      </c>
      <c r="N87" s="115" t="s">
        <v>41</v>
      </c>
      <c r="O87" s="118" t="e">
        <f>'[9]LUONG T7'!#REF!</f>
        <v>#REF!</v>
      </c>
      <c r="P87" s="119" t="s">
        <v>51</v>
      </c>
      <c r="Q87" s="270" t="s">
        <v>54</v>
      </c>
      <c r="R87" s="270"/>
      <c r="S87" s="270"/>
      <c r="T87" s="115" t="s">
        <v>41</v>
      </c>
      <c r="U87" s="281" t="e">
        <f>$F$8/$L$1*O87</f>
        <v>#REF!</v>
      </c>
      <c r="V87" s="281"/>
      <c r="W87" s="123" t="s">
        <v>47</v>
      </c>
      <c r="X87" s="124"/>
    </row>
    <row r="88" spans="1:24" ht="18.75" customHeight="1">
      <c r="A88" s="117" t="s">
        <v>55</v>
      </c>
      <c r="B88" s="115" t="s">
        <v>41</v>
      </c>
      <c r="C88" s="118" t="e">
        <f>'[9]LUONG T7'!#REF!</f>
        <v>#REF!</v>
      </c>
      <c r="D88" s="119" t="s">
        <v>51</v>
      </c>
      <c r="E88" s="280" t="s">
        <v>56</v>
      </c>
      <c r="F88" s="280"/>
      <c r="G88" s="280"/>
      <c r="H88" s="115" t="s">
        <v>41</v>
      </c>
      <c r="I88" s="281" t="e">
        <f>$F$8/$L$1*C88</f>
        <v>#REF!</v>
      </c>
      <c r="J88" s="281"/>
      <c r="K88" s="123" t="s">
        <v>47</v>
      </c>
      <c r="L88" s="124"/>
      <c r="M88" s="117" t="s">
        <v>55</v>
      </c>
      <c r="N88" s="115" t="s">
        <v>41</v>
      </c>
      <c r="O88" s="118" t="e">
        <f>'[9]LUONG T7'!#REF!</f>
        <v>#REF!</v>
      </c>
      <c r="P88" s="119" t="s">
        <v>51</v>
      </c>
      <c r="Q88" s="280" t="s">
        <v>56</v>
      </c>
      <c r="R88" s="280"/>
      <c r="S88" s="280"/>
      <c r="T88" s="115" t="s">
        <v>41</v>
      </c>
      <c r="U88" s="281" t="e">
        <f>$F$8/$L$1*O88</f>
        <v>#REF!</v>
      </c>
      <c r="V88" s="281"/>
      <c r="W88" s="123" t="s">
        <v>47</v>
      </c>
      <c r="X88" s="124"/>
    </row>
    <row r="89" spans="1:24" ht="18.75" customHeight="1">
      <c r="A89" s="117" t="s">
        <v>57</v>
      </c>
      <c r="B89" s="115" t="s">
        <v>41</v>
      </c>
      <c r="C89" s="118" t="e">
        <f>'[9]LUONG T7'!#REF!</f>
        <v>#REF!</v>
      </c>
      <c r="D89" s="119" t="s">
        <v>51</v>
      </c>
      <c r="E89" s="280" t="s">
        <v>58</v>
      </c>
      <c r="F89" s="280"/>
      <c r="G89" s="280"/>
      <c r="H89" s="115" t="s">
        <v>41</v>
      </c>
      <c r="I89" s="281" t="e">
        <f>$F$8/$L$1*C89</f>
        <v>#REF!</v>
      </c>
      <c r="J89" s="281"/>
      <c r="K89" s="123" t="s">
        <v>47</v>
      </c>
      <c r="L89" s="124"/>
      <c r="M89" s="117" t="s">
        <v>57</v>
      </c>
      <c r="N89" s="115" t="s">
        <v>41</v>
      </c>
      <c r="O89" s="118" t="e">
        <f>'[9]LUONG T7'!#REF!</f>
        <v>#REF!</v>
      </c>
      <c r="P89" s="119" t="s">
        <v>51</v>
      </c>
      <c r="Q89" s="280" t="s">
        <v>58</v>
      </c>
      <c r="R89" s="280"/>
      <c r="S89" s="280"/>
      <c r="T89" s="115" t="s">
        <v>41</v>
      </c>
      <c r="U89" s="281" t="e">
        <f>$F$8/$L$1*O89</f>
        <v>#REF!</v>
      </c>
      <c r="V89" s="281"/>
      <c r="W89" s="123" t="s">
        <v>47</v>
      </c>
      <c r="X89" s="124"/>
    </row>
    <row r="90" spans="1:24" ht="18.75" customHeight="1">
      <c r="A90" s="117" t="s">
        <v>59</v>
      </c>
      <c r="B90" s="115" t="s">
        <v>41</v>
      </c>
      <c r="C90" s="118" t="e">
        <f>'[9]LUONG T7'!#REF!</f>
        <v>#REF!</v>
      </c>
      <c r="D90" s="119" t="s">
        <v>60</v>
      </c>
      <c r="E90" s="270" t="s">
        <v>61</v>
      </c>
      <c r="F90" s="270"/>
      <c r="G90" s="270"/>
      <c r="H90" s="115" t="s">
        <v>41</v>
      </c>
      <c r="I90" s="281" t="e">
        <f>'[9]LUONG T7'!#REF!</f>
        <v>#REF!</v>
      </c>
      <c r="J90" s="281"/>
      <c r="K90" s="123" t="s">
        <v>47</v>
      </c>
      <c r="L90" s="124" t="e">
        <f>F83*C90/L76/8*1.5</f>
        <v>#REF!</v>
      </c>
      <c r="M90" s="117" t="s">
        <v>59</v>
      </c>
      <c r="N90" s="115" t="s">
        <v>41</v>
      </c>
      <c r="O90" s="118" t="e">
        <f>'[9]LUONG T7'!#REF!</f>
        <v>#REF!</v>
      </c>
      <c r="P90" s="119" t="s">
        <v>60</v>
      </c>
      <c r="Q90" s="270" t="s">
        <v>61</v>
      </c>
      <c r="R90" s="270"/>
      <c r="S90" s="270"/>
      <c r="T90" s="115" t="s">
        <v>41</v>
      </c>
      <c r="U90" s="281" t="e">
        <f>'[9]LUONG T7'!#REF!</f>
        <v>#REF!</v>
      </c>
      <c r="V90" s="281"/>
      <c r="W90" s="123" t="s">
        <v>47</v>
      </c>
      <c r="X90" s="124" t="e">
        <f>R83*O90/X76/8*1.5</f>
        <v>#REF!</v>
      </c>
    </row>
    <row r="91" spans="1:24" ht="18.75" customHeight="1">
      <c r="A91" s="269" t="s">
        <v>62</v>
      </c>
      <c r="B91" s="270"/>
      <c r="C91" s="118"/>
      <c r="D91" s="119" t="s">
        <v>51</v>
      </c>
      <c r="E91" s="270" t="s">
        <v>63</v>
      </c>
      <c r="F91" s="270"/>
      <c r="G91" s="270"/>
      <c r="H91" s="125" t="s">
        <v>41</v>
      </c>
      <c r="I91" s="281"/>
      <c r="J91" s="281"/>
      <c r="K91" s="123" t="s">
        <v>47</v>
      </c>
      <c r="L91" s="124"/>
      <c r="M91" s="269" t="s">
        <v>62</v>
      </c>
      <c r="N91" s="270"/>
      <c r="O91" s="118"/>
      <c r="P91" s="119" t="s">
        <v>51</v>
      </c>
      <c r="Q91" s="270" t="s">
        <v>63</v>
      </c>
      <c r="R91" s="270"/>
      <c r="S91" s="270"/>
      <c r="T91" s="125" t="s">
        <v>41</v>
      </c>
      <c r="U91" s="281"/>
      <c r="V91" s="281"/>
      <c r="W91" s="123" t="s">
        <v>47</v>
      </c>
      <c r="X91" s="124"/>
    </row>
    <row r="92" spans="1:24" ht="18.75" customHeight="1">
      <c r="A92" s="117" t="s">
        <v>64</v>
      </c>
      <c r="B92" s="115" t="s">
        <v>41</v>
      </c>
      <c r="C92" s="118"/>
      <c r="D92" s="119" t="s">
        <v>51</v>
      </c>
      <c r="E92" s="270" t="s">
        <v>65</v>
      </c>
      <c r="F92" s="270"/>
      <c r="G92" s="270"/>
      <c r="H92" s="115" t="s">
        <v>41</v>
      </c>
      <c r="I92" s="281"/>
      <c r="J92" s="281"/>
      <c r="K92" s="123" t="s">
        <v>47</v>
      </c>
      <c r="L92" s="124"/>
      <c r="M92" s="117" t="s">
        <v>64</v>
      </c>
      <c r="N92" s="115" t="s">
        <v>41</v>
      </c>
      <c r="O92" s="118"/>
      <c r="P92" s="119" t="s">
        <v>51</v>
      </c>
      <c r="Q92" s="270" t="s">
        <v>65</v>
      </c>
      <c r="R92" s="270"/>
      <c r="S92" s="270"/>
      <c r="T92" s="115" t="s">
        <v>41</v>
      </c>
      <c r="U92" s="281"/>
      <c r="V92" s="281"/>
      <c r="W92" s="123" t="s">
        <v>47</v>
      </c>
      <c r="X92" s="124"/>
    </row>
    <row r="93" spans="1:24" ht="18.75" customHeight="1">
      <c r="A93" s="126" t="s">
        <v>66</v>
      </c>
      <c r="B93" s="115"/>
      <c r="C93" s="118" t="e">
        <f>'[9]LUONG T7'!#REF!</f>
        <v>#REF!</v>
      </c>
      <c r="D93" s="119" t="s">
        <v>60</v>
      </c>
      <c r="E93" s="270" t="s">
        <v>67</v>
      </c>
      <c r="F93" s="270"/>
      <c r="G93" s="270"/>
      <c r="H93" s="115" t="s">
        <v>41</v>
      </c>
      <c r="I93" s="281" t="e">
        <f>$F$8*C93/8/$L$1</f>
        <v>#REF!</v>
      </c>
      <c r="J93" s="281"/>
      <c r="K93" s="123" t="s">
        <v>47</v>
      </c>
      <c r="L93" s="124"/>
      <c r="M93" s="126" t="s">
        <v>66</v>
      </c>
      <c r="N93" s="115"/>
      <c r="O93" s="118" t="e">
        <f>'[9]LUONG T7'!#REF!</f>
        <v>#REF!</v>
      </c>
      <c r="P93" s="119" t="s">
        <v>60</v>
      </c>
      <c r="Q93" s="270" t="s">
        <v>67</v>
      </c>
      <c r="R93" s="270"/>
      <c r="S93" s="270"/>
      <c r="T93" s="115" t="s">
        <v>41</v>
      </c>
      <c r="U93" s="281" t="e">
        <f>$F$8*O93/8/$L$1</f>
        <v>#REF!</v>
      </c>
      <c r="V93" s="281"/>
      <c r="W93" s="123" t="s">
        <v>47</v>
      </c>
      <c r="X93" s="124"/>
    </row>
    <row r="94" spans="1:24" ht="18.75" customHeight="1">
      <c r="A94" s="117" t="s">
        <v>68</v>
      </c>
      <c r="B94" s="115" t="s">
        <v>41</v>
      </c>
      <c r="C94" s="118"/>
      <c r="D94" s="119" t="s">
        <v>60</v>
      </c>
      <c r="E94" s="270" t="s">
        <v>69</v>
      </c>
      <c r="F94" s="270"/>
      <c r="G94" s="270"/>
      <c r="H94" s="115" t="s">
        <v>41</v>
      </c>
      <c r="I94" s="283"/>
      <c r="J94" s="283"/>
      <c r="K94" s="123" t="s">
        <v>47</v>
      </c>
      <c r="L94" s="124"/>
      <c r="M94" s="117" t="s">
        <v>97</v>
      </c>
      <c r="N94" s="115" t="s">
        <v>41</v>
      </c>
      <c r="O94" s="118"/>
      <c r="P94" s="119" t="s">
        <v>60</v>
      </c>
      <c r="Q94" s="270" t="s">
        <v>69</v>
      </c>
      <c r="R94" s="270"/>
      <c r="S94" s="270"/>
      <c r="T94" s="115" t="s">
        <v>41</v>
      </c>
      <c r="U94" s="283"/>
      <c r="V94" s="283"/>
      <c r="W94" s="123" t="s">
        <v>47</v>
      </c>
      <c r="X94" s="124"/>
    </row>
    <row r="95" spans="1:24" ht="18.75" customHeight="1">
      <c r="A95" s="117" t="s">
        <v>70</v>
      </c>
      <c r="B95" s="115" t="s">
        <v>41</v>
      </c>
      <c r="C95" s="118"/>
      <c r="D95" s="119" t="s">
        <v>71</v>
      </c>
      <c r="E95" s="127" t="s">
        <v>72</v>
      </c>
      <c r="F95" s="127"/>
      <c r="G95" s="127"/>
      <c r="H95" s="115" t="s">
        <v>41</v>
      </c>
      <c r="I95" s="281"/>
      <c r="J95" s="281"/>
      <c r="K95" s="123" t="s">
        <v>47</v>
      </c>
      <c r="L95" s="124" t="e">
        <f>+IF(L86-I86&lt;0,0,L86-I86)+IF(L90-I90&lt;0,0,L90-I90)</f>
        <v>#REF!</v>
      </c>
      <c r="M95" s="117" t="s">
        <v>70</v>
      </c>
      <c r="N95" s="115" t="s">
        <v>41</v>
      </c>
      <c r="O95" s="118"/>
      <c r="P95" s="119" t="s">
        <v>71</v>
      </c>
      <c r="Q95" s="127" t="s">
        <v>72</v>
      </c>
      <c r="R95" s="127"/>
      <c r="S95" s="127"/>
      <c r="T95" s="115" t="s">
        <v>41</v>
      </c>
      <c r="U95" s="281"/>
      <c r="V95" s="281"/>
      <c r="W95" s="123" t="s">
        <v>47</v>
      </c>
      <c r="X95" s="124" t="e">
        <f>+IF(X86-U86&lt;0,0,X86-U86)+IF(X90-U90&lt;0,0,X90-U90)</f>
        <v>#REF!</v>
      </c>
    </row>
    <row r="96" spans="1:24" ht="18.75" customHeight="1">
      <c r="A96" s="128" t="s">
        <v>73</v>
      </c>
      <c r="B96" s="129"/>
      <c r="C96" s="118"/>
      <c r="D96" s="119" t="s">
        <v>51</v>
      </c>
      <c r="E96" s="270" t="s">
        <v>74</v>
      </c>
      <c r="F96" s="270"/>
      <c r="G96" s="270"/>
      <c r="H96" s="115" t="s">
        <v>41</v>
      </c>
      <c r="I96" s="281">
        <v>324000</v>
      </c>
      <c r="J96" s="281"/>
      <c r="K96" s="123" t="s">
        <v>47</v>
      </c>
      <c r="L96" s="124"/>
      <c r="M96" s="128" t="s">
        <v>73</v>
      </c>
      <c r="N96" s="129"/>
      <c r="O96" s="118"/>
      <c r="P96" s="119" t="s">
        <v>51</v>
      </c>
      <c r="Q96" s="270" t="s">
        <v>74</v>
      </c>
      <c r="R96" s="270"/>
      <c r="S96" s="270"/>
      <c r="T96" s="115" t="s">
        <v>41</v>
      </c>
      <c r="U96" s="281">
        <v>324000</v>
      </c>
      <c r="V96" s="281"/>
      <c r="W96" s="123" t="s">
        <v>47</v>
      </c>
      <c r="X96" s="124"/>
    </row>
    <row r="97" spans="1:24" ht="18.75" customHeight="1">
      <c r="A97" s="288" t="s">
        <v>75</v>
      </c>
      <c r="B97" s="282"/>
      <c r="C97" s="118"/>
      <c r="D97" s="119"/>
      <c r="E97" s="120"/>
      <c r="F97" s="120"/>
      <c r="G97" s="120"/>
      <c r="H97" s="115" t="s">
        <v>41</v>
      </c>
      <c r="I97" s="281" t="e">
        <f>'[9]LUONG T7'!#REF!</f>
        <v>#REF!</v>
      </c>
      <c r="J97" s="281"/>
      <c r="K97" s="123" t="s">
        <v>47</v>
      </c>
      <c r="L97" s="124"/>
      <c r="M97" s="288" t="s">
        <v>75</v>
      </c>
      <c r="N97" s="282"/>
      <c r="O97" s="118"/>
      <c r="P97" s="119"/>
      <c r="Q97" s="120"/>
      <c r="R97" s="120"/>
      <c r="S97" s="120"/>
      <c r="T97" s="115" t="s">
        <v>41</v>
      </c>
      <c r="U97" s="281" t="e">
        <f>'[9]LUONG T7'!#REF!</f>
        <v>#REF!</v>
      </c>
      <c r="V97" s="281"/>
      <c r="W97" s="123" t="s">
        <v>47</v>
      </c>
      <c r="X97" s="124"/>
    </row>
    <row r="98" spans="1:24" ht="18.75" customHeight="1">
      <c r="A98" s="117" t="s">
        <v>76</v>
      </c>
      <c r="B98" s="115" t="s">
        <v>41</v>
      </c>
      <c r="C98" s="118"/>
      <c r="D98" s="119"/>
      <c r="E98" s="120" t="s">
        <v>77</v>
      </c>
      <c r="F98" s="120"/>
      <c r="G98" s="120"/>
      <c r="H98" s="115" t="s">
        <v>41</v>
      </c>
      <c r="I98" s="281" t="e">
        <f>L95</f>
        <v>#REF!</v>
      </c>
      <c r="J98" s="281"/>
      <c r="K98" s="123" t="s">
        <v>47</v>
      </c>
      <c r="L98" s="124"/>
      <c r="M98" s="117" t="s">
        <v>76</v>
      </c>
      <c r="N98" s="115" t="s">
        <v>41</v>
      </c>
      <c r="O98" s="118"/>
      <c r="P98" s="119"/>
      <c r="Q98" s="120" t="s">
        <v>77</v>
      </c>
      <c r="R98" s="120"/>
      <c r="S98" s="120"/>
      <c r="T98" s="115" t="s">
        <v>41</v>
      </c>
      <c r="U98" s="281" t="e">
        <f>X95</f>
        <v>#REF!</v>
      </c>
      <c r="V98" s="281"/>
      <c r="W98" s="123" t="s">
        <v>47</v>
      </c>
      <c r="X98" s="124"/>
    </row>
    <row r="99" spans="1:24" ht="18.75" customHeight="1">
      <c r="A99" s="285" t="s">
        <v>78</v>
      </c>
      <c r="B99" s="286"/>
      <c r="C99" s="286"/>
      <c r="D99" s="286"/>
      <c r="E99" s="286"/>
      <c r="F99" s="286"/>
      <c r="G99" s="115" t="s">
        <v>41</v>
      </c>
      <c r="H99" s="287" t="e">
        <f>+I96+I86+I87+I88+I89+I90+I93+I97+I98+I94</f>
        <v>#REF!</v>
      </c>
      <c r="I99" s="287"/>
      <c r="J99" s="287"/>
      <c r="K99" s="123" t="s">
        <v>47</v>
      </c>
      <c r="M99" s="285" t="s">
        <v>78</v>
      </c>
      <c r="N99" s="286"/>
      <c r="O99" s="286"/>
      <c r="P99" s="286"/>
      <c r="Q99" s="286"/>
      <c r="R99" s="286"/>
      <c r="S99" s="115" t="s">
        <v>41</v>
      </c>
      <c r="T99" s="287" t="e">
        <f>+U96+U86+U87+U88+U89+U90+U93+U97+U98+U94</f>
        <v>#REF!</v>
      </c>
      <c r="U99" s="287"/>
      <c r="V99" s="287"/>
      <c r="W99" s="123" t="s">
        <v>47</v>
      </c>
    </row>
    <row r="100" spans="1:24" ht="18.75" customHeight="1">
      <c r="A100" s="130"/>
      <c r="B100" s="131"/>
      <c r="C100" s="131"/>
      <c r="D100" s="131"/>
      <c r="E100" s="131"/>
      <c r="F100" s="131"/>
      <c r="G100" s="131"/>
      <c r="H100" s="131"/>
      <c r="I100" s="131"/>
      <c r="J100" s="131"/>
      <c r="K100" s="132"/>
      <c r="M100" s="130"/>
      <c r="N100" s="131"/>
      <c r="O100" s="131"/>
      <c r="P100" s="131"/>
      <c r="Q100" s="131"/>
      <c r="R100" s="131"/>
      <c r="S100" s="131"/>
      <c r="T100" s="131"/>
      <c r="U100" s="131"/>
      <c r="V100" s="131"/>
      <c r="W100" s="132"/>
    </row>
    <row r="101" spans="1:24" ht="18.75" customHeight="1">
      <c r="A101" s="295" t="s">
        <v>79</v>
      </c>
      <c r="B101" s="296"/>
      <c r="C101" s="296"/>
      <c r="D101" s="296"/>
      <c r="E101" s="296"/>
      <c r="F101" s="296"/>
      <c r="G101" s="115"/>
      <c r="H101" s="115"/>
      <c r="I101" s="115"/>
      <c r="J101" s="115"/>
      <c r="K101" s="123"/>
      <c r="M101" s="295" t="s">
        <v>79</v>
      </c>
      <c r="N101" s="296"/>
      <c r="O101" s="296"/>
      <c r="P101" s="296"/>
      <c r="Q101" s="296"/>
      <c r="R101" s="296"/>
      <c r="S101" s="115"/>
      <c r="T101" s="115"/>
      <c r="U101" s="115"/>
      <c r="V101" s="115"/>
      <c r="W101" s="123"/>
    </row>
    <row r="102" spans="1:24" ht="18.75" customHeight="1">
      <c r="A102" s="289" t="s">
        <v>80</v>
      </c>
      <c r="B102" s="290"/>
      <c r="C102" s="290"/>
      <c r="D102" s="290"/>
      <c r="E102" s="290"/>
      <c r="F102" s="290"/>
      <c r="G102" s="115" t="s">
        <v>41</v>
      </c>
      <c r="H102" s="297" t="e">
        <f>IF(($L$1-(C86+C87+C88+C89))&gt;12,0,F83*8%)</f>
        <v>#REF!</v>
      </c>
      <c r="I102" s="297"/>
      <c r="J102" s="297"/>
      <c r="K102" s="123" t="s">
        <v>47</v>
      </c>
      <c r="M102" s="289" t="s">
        <v>80</v>
      </c>
      <c r="N102" s="290"/>
      <c r="O102" s="290"/>
      <c r="P102" s="290"/>
      <c r="Q102" s="290"/>
      <c r="R102" s="290"/>
      <c r="S102" s="115" t="s">
        <v>41</v>
      </c>
      <c r="T102" s="297" t="e">
        <f>IF(($L$1-(O86+O87+O88+O89))&gt;12,0,R83*8%)</f>
        <v>#REF!</v>
      </c>
      <c r="U102" s="297"/>
      <c r="V102" s="297"/>
      <c r="W102" s="123" t="s">
        <v>47</v>
      </c>
    </row>
    <row r="103" spans="1:24" ht="18.75" customHeight="1">
      <c r="A103" s="289" t="s">
        <v>81</v>
      </c>
      <c r="B103" s="290"/>
      <c r="C103" s="290"/>
      <c r="D103" s="290"/>
      <c r="E103" s="290"/>
      <c r="F103" s="290"/>
      <c r="G103" s="115" t="s">
        <v>41</v>
      </c>
      <c r="H103" s="291" t="e">
        <f>IF(($L$1-(C86+C87+C88+C89))&gt;12,0,F83*1.5%)</f>
        <v>#REF!</v>
      </c>
      <c r="I103" s="291"/>
      <c r="J103" s="291"/>
      <c r="K103" s="123" t="s">
        <v>47</v>
      </c>
      <c r="M103" s="289" t="s">
        <v>81</v>
      </c>
      <c r="N103" s="290"/>
      <c r="O103" s="290"/>
      <c r="P103" s="290"/>
      <c r="Q103" s="290"/>
      <c r="R103" s="290"/>
      <c r="S103" s="115" t="s">
        <v>41</v>
      </c>
      <c r="T103" s="291" t="e">
        <f>IF(($L$1-(O86+O87+O88+O89))&gt;12,0,R83*1.5%)</f>
        <v>#REF!</v>
      </c>
      <c r="U103" s="291"/>
      <c r="V103" s="291"/>
      <c r="W103" s="123" t="s">
        <v>47</v>
      </c>
    </row>
    <row r="104" spans="1:24" ht="18.75" customHeight="1">
      <c r="A104" s="289" t="s">
        <v>82</v>
      </c>
      <c r="B104" s="290"/>
      <c r="C104" s="290"/>
      <c r="D104" s="290"/>
      <c r="E104" s="290"/>
      <c r="F104" s="290"/>
      <c r="G104" s="115" t="s">
        <v>41</v>
      </c>
      <c r="H104" s="291" t="e">
        <f>IF(($L$1-(C86+C87+C88+C89))&gt;12,0,F83*1%)</f>
        <v>#REF!</v>
      </c>
      <c r="I104" s="291"/>
      <c r="J104" s="291"/>
      <c r="K104" s="123" t="s">
        <v>47</v>
      </c>
      <c r="M104" s="289" t="s">
        <v>82</v>
      </c>
      <c r="N104" s="290"/>
      <c r="O104" s="290"/>
      <c r="P104" s="290"/>
      <c r="Q104" s="290"/>
      <c r="R104" s="290"/>
      <c r="S104" s="115" t="s">
        <v>41</v>
      </c>
      <c r="T104" s="291" t="e">
        <f>IF(($L$1-(O86+O87+O88+O89))&gt;12,0,R83*1%)</f>
        <v>#REF!</v>
      </c>
      <c r="U104" s="291"/>
      <c r="V104" s="291"/>
      <c r="W104" s="123" t="s">
        <v>47</v>
      </c>
    </row>
    <row r="105" spans="1:24" ht="18.75" customHeight="1">
      <c r="A105" s="289" t="s">
        <v>83</v>
      </c>
      <c r="B105" s="290"/>
      <c r="C105" s="290"/>
      <c r="D105" s="290"/>
      <c r="E105" s="290"/>
      <c r="F105" s="290"/>
      <c r="G105" s="115" t="s">
        <v>41</v>
      </c>
      <c r="H105" s="291">
        <v>0</v>
      </c>
      <c r="I105" s="291"/>
      <c r="J105" s="291"/>
      <c r="K105" s="123" t="s">
        <v>47</v>
      </c>
      <c r="M105" s="289" t="s">
        <v>83</v>
      </c>
      <c r="N105" s="290"/>
      <c r="O105" s="290"/>
      <c r="P105" s="290"/>
      <c r="Q105" s="290"/>
      <c r="R105" s="290"/>
      <c r="S105" s="115" t="s">
        <v>41</v>
      </c>
      <c r="T105" s="291">
        <v>0</v>
      </c>
      <c r="U105" s="291"/>
      <c r="V105" s="291"/>
      <c r="W105" s="123" t="s">
        <v>47</v>
      </c>
    </row>
    <row r="106" spans="1:24" ht="18.75" customHeight="1">
      <c r="A106" s="292" t="s">
        <v>84</v>
      </c>
      <c r="B106" s="293"/>
      <c r="C106" s="293"/>
      <c r="D106" s="293"/>
      <c r="E106" s="293"/>
      <c r="F106" s="293"/>
      <c r="G106" s="115" t="s">
        <v>41</v>
      </c>
      <c r="H106" s="294" t="e">
        <f>SUM(H102:J105)</f>
        <v>#REF!</v>
      </c>
      <c r="I106" s="294"/>
      <c r="J106" s="294"/>
      <c r="K106" s="123" t="s">
        <v>47</v>
      </c>
      <c r="M106" s="292" t="s">
        <v>84</v>
      </c>
      <c r="N106" s="293"/>
      <c r="O106" s="293"/>
      <c r="P106" s="293"/>
      <c r="Q106" s="293"/>
      <c r="R106" s="293"/>
      <c r="S106" s="115" t="s">
        <v>41</v>
      </c>
      <c r="T106" s="294" t="e">
        <f>SUM(T102:V105)</f>
        <v>#REF!</v>
      </c>
      <c r="U106" s="294"/>
      <c r="V106" s="294"/>
      <c r="W106" s="123" t="s">
        <v>47</v>
      </c>
    </row>
    <row r="107" spans="1:24" ht="18.75" customHeight="1">
      <c r="A107" s="289" t="s">
        <v>85</v>
      </c>
      <c r="B107" s="290"/>
      <c r="C107" s="290"/>
      <c r="D107" s="290"/>
      <c r="E107" s="290"/>
      <c r="F107" s="290"/>
      <c r="G107" s="115" t="s">
        <v>41</v>
      </c>
      <c r="H107" s="301" t="e">
        <f>ROUND(H99-H106,-2)</f>
        <v>#REF!</v>
      </c>
      <c r="I107" s="301"/>
      <c r="J107" s="301"/>
      <c r="K107" s="123" t="s">
        <v>47</v>
      </c>
      <c r="M107" s="289" t="s">
        <v>85</v>
      </c>
      <c r="N107" s="290"/>
      <c r="O107" s="290"/>
      <c r="P107" s="290"/>
      <c r="Q107" s="290"/>
      <c r="R107" s="290"/>
      <c r="S107" s="115" t="s">
        <v>41</v>
      </c>
      <c r="T107" s="301" t="e">
        <f>ROUND(T99-T106,-2)</f>
        <v>#REF!</v>
      </c>
      <c r="U107" s="301"/>
      <c r="V107" s="301"/>
      <c r="W107" s="123" t="s">
        <v>47</v>
      </c>
    </row>
    <row r="108" spans="1:24" ht="18.75" customHeight="1">
      <c r="A108" s="133"/>
      <c r="B108" s="134"/>
      <c r="C108" s="134"/>
      <c r="D108" s="134"/>
      <c r="E108" s="134"/>
      <c r="F108" s="134"/>
      <c r="G108" s="134"/>
      <c r="H108" s="134"/>
      <c r="I108" s="134"/>
      <c r="J108" s="134"/>
      <c r="K108" s="135"/>
      <c r="M108" s="133"/>
      <c r="N108" s="134"/>
      <c r="O108" s="134"/>
      <c r="P108" s="134"/>
      <c r="Q108" s="134"/>
      <c r="R108" s="134"/>
      <c r="S108" s="134"/>
      <c r="T108" s="134"/>
      <c r="U108" s="134"/>
      <c r="V108" s="134"/>
      <c r="W108" s="135"/>
    </row>
    <row r="109" spans="1:24" ht="18.75" customHeight="1">
      <c r="A109" s="136"/>
      <c r="B109" s="115"/>
      <c r="C109" s="115"/>
      <c r="D109" s="115"/>
      <c r="E109" s="115"/>
      <c r="F109" s="115"/>
      <c r="G109" s="115"/>
      <c r="H109" s="115"/>
      <c r="I109" s="298" t="s">
        <v>86</v>
      </c>
      <c r="J109" s="298"/>
      <c r="K109" s="302"/>
      <c r="M109" s="136"/>
      <c r="N109" s="115"/>
      <c r="O109" s="115"/>
      <c r="P109" s="115"/>
      <c r="Q109" s="115"/>
      <c r="R109" s="115"/>
      <c r="S109" s="115"/>
      <c r="T109" s="115"/>
      <c r="U109" s="298" t="s">
        <v>86</v>
      </c>
      <c r="V109" s="298"/>
      <c r="W109" s="302"/>
    </row>
    <row r="110" spans="1:24" ht="18.75" customHeight="1">
      <c r="A110" s="136"/>
      <c r="B110" s="298"/>
      <c r="C110" s="298"/>
      <c r="D110" s="298"/>
      <c r="E110" s="298"/>
      <c r="F110" s="115"/>
      <c r="G110" s="115"/>
      <c r="H110" s="115"/>
      <c r="I110" s="115"/>
      <c r="J110" s="115"/>
      <c r="K110" s="116"/>
      <c r="M110" s="136"/>
      <c r="N110" s="298"/>
      <c r="O110" s="298"/>
      <c r="P110" s="298"/>
      <c r="Q110" s="298"/>
      <c r="R110" s="115"/>
      <c r="S110" s="115"/>
      <c r="T110" s="115"/>
      <c r="U110" s="115"/>
      <c r="V110" s="115"/>
      <c r="W110" s="116"/>
    </row>
    <row r="111" spans="1:24" ht="18.75" customHeight="1" thickBot="1">
      <c r="A111" s="137"/>
      <c r="B111" s="138"/>
      <c r="C111" s="138"/>
      <c r="D111" s="138"/>
      <c r="E111" s="138"/>
      <c r="F111" s="138"/>
      <c r="G111" s="138"/>
      <c r="H111" s="138"/>
      <c r="I111" s="299" t="s">
        <v>87</v>
      </c>
      <c r="J111" s="299"/>
      <c r="K111" s="300"/>
      <c r="M111" s="137"/>
      <c r="N111" s="138"/>
      <c r="O111" s="138"/>
      <c r="P111" s="138"/>
      <c r="Q111" s="138"/>
      <c r="R111" s="138"/>
      <c r="S111" s="138"/>
      <c r="T111" s="138"/>
      <c r="U111" s="299" t="s">
        <v>87</v>
      </c>
      <c r="V111" s="299"/>
      <c r="W111" s="300"/>
    </row>
    <row r="113" spans="1:24" ht="18.75" customHeight="1" thickTop="1">
      <c r="A113" s="274" t="s">
        <v>35</v>
      </c>
      <c r="B113" s="275"/>
      <c r="C113" s="275"/>
      <c r="D113" s="275"/>
      <c r="E113" s="275"/>
      <c r="F113" s="275"/>
      <c r="G113" s="275"/>
      <c r="H113" s="275"/>
      <c r="I113" s="275"/>
      <c r="J113" s="275"/>
      <c r="K113" s="276"/>
      <c r="L113" s="111">
        <v>25</v>
      </c>
      <c r="M113" s="274" t="s">
        <v>35</v>
      </c>
      <c r="N113" s="275"/>
      <c r="O113" s="275"/>
      <c r="P113" s="275"/>
      <c r="Q113" s="275"/>
      <c r="R113" s="275"/>
      <c r="S113" s="275"/>
      <c r="T113" s="275"/>
      <c r="U113" s="275"/>
      <c r="V113" s="275"/>
      <c r="W113" s="276"/>
      <c r="X113" s="111">
        <v>25</v>
      </c>
    </row>
    <row r="114" spans="1:24" ht="18.75" customHeight="1">
      <c r="A114" s="112" t="s">
        <v>98</v>
      </c>
      <c r="B114" s="113"/>
      <c r="C114" s="113"/>
      <c r="D114" s="113"/>
      <c r="E114" s="113"/>
      <c r="F114" s="113"/>
      <c r="G114" s="113"/>
      <c r="H114" s="113"/>
      <c r="I114" s="113"/>
      <c r="J114" s="113"/>
      <c r="K114" s="114"/>
      <c r="M114" s="112" t="s">
        <v>99</v>
      </c>
      <c r="N114" s="113"/>
      <c r="O114" s="113"/>
      <c r="P114" s="113"/>
      <c r="Q114" s="113"/>
      <c r="R114" s="113"/>
      <c r="S114" s="113"/>
      <c r="T114" s="113"/>
      <c r="U114" s="113"/>
      <c r="V114" s="113"/>
      <c r="W114" s="114"/>
    </row>
    <row r="115" spans="1:24" ht="18.75" customHeight="1">
      <c r="A115" s="277" t="s">
        <v>39</v>
      </c>
      <c r="B115" s="278"/>
      <c r="C115" s="278"/>
      <c r="D115" s="278"/>
      <c r="E115" s="278"/>
      <c r="F115" s="278"/>
      <c r="G115" s="278"/>
      <c r="H115" s="278"/>
      <c r="I115" s="278"/>
      <c r="J115" s="278"/>
      <c r="K115" s="279"/>
      <c r="M115" s="277" t="s">
        <v>39</v>
      </c>
      <c r="N115" s="278"/>
      <c r="O115" s="278"/>
      <c r="P115" s="278"/>
      <c r="Q115" s="278"/>
      <c r="R115" s="278"/>
      <c r="S115" s="278"/>
      <c r="T115" s="278"/>
      <c r="U115" s="278"/>
      <c r="V115" s="278"/>
      <c r="W115" s="279"/>
    </row>
    <row r="116" spans="1:24" ht="18.75" customHeight="1">
      <c r="A116" s="269" t="s">
        <v>40</v>
      </c>
      <c r="B116" s="270"/>
      <c r="C116" s="270"/>
      <c r="D116" s="270"/>
      <c r="E116" s="115" t="s">
        <v>41</v>
      </c>
      <c r="F116" s="271" t="e">
        <f>'[9]Bang TH nop'!#REF!</f>
        <v>#REF!</v>
      </c>
      <c r="G116" s="270"/>
      <c r="H116" s="270"/>
      <c r="I116" s="270"/>
      <c r="J116" s="270"/>
      <c r="K116" s="273"/>
      <c r="M116" s="269" t="s">
        <v>40</v>
      </c>
      <c r="N116" s="270"/>
      <c r="O116" s="270"/>
      <c r="P116" s="270"/>
      <c r="Q116" s="115" t="s">
        <v>41</v>
      </c>
      <c r="R116" s="271" t="s">
        <v>100</v>
      </c>
      <c r="S116" s="270"/>
      <c r="T116" s="270"/>
      <c r="U116" s="270"/>
      <c r="V116" s="270"/>
      <c r="W116" s="273"/>
    </row>
    <row r="117" spans="1:24" ht="18.75" customHeight="1">
      <c r="A117" s="269" t="s">
        <v>43</v>
      </c>
      <c r="B117" s="270"/>
      <c r="C117" s="270"/>
      <c r="D117" s="270"/>
      <c r="E117" s="115" t="s">
        <v>41</v>
      </c>
      <c r="F117" s="271" t="e">
        <f>'[9]Bang TH nop'!#REF!</f>
        <v>#REF!</v>
      </c>
      <c r="G117" s="271"/>
      <c r="H117" s="271"/>
      <c r="I117" s="271"/>
      <c r="J117" s="271"/>
      <c r="K117" s="272"/>
      <c r="M117" s="269" t="s">
        <v>43</v>
      </c>
      <c r="N117" s="270"/>
      <c r="O117" s="270"/>
      <c r="P117" s="270"/>
      <c r="Q117" s="115" t="s">
        <v>41</v>
      </c>
      <c r="R117" s="271">
        <v>50184</v>
      </c>
      <c r="S117" s="271"/>
      <c r="T117" s="271"/>
      <c r="U117" s="271"/>
      <c r="V117" s="271"/>
      <c r="W117" s="272"/>
    </row>
    <row r="118" spans="1:24" ht="18.75" customHeight="1">
      <c r="A118" s="269" t="s">
        <v>44</v>
      </c>
      <c r="B118" s="270"/>
      <c r="C118" s="270"/>
      <c r="D118" s="270"/>
      <c r="E118" s="115" t="s">
        <v>41</v>
      </c>
      <c r="F118" s="270" t="str">
        <f>$L$2</f>
        <v>Gián tiếp</v>
      </c>
      <c r="G118" s="270"/>
      <c r="H118" s="270"/>
      <c r="I118" s="270"/>
      <c r="J118" s="270"/>
      <c r="K118" s="273"/>
      <c r="M118" s="269" t="s">
        <v>44</v>
      </c>
      <c r="N118" s="270"/>
      <c r="O118" s="270"/>
      <c r="P118" s="270"/>
      <c r="Q118" s="115" t="s">
        <v>41</v>
      </c>
      <c r="R118" s="270" t="str">
        <f>$L$2</f>
        <v>Gián tiếp</v>
      </c>
      <c r="S118" s="270"/>
      <c r="T118" s="270"/>
      <c r="U118" s="270"/>
      <c r="V118" s="270"/>
      <c r="W118" s="273"/>
    </row>
    <row r="119" spans="1:24" ht="18.75" customHeight="1">
      <c r="A119" s="277" t="s">
        <v>45</v>
      </c>
      <c r="B119" s="278"/>
      <c r="C119" s="278"/>
      <c r="D119" s="278"/>
      <c r="E119" s="278"/>
      <c r="F119" s="278"/>
      <c r="G119" s="278"/>
      <c r="H119" s="278"/>
      <c r="I119" s="278"/>
      <c r="J119" s="278"/>
      <c r="K119" s="279"/>
      <c r="L119" s="111">
        <f>8390+4277+3685</f>
        <v>16352</v>
      </c>
      <c r="M119" s="277" t="s">
        <v>45</v>
      </c>
      <c r="N119" s="278"/>
      <c r="O119" s="278"/>
      <c r="P119" s="278"/>
      <c r="Q119" s="278"/>
      <c r="R119" s="278"/>
      <c r="S119" s="278"/>
      <c r="T119" s="278"/>
      <c r="U119" s="278"/>
      <c r="V119" s="278"/>
      <c r="W119" s="279"/>
    </row>
    <row r="120" spans="1:24" ht="18.75" customHeight="1">
      <c r="A120" s="269" t="s">
        <v>46</v>
      </c>
      <c r="B120" s="270"/>
      <c r="C120" s="270"/>
      <c r="D120" s="270"/>
      <c r="E120" s="115" t="s">
        <v>41</v>
      </c>
      <c r="F120" s="284">
        <v>3876000</v>
      </c>
      <c r="G120" s="284"/>
      <c r="H120" s="284"/>
      <c r="I120" s="284"/>
      <c r="J120" s="115" t="s">
        <v>47</v>
      </c>
      <c r="K120" s="116"/>
      <c r="M120" s="269" t="s">
        <v>46</v>
      </c>
      <c r="N120" s="270"/>
      <c r="O120" s="270"/>
      <c r="P120" s="270"/>
      <c r="Q120" s="115" t="s">
        <v>41</v>
      </c>
      <c r="R120" s="284">
        <v>3876000</v>
      </c>
      <c r="S120" s="284"/>
      <c r="T120" s="284"/>
      <c r="U120" s="284"/>
      <c r="V120" s="115" t="s">
        <v>47</v>
      </c>
      <c r="W120" s="116"/>
    </row>
    <row r="121" spans="1:24" ht="18.75" customHeight="1">
      <c r="A121" s="117" t="s">
        <v>48</v>
      </c>
      <c r="B121" s="115"/>
      <c r="C121" s="118"/>
      <c r="D121" s="119"/>
      <c r="E121" s="120"/>
      <c r="F121" s="120"/>
      <c r="G121" s="120"/>
      <c r="H121" s="115"/>
      <c r="I121" s="121" t="e">
        <f>'[9]Bang TH nop'!#REF!</f>
        <v>#REF!</v>
      </c>
      <c r="J121" s="122"/>
      <c r="K121" s="123"/>
      <c r="L121" s="111">
        <f>3*40*2</f>
        <v>240</v>
      </c>
      <c r="M121" s="117" t="s">
        <v>48</v>
      </c>
      <c r="N121" s="115"/>
      <c r="O121" s="118"/>
      <c r="P121" s="119"/>
      <c r="Q121" s="120"/>
      <c r="R121" s="120"/>
      <c r="S121" s="120"/>
      <c r="T121" s="115"/>
      <c r="U121" s="121" t="e">
        <f>'[9]LUONG T7'!#REF!</f>
        <v>#REF!</v>
      </c>
      <c r="V121" s="122"/>
      <c r="W121" s="123"/>
    </row>
    <row r="122" spans="1:24" ht="18.75" customHeight="1">
      <c r="A122" s="117" t="s">
        <v>49</v>
      </c>
      <c r="B122" s="115"/>
      <c r="C122" s="118"/>
      <c r="D122" s="119"/>
      <c r="E122" s="120"/>
      <c r="F122" s="120"/>
      <c r="G122" s="120"/>
      <c r="H122" s="115"/>
      <c r="I122" s="121" t="e">
        <f>I123/C123/8</f>
        <v>#REF!</v>
      </c>
      <c r="J122" s="122"/>
      <c r="K122" s="123"/>
      <c r="L122" s="111">
        <v>1000</v>
      </c>
      <c r="M122" s="117" t="s">
        <v>49</v>
      </c>
      <c r="N122" s="115"/>
      <c r="O122" s="118"/>
      <c r="P122" s="119"/>
      <c r="Q122" s="120"/>
      <c r="R122" s="120"/>
      <c r="S122" s="120"/>
      <c r="T122" s="115"/>
      <c r="U122" s="121" t="e">
        <f>U123/O123/8</f>
        <v>#REF!</v>
      </c>
      <c r="V122" s="122"/>
      <c r="W122" s="123"/>
    </row>
    <row r="123" spans="1:24" ht="18.75" customHeight="1">
      <c r="A123" s="117" t="s">
        <v>50</v>
      </c>
      <c r="B123" s="115" t="s">
        <v>41</v>
      </c>
      <c r="C123" s="118" t="e">
        <f>'[9]LUONG T7'!#REF!</f>
        <v>#REF!</v>
      </c>
      <c r="D123" s="119" t="s">
        <v>51</v>
      </c>
      <c r="E123" s="282" t="s">
        <v>52</v>
      </c>
      <c r="F123" s="282"/>
      <c r="G123" s="282"/>
      <c r="H123" s="115" t="s">
        <v>41</v>
      </c>
      <c r="I123" s="283" t="e">
        <f>'[9]LUONG T7'!#REF!</f>
        <v>#REF!</v>
      </c>
      <c r="J123" s="283"/>
      <c r="K123" s="123" t="s">
        <v>47</v>
      </c>
      <c r="L123" s="124" t="e">
        <f>F120/L113*C123</f>
        <v>#REF!</v>
      </c>
      <c r="M123" s="117" t="s">
        <v>50</v>
      </c>
      <c r="N123" s="115" t="s">
        <v>41</v>
      </c>
      <c r="O123" s="118" t="e">
        <f>'[9]LUONG T7'!#REF!</f>
        <v>#REF!</v>
      </c>
      <c r="P123" s="119" t="s">
        <v>51</v>
      </c>
      <c r="Q123" s="282" t="s">
        <v>52</v>
      </c>
      <c r="R123" s="282"/>
      <c r="S123" s="282"/>
      <c r="T123" s="115" t="s">
        <v>41</v>
      </c>
      <c r="U123" s="283" t="e">
        <f>'[9]LUONG T7'!#REF!</f>
        <v>#REF!</v>
      </c>
      <c r="V123" s="283"/>
      <c r="W123" s="123" t="s">
        <v>47</v>
      </c>
      <c r="X123" s="124" t="e">
        <f>R120/X113*O123</f>
        <v>#REF!</v>
      </c>
    </row>
    <row r="124" spans="1:24" ht="18.75" customHeight="1">
      <c r="A124" s="117" t="s">
        <v>53</v>
      </c>
      <c r="B124" s="115" t="s">
        <v>41</v>
      </c>
      <c r="C124" s="118" t="e">
        <f>'[9]LUONG T7'!#REF!</f>
        <v>#REF!</v>
      </c>
      <c r="D124" s="119" t="s">
        <v>51</v>
      </c>
      <c r="E124" s="270" t="s">
        <v>54</v>
      </c>
      <c r="F124" s="270"/>
      <c r="G124" s="270"/>
      <c r="H124" s="115" t="s">
        <v>41</v>
      </c>
      <c r="I124" s="281" t="e">
        <f>$F$8/$L$1*C124</f>
        <v>#REF!</v>
      </c>
      <c r="J124" s="281"/>
      <c r="K124" s="123" t="s">
        <v>47</v>
      </c>
      <c r="L124" s="124"/>
      <c r="M124" s="117" t="s">
        <v>53</v>
      </c>
      <c r="N124" s="115" t="s">
        <v>41</v>
      </c>
      <c r="O124" s="118" t="e">
        <f>'[9]LUONG T7'!#REF!</f>
        <v>#REF!</v>
      </c>
      <c r="P124" s="119" t="s">
        <v>51</v>
      </c>
      <c r="Q124" s="270" t="s">
        <v>54</v>
      </c>
      <c r="R124" s="270"/>
      <c r="S124" s="270"/>
      <c r="T124" s="115" t="s">
        <v>41</v>
      </c>
      <c r="U124" s="281" t="e">
        <f>$F$8/$L$1*O124</f>
        <v>#REF!</v>
      </c>
      <c r="V124" s="281"/>
      <c r="W124" s="123" t="s">
        <v>47</v>
      </c>
      <c r="X124" s="124"/>
    </row>
    <row r="125" spans="1:24" ht="18.75" customHeight="1">
      <c r="A125" s="117" t="s">
        <v>55</v>
      </c>
      <c r="B125" s="115" t="s">
        <v>41</v>
      </c>
      <c r="C125" s="118" t="e">
        <f>'[9]LUONG T7'!#REF!</f>
        <v>#REF!</v>
      </c>
      <c r="D125" s="119" t="s">
        <v>51</v>
      </c>
      <c r="E125" s="280" t="s">
        <v>56</v>
      </c>
      <c r="F125" s="280"/>
      <c r="G125" s="280"/>
      <c r="H125" s="115" t="s">
        <v>41</v>
      </c>
      <c r="I125" s="281" t="e">
        <f>3602000/$L$1*C125</f>
        <v>#REF!</v>
      </c>
      <c r="J125" s="281"/>
      <c r="K125" s="123" t="s">
        <v>47</v>
      </c>
      <c r="L125" s="124"/>
      <c r="M125" s="117" t="s">
        <v>55</v>
      </c>
      <c r="N125" s="115" t="s">
        <v>41</v>
      </c>
      <c r="O125" s="118" t="e">
        <f>'[9]LUONG T7'!#REF!</f>
        <v>#REF!</v>
      </c>
      <c r="P125" s="119" t="s">
        <v>51</v>
      </c>
      <c r="Q125" s="280" t="s">
        <v>56</v>
      </c>
      <c r="R125" s="280"/>
      <c r="S125" s="280"/>
      <c r="T125" s="115" t="s">
        <v>41</v>
      </c>
      <c r="U125" s="281" t="e">
        <f>R120/$L$1*O125</f>
        <v>#REF!</v>
      </c>
      <c r="V125" s="281"/>
      <c r="W125" s="123" t="s">
        <v>47</v>
      </c>
      <c r="X125" s="124"/>
    </row>
    <row r="126" spans="1:24" ht="18.75" customHeight="1">
      <c r="A126" s="117" t="s">
        <v>57</v>
      </c>
      <c r="B126" s="115" t="s">
        <v>41</v>
      </c>
      <c r="C126" s="118" t="e">
        <f>'[9]LUONG T7'!#REF!</f>
        <v>#REF!</v>
      </c>
      <c r="D126" s="119" t="s">
        <v>51</v>
      </c>
      <c r="E126" s="280" t="s">
        <v>58</v>
      </c>
      <c r="F126" s="280"/>
      <c r="G126" s="280"/>
      <c r="H126" s="115" t="s">
        <v>41</v>
      </c>
      <c r="I126" s="281" t="e">
        <f>$F$8/$L$1*C126</f>
        <v>#REF!</v>
      </c>
      <c r="J126" s="281"/>
      <c r="K126" s="123" t="s">
        <v>47</v>
      </c>
      <c r="L126" s="124"/>
      <c r="M126" s="117" t="s">
        <v>57</v>
      </c>
      <c r="N126" s="115" t="s">
        <v>41</v>
      </c>
      <c r="O126" s="118" t="e">
        <f>'[9]LUONG T7'!#REF!</f>
        <v>#REF!</v>
      </c>
      <c r="P126" s="119" t="s">
        <v>51</v>
      </c>
      <c r="Q126" s="280" t="s">
        <v>58</v>
      </c>
      <c r="R126" s="280"/>
      <c r="S126" s="280"/>
      <c r="T126" s="115" t="s">
        <v>41</v>
      </c>
      <c r="U126" s="281" t="e">
        <f>$F$8/$L$1*O126</f>
        <v>#REF!</v>
      </c>
      <c r="V126" s="281"/>
      <c r="W126" s="123" t="s">
        <v>47</v>
      </c>
      <c r="X126" s="124"/>
    </row>
    <row r="127" spans="1:24" ht="18.75" customHeight="1">
      <c r="A127" s="117" t="s">
        <v>59</v>
      </c>
      <c r="B127" s="115" t="s">
        <v>41</v>
      </c>
      <c r="C127" s="118" t="e">
        <f>'[9]LUONG T7'!#REF!</f>
        <v>#REF!</v>
      </c>
      <c r="D127" s="119" t="s">
        <v>60</v>
      </c>
      <c r="E127" s="270" t="s">
        <v>61</v>
      </c>
      <c r="F127" s="270"/>
      <c r="G127" s="270"/>
      <c r="H127" s="115" t="s">
        <v>41</v>
      </c>
      <c r="I127" s="281" t="e">
        <f>'[9]LUONG T7'!#REF!-12000</f>
        <v>#REF!</v>
      </c>
      <c r="J127" s="281"/>
      <c r="K127" s="123" t="s">
        <v>47</v>
      </c>
      <c r="L127" s="124" t="e">
        <f>F120*C127/L113/8*1.5</f>
        <v>#REF!</v>
      </c>
      <c r="M127" s="117" t="s">
        <v>59</v>
      </c>
      <c r="N127" s="115" t="s">
        <v>41</v>
      </c>
      <c r="O127" s="118" t="e">
        <f>'[9]LUONG T7'!#REF!</f>
        <v>#REF!</v>
      </c>
      <c r="P127" s="119" t="s">
        <v>60</v>
      </c>
      <c r="Q127" s="270" t="s">
        <v>61</v>
      </c>
      <c r="R127" s="270"/>
      <c r="S127" s="270"/>
      <c r="T127" s="115" t="s">
        <v>41</v>
      </c>
      <c r="U127" s="281" t="e">
        <f>'[9]LUONG T7'!#REF!</f>
        <v>#REF!</v>
      </c>
      <c r="V127" s="281"/>
      <c r="W127" s="123" t="s">
        <v>47</v>
      </c>
      <c r="X127" s="124" t="e">
        <f>R120*O127/X113/8*1.5</f>
        <v>#REF!</v>
      </c>
    </row>
    <row r="128" spans="1:24" ht="18.75" customHeight="1">
      <c r="A128" s="269" t="s">
        <v>62</v>
      </c>
      <c r="B128" s="270"/>
      <c r="C128" s="118"/>
      <c r="D128" s="119" t="s">
        <v>51</v>
      </c>
      <c r="E128" s="270" t="s">
        <v>63</v>
      </c>
      <c r="F128" s="270"/>
      <c r="G128" s="270"/>
      <c r="H128" s="125" t="s">
        <v>41</v>
      </c>
      <c r="I128" s="281"/>
      <c r="J128" s="281"/>
      <c r="K128" s="123" t="s">
        <v>47</v>
      </c>
      <c r="L128" s="124"/>
      <c r="M128" s="269" t="s">
        <v>62</v>
      </c>
      <c r="N128" s="270"/>
      <c r="O128" s="118"/>
      <c r="P128" s="119" t="s">
        <v>51</v>
      </c>
      <c r="Q128" s="270" t="s">
        <v>63</v>
      </c>
      <c r="R128" s="270"/>
      <c r="S128" s="270"/>
      <c r="T128" s="125" t="s">
        <v>41</v>
      </c>
      <c r="U128" s="281"/>
      <c r="V128" s="281"/>
      <c r="W128" s="123" t="s">
        <v>47</v>
      </c>
      <c r="X128" s="124"/>
    </row>
    <row r="129" spans="1:24" ht="18.75" customHeight="1">
      <c r="A129" s="117" t="s">
        <v>64</v>
      </c>
      <c r="B129" s="115" t="s">
        <v>41</v>
      </c>
      <c r="C129" s="118"/>
      <c r="D129" s="119" t="s">
        <v>51</v>
      </c>
      <c r="E129" s="270" t="s">
        <v>65</v>
      </c>
      <c r="F129" s="270"/>
      <c r="G129" s="270"/>
      <c r="H129" s="115" t="s">
        <v>41</v>
      </c>
      <c r="I129" s="281"/>
      <c r="J129" s="281"/>
      <c r="K129" s="123" t="s">
        <v>47</v>
      </c>
      <c r="L129" s="124"/>
      <c r="M129" s="117" t="s">
        <v>64</v>
      </c>
      <c r="N129" s="115" t="s">
        <v>41</v>
      </c>
      <c r="O129" s="118"/>
      <c r="P129" s="119" t="s">
        <v>51</v>
      </c>
      <c r="Q129" s="270" t="s">
        <v>65</v>
      </c>
      <c r="R129" s="270"/>
      <c r="S129" s="270"/>
      <c r="T129" s="115" t="s">
        <v>41</v>
      </c>
      <c r="U129" s="281"/>
      <c r="V129" s="281"/>
      <c r="W129" s="123" t="s">
        <v>47</v>
      </c>
      <c r="X129" s="124"/>
    </row>
    <row r="130" spans="1:24" ht="18.75" customHeight="1">
      <c r="A130" s="126" t="s">
        <v>66</v>
      </c>
      <c r="B130" s="115"/>
      <c r="C130" s="118" t="e">
        <f>'[9]LUONG T7'!#REF!</f>
        <v>#REF!</v>
      </c>
      <c r="D130" s="119" t="s">
        <v>60</v>
      </c>
      <c r="E130" s="270" t="s">
        <v>67</v>
      </c>
      <c r="F130" s="270"/>
      <c r="G130" s="270"/>
      <c r="H130" s="115" t="s">
        <v>41</v>
      </c>
      <c r="I130" s="281" t="e">
        <f>$F$8*C130/8/$L$1</f>
        <v>#REF!</v>
      </c>
      <c r="J130" s="281"/>
      <c r="K130" s="123" t="s">
        <v>47</v>
      </c>
      <c r="L130" s="124"/>
      <c r="M130" s="126" t="s">
        <v>66</v>
      </c>
      <c r="N130" s="115"/>
      <c r="O130" s="118" t="e">
        <f>'[9]LUONG T7'!#REF!</f>
        <v>#REF!</v>
      </c>
      <c r="P130" s="119" t="s">
        <v>60</v>
      </c>
      <c r="Q130" s="270" t="s">
        <v>67</v>
      </c>
      <c r="R130" s="270"/>
      <c r="S130" s="270"/>
      <c r="T130" s="115" t="s">
        <v>41</v>
      </c>
      <c r="U130" s="281" t="e">
        <f>$F$8*O130/8/$L$1</f>
        <v>#REF!</v>
      </c>
      <c r="V130" s="281"/>
      <c r="W130" s="123" t="s">
        <v>47</v>
      </c>
      <c r="X130" s="124"/>
    </row>
    <row r="131" spans="1:24" ht="18.75" customHeight="1">
      <c r="A131" s="117" t="s">
        <v>101</v>
      </c>
      <c r="B131" s="115" t="s">
        <v>41</v>
      </c>
      <c r="C131" s="118"/>
      <c r="D131" s="119" t="s">
        <v>60</v>
      </c>
      <c r="E131" s="270" t="s">
        <v>69</v>
      </c>
      <c r="F131" s="270"/>
      <c r="G131" s="270"/>
      <c r="H131" s="115" t="s">
        <v>41</v>
      </c>
      <c r="I131" s="283"/>
      <c r="J131" s="283"/>
      <c r="K131" s="123" t="s">
        <v>47</v>
      </c>
      <c r="L131" s="124"/>
      <c r="M131" s="117" t="s">
        <v>68</v>
      </c>
      <c r="N131" s="115" t="s">
        <v>41</v>
      </c>
      <c r="O131" s="118"/>
      <c r="P131" s="119" t="s">
        <v>60</v>
      </c>
      <c r="Q131" s="270" t="s">
        <v>69</v>
      </c>
      <c r="R131" s="270"/>
      <c r="S131" s="270"/>
      <c r="T131" s="115" t="s">
        <v>41</v>
      </c>
      <c r="U131" s="283"/>
      <c r="V131" s="283"/>
      <c r="W131" s="123" t="s">
        <v>47</v>
      </c>
      <c r="X131" s="124"/>
    </row>
    <row r="132" spans="1:24" ht="18.75" customHeight="1">
      <c r="A132" s="117" t="s">
        <v>70</v>
      </c>
      <c r="B132" s="115" t="s">
        <v>41</v>
      </c>
      <c r="C132" s="118"/>
      <c r="D132" s="119" t="s">
        <v>71</v>
      </c>
      <c r="E132" s="127" t="s">
        <v>72</v>
      </c>
      <c r="F132" s="127"/>
      <c r="G132" s="127"/>
      <c r="H132" s="115" t="s">
        <v>41</v>
      </c>
      <c r="I132" s="281"/>
      <c r="J132" s="281"/>
      <c r="K132" s="123" t="s">
        <v>47</v>
      </c>
      <c r="L132" s="124" t="e">
        <f>+IF(L123-I123&lt;0,0,L123-I123)+IF(L127-I127&lt;0,0,L127-I127)</f>
        <v>#REF!</v>
      </c>
      <c r="M132" s="117" t="s">
        <v>70</v>
      </c>
      <c r="N132" s="115" t="s">
        <v>41</v>
      </c>
      <c r="O132" s="118"/>
      <c r="P132" s="119" t="s">
        <v>71</v>
      </c>
      <c r="Q132" s="127" t="s">
        <v>72</v>
      </c>
      <c r="R132" s="127"/>
      <c r="S132" s="127"/>
      <c r="T132" s="115" t="s">
        <v>41</v>
      </c>
      <c r="U132" s="281"/>
      <c r="V132" s="281"/>
      <c r="W132" s="123" t="s">
        <v>47</v>
      </c>
      <c r="X132" s="124" t="e">
        <f>+IF(X123-U123&lt;0,0,X123-U123)+IF(X127-U127&lt;0,0,X127-U127)</f>
        <v>#REF!</v>
      </c>
    </row>
    <row r="133" spans="1:24" ht="18.75" customHeight="1">
      <c r="A133" s="128" t="s">
        <v>73</v>
      </c>
      <c r="B133" s="129"/>
      <c r="C133" s="118"/>
      <c r="D133" s="119" t="s">
        <v>51</v>
      </c>
      <c r="E133" s="270" t="s">
        <v>74</v>
      </c>
      <c r="F133" s="270"/>
      <c r="G133" s="270"/>
      <c r="H133" s="115" t="s">
        <v>41</v>
      </c>
      <c r="I133" s="281">
        <v>312000</v>
      </c>
      <c r="J133" s="281"/>
      <c r="K133" s="123" t="s">
        <v>47</v>
      </c>
      <c r="L133" s="124"/>
      <c r="M133" s="128" t="s">
        <v>73</v>
      </c>
      <c r="N133" s="129"/>
      <c r="O133" s="118"/>
      <c r="P133" s="119" t="s">
        <v>51</v>
      </c>
      <c r="Q133" s="270" t="s">
        <v>74</v>
      </c>
      <c r="R133" s="270"/>
      <c r="S133" s="270"/>
      <c r="T133" s="115" t="s">
        <v>41</v>
      </c>
      <c r="U133" s="281">
        <v>324000</v>
      </c>
      <c r="V133" s="281"/>
      <c r="W133" s="123" t="s">
        <v>47</v>
      </c>
      <c r="X133" s="124"/>
    </row>
    <row r="134" spans="1:24" ht="18.75" customHeight="1">
      <c r="A134" s="288" t="s">
        <v>75</v>
      </c>
      <c r="B134" s="282"/>
      <c r="C134" s="118"/>
      <c r="D134" s="119"/>
      <c r="E134" s="120"/>
      <c r="F134" s="120"/>
      <c r="G134" s="120"/>
      <c r="H134" s="115" t="s">
        <v>41</v>
      </c>
      <c r="I134" s="281" t="e">
        <f>'[9]LUONG T7'!#REF!</f>
        <v>#REF!</v>
      </c>
      <c r="J134" s="281"/>
      <c r="K134" s="123" t="s">
        <v>47</v>
      </c>
      <c r="L134" s="124"/>
      <c r="M134" s="288" t="s">
        <v>75</v>
      </c>
      <c r="N134" s="282"/>
      <c r="O134" s="118"/>
      <c r="P134" s="119"/>
      <c r="Q134" s="120"/>
      <c r="R134" s="120"/>
      <c r="S134" s="120"/>
      <c r="T134" s="115" t="s">
        <v>41</v>
      </c>
      <c r="U134" s="281" t="e">
        <f>'[9]LUONG T7'!#REF!</f>
        <v>#REF!</v>
      </c>
      <c r="V134" s="281"/>
      <c r="W134" s="123" t="s">
        <v>47</v>
      </c>
      <c r="X134" s="124"/>
    </row>
    <row r="135" spans="1:24" ht="18.75" customHeight="1">
      <c r="A135" s="117" t="s">
        <v>76</v>
      </c>
      <c r="B135" s="115" t="s">
        <v>41</v>
      </c>
      <c r="C135" s="118"/>
      <c r="D135" s="119"/>
      <c r="E135" s="120" t="s">
        <v>77</v>
      </c>
      <c r="F135" s="120"/>
      <c r="G135" s="120"/>
      <c r="H135" s="115" t="s">
        <v>41</v>
      </c>
      <c r="I135" s="281" t="e">
        <f>L132</f>
        <v>#REF!</v>
      </c>
      <c r="J135" s="281"/>
      <c r="K135" s="123" t="s">
        <v>47</v>
      </c>
      <c r="L135" s="124"/>
      <c r="M135" s="117" t="s">
        <v>76</v>
      </c>
      <c r="N135" s="115" t="s">
        <v>41</v>
      </c>
      <c r="O135" s="118"/>
      <c r="P135" s="119"/>
      <c r="Q135" s="120" t="s">
        <v>77</v>
      </c>
      <c r="R135" s="120"/>
      <c r="S135" s="120"/>
      <c r="T135" s="115" t="s">
        <v>41</v>
      </c>
      <c r="U135" s="281" t="e">
        <f>X132</f>
        <v>#REF!</v>
      </c>
      <c r="V135" s="281"/>
      <c r="W135" s="123" t="s">
        <v>47</v>
      </c>
      <c r="X135" s="124"/>
    </row>
    <row r="136" spans="1:24" ht="18.75" customHeight="1">
      <c r="A136" s="285" t="s">
        <v>78</v>
      </c>
      <c r="B136" s="286"/>
      <c r="C136" s="286"/>
      <c r="D136" s="286"/>
      <c r="E136" s="286"/>
      <c r="F136" s="286"/>
      <c r="G136" s="115" t="s">
        <v>41</v>
      </c>
      <c r="H136" s="287" t="e">
        <f>I123+I124+I125+I126+I127+I130+I134+I135+I133+I131</f>
        <v>#REF!</v>
      </c>
      <c r="I136" s="287"/>
      <c r="J136" s="287"/>
      <c r="K136" s="123" t="s">
        <v>47</v>
      </c>
      <c r="M136" s="285" t="s">
        <v>78</v>
      </c>
      <c r="N136" s="286"/>
      <c r="O136" s="286"/>
      <c r="P136" s="286"/>
      <c r="Q136" s="286"/>
      <c r="R136" s="286"/>
      <c r="S136" s="115" t="s">
        <v>41</v>
      </c>
      <c r="T136" s="287" t="e">
        <f>U123+U124+U125+U126+U127+U130+U134+U135+U133</f>
        <v>#REF!</v>
      </c>
      <c r="U136" s="287"/>
      <c r="V136" s="287"/>
      <c r="W136" s="123" t="s">
        <v>47</v>
      </c>
    </row>
    <row r="137" spans="1:24" ht="18.75" customHeight="1">
      <c r="A137" s="130"/>
      <c r="B137" s="131"/>
      <c r="C137" s="131"/>
      <c r="D137" s="131"/>
      <c r="E137" s="131"/>
      <c r="F137" s="131"/>
      <c r="G137" s="131"/>
      <c r="H137" s="131"/>
      <c r="I137" s="131"/>
      <c r="J137" s="131"/>
      <c r="K137" s="132"/>
      <c r="M137" s="130"/>
      <c r="N137" s="131"/>
      <c r="O137" s="131"/>
      <c r="P137" s="131"/>
      <c r="Q137" s="131"/>
      <c r="R137" s="131"/>
      <c r="S137" s="131"/>
      <c r="T137" s="131"/>
      <c r="U137" s="131"/>
      <c r="V137" s="131"/>
      <c r="W137" s="132"/>
    </row>
    <row r="138" spans="1:24" ht="18.75" customHeight="1">
      <c r="A138" s="295" t="s">
        <v>79</v>
      </c>
      <c r="B138" s="296"/>
      <c r="C138" s="296"/>
      <c r="D138" s="296"/>
      <c r="E138" s="296"/>
      <c r="F138" s="296"/>
      <c r="G138" s="115"/>
      <c r="H138" s="115"/>
      <c r="I138" s="115"/>
      <c r="J138" s="115"/>
      <c r="K138" s="123"/>
      <c r="M138" s="295" t="s">
        <v>79</v>
      </c>
      <c r="N138" s="296"/>
      <c r="O138" s="296"/>
      <c r="P138" s="296"/>
      <c r="Q138" s="296"/>
      <c r="R138" s="296"/>
      <c r="S138" s="115"/>
      <c r="T138" s="115"/>
      <c r="U138" s="115"/>
      <c r="V138" s="115"/>
      <c r="W138" s="123"/>
    </row>
    <row r="139" spans="1:24" ht="18.75" customHeight="1">
      <c r="A139" s="289" t="s">
        <v>80</v>
      </c>
      <c r="B139" s="290"/>
      <c r="C139" s="290"/>
      <c r="D139" s="290"/>
      <c r="E139" s="290"/>
      <c r="F139" s="290"/>
      <c r="G139" s="115" t="s">
        <v>41</v>
      </c>
      <c r="H139" s="297" t="e">
        <f>IF(($L$1-(C123+C124+C125+C126))&gt;12,0,F120*8%)</f>
        <v>#REF!</v>
      </c>
      <c r="I139" s="297"/>
      <c r="J139" s="297"/>
      <c r="K139" s="123" t="s">
        <v>47</v>
      </c>
      <c r="M139" s="289" t="s">
        <v>80</v>
      </c>
      <c r="N139" s="290"/>
      <c r="O139" s="290"/>
      <c r="P139" s="290"/>
      <c r="Q139" s="290"/>
      <c r="R139" s="290"/>
      <c r="S139" s="115" t="s">
        <v>41</v>
      </c>
      <c r="T139" s="297" t="e">
        <f>IF(($L$1-(O123+O124+O125+O126))&gt;12,0,R120*8%)</f>
        <v>#REF!</v>
      </c>
      <c r="U139" s="297"/>
      <c r="V139" s="297"/>
      <c r="W139" s="123" t="s">
        <v>47</v>
      </c>
    </row>
    <row r="140" spans="1:24" ht="18.75" customHeight="1">
      <c r="A140" s="289" t="s">
        <v>81</v>
      </c>
      <c r="B140" s="290"/>
      <c r="C140" s="290"/>
      <c r="D140" s="290"/>
      <c r="E140" s="290"/>
      <c r="F140" s="290"/>
      <c r="G140" s="115" t="s">
        <v>41</v>
      </c>
      <c r="H140" s="291" t="e">
        <f>IF(($L$1-(C123+C124+C125+C126))&gt;12,0,F120*1.5%)</f>
        <v>#REF!</v>
      </c>
      <c r="I140" s="291"/>
      <c r="J140" s="291"/>
      <c r="K140" s="123" t="s">
        <v>47</v>
      </c>
      <c r="M140" s="289" t="s">
        <v>81</v>
      </c>
      <c r="N140" s="290"/>
      <c r="O140" s="290"/>
      <c r="P140" s="290"/>
      <c r="Q140" s="290"/>
      <c r="R140" s="290"/>
      <c r="S140" s="115" t="s">
        <v>41</v>
      </c>
      <c r="T140" s="291" t="e">
        <f>IF(($L$1-(O123+O124+O125+O126))&gt;12,0,R120*1.5%)</f>
        <v>#REF!</v>
      </c>
      <c r="U140" s="291"/>
      <c r="V140" s="291"/>
      <c r="W140" s="123" t="s">
        <v>47</v>
      </c>
    </row>
    <row r="141" spans="1:24" ht="18.75" customHeight="1">
      <c r="A141" s="289" t="s">
        <v>82</v>
      </c>
      <c r="B141" s="290"/>
      <c r="C141" s="290"/>
      <c r="D141" s="290"/>
      <c r="E141" s="290"/>
      <c r="F141" s="290"/>
      <c r="G141" s="115" t="s">
        <v>41</v>
      </c>
      <c r="H141" s="291" t="e">
        <f>IF(($L$1-(C123+C124+C125+C126))&gt;12,0,F120*1%)</f>
        <v>#REF!</v>
      </c>
      <c r="I141" s="291"/>
      <c r="J141" s="291"/>
      <c r="K141" s="123" t="s">
        <v>47</v>
      </c>
      <c r="M141" s="289" t="s">
        <v>82</v>
      </c>
      <c r="N141" s="290"/>
      <c r="O141" s="290"/>
      <c r="P141" s="290"/>
      <c r="Q141" s="290"/>
      <c r="R141" s="290"/>
      <c r="S141" s="115" t="s">
        <v>41</v>
      </c>
      <c r="T141" s="291" t="e">
        <f>IF(($L$1-(O123+O124+O125+O126))&gt;12,0,R120*1%)</f>
        <v>#REF!</v>
      </c>
      <c r="U141" s="291"/>
      <c r="V141" s="291"/>
      <c r="W141" s="123" t="s">
        <v>47</v>
      </c>
    </row>
    <row r="142" spans="1:24" ht="18.75" customHeight="1">
      <c r="A142" s="289" t="s">
        <v>83</v>
      </c>
      <c r="B142" s="290"/>
      <c r="C142" s="290"/>
      <c r="D142" s="290"/>
      <c r="E142" s="290"/>
      <c r="F142" s="290"/>
      <c r="G142" s="115" t="s">
        <v>41</v>
      </c>
      <c r="H142" s="291">
        <v>0</v>
      </c>
      <c r="I142" s="291"/>
      <c r="J142" s="291"/>
      <c r="K142" s="123" t="s">
        <v>47</v>
      </c>
      <c r="M142" s="289" t="s">
        <v>83</v>
      </c>
      <c r="N142" s="290"/>
      <c r="O142" s="290"/>
      <c r="P142" s="290"/>
      <c r="Q142" s="290"/>
      <c r="R142" s="290"/>
      <c r="S142" s="115" t="s">
        <v>41</v>
      </c>
      <c r="T142" s="291">
        <v>0</v>
      </c>
      <c r="U142" s="291"/>
      <c r="V142" s="291"/>
      <c r="W142" s="123" t="s">
        <v>47</v>
      </c>
    </row>
    <row r="143" spans="1:24" ht="18.75" customHeight="1">
      <c r="A143" s="292" t="s">
        <v>84</v>
      </c>
      <c r="B143" s="293"/>
      <c r="C143" s="293"/>
      <c r="D143" s="293"/>
      <c r="E143" s="293"/>
      <c r="F143" s="293"/>
      <c r="G143" s="115" t="s">
        <v>41</v>
      </c>
      <c r="H143" s="294" t="e">
        <f>SUM(H139:J142)</f>
        <v>#REF!</v>
      </c>
      <c r="I143" s="294"/>
      <c r="J143" s="294"/>
      <c r="K143" s="123" t="s">
        <v>47</v>
      </c>
      <c r="M143" s="292" t="s">
        <v>84</v>
      </c>
      <c r="N143" s="293"/>
      <c r="O143" s="293"/>
      <c r="P143" s="293"/>
      <c r="Q143" s="293"/>
      <c r="R143" s="293"/>
      <c r="S143" s="115" t="s">
        <v>41</v>
      </c>
      <c r="T143" s="294" t="e">
        <f>SUM(T139:V142)</f>
        <v>#REF!</v>
      </c>
      <c r="U143" s="294"/>
      <c r="V143" s="294"/>
      <c r="W143" s="123" t="s">
        <v>47</v>
      </c>
    </row>
    <row r="144" spans="1:24" ht="18.75" customHeight="1">
      <c r="A144" s="289" t="s">
        <v>85</v>
      </c>
      <c r="B144" s="290"/>
      <c r="C144" s="290"/>
      <c r="D144" s="290"/>
      <c r="E144" s="290"/>
      <c r="F144" s="290"/>
      <c r="G144" s="115" t="s">
        <v>41</v>
      </c>
      <c r="H144" s="301" t="e">
        <f>ROUND(H136-H143,-2)</f>
        <v>#REF!</v>
      </c>
      <c r="I144" s="301"/>
      <c r="J144" s="301"/>
      <c r="K144" s="123" t="s">
        <v>47</v>
      </c>
      <c r="M144" s="289" t="s">
        <v>85</v>
      </c>
      <c r="N144" s="290"/>
      <c r="O144" s="290"/>
      <c r="P144" s="290"/>
      <c r="Q144" s="290"/>
      <c r="R144" s="290"/>
      <c r="S144" s="115" t="s">
        <v>41</v>
      </c>
      <c r="T144" s="301" t="e">
        <f>ROUND(T136-T143,-2)</f>
        <v>#REF!</v>
      </c>
      <c r="U144" s="301"/>
      <c r="V144" s="301"/>
      <c r="W144" s="123" t="s">
        <v>47</v>
      </c>
    </row>
    <row r="145" spans="1:24" ht="18.75" customHeight="1">
      <c r="A145" s="133"/>
      <c r="B145" s="134"/>
      <c r="C145" s="134"/>
      <c r="D145" s="134"/>
      <c r="E145" s="134"/>
      <c r="F145" s="134"/>
      <c r="G145" s="134"/>
      <c r="H145" s="134"/>
      <c r="I145" s="134"/>
      <c r="J145" s="134"/>
      <c r="K145" s="135"/>
      <c r="M145" s="133"/>
      <c r="N145" s="134"/>
      <c r="O145" s="134"/>
      <c r="P145" s="134"/>
      <c r="Q145" s="134"/>
      <c r="R145" s="134"/>
      <c r="S145" s="134"/>
      <c r="T145" s="134"/>
      <c r="U145" s="134"/>
      <c r="V145" s="134"/>
      <c r="W145" s="135"/>
    </row>
    <row r="146" spans="1:24" ht="18.75" customHeight="1">
      <c r="A146" s="136"/>
      <c r="B146" s="115"/>
      <c r="C146" s="115"/>
      <c r="D146" s="115"/>
      <c r="E146" s="115"/>
      <c r="F146" s="115"/>
      <c r="G146" s="115"/>
      <c r="H146" s="115"/>
      <c r="I146" s="298" t="s">
        <v>86</v>
      </c>
      <c r="J146" s="298"/>
      <c r="K146" s="302"/>
      <c r="M146" s="136"/>
      <c r="N146" s="115"/>
      <c r="O146" s="115"/>
      <c r="P146" s="115"/>
      <c r="Q146" s="115"/>
      <c r="R146" s="115"/>
      <c r="S146" s="115"/>
      <c r="T146" s="115"/>
      <c r="U146" s="298" t="s">
        <v>86</v>
      </c>
      <c r="V146" s="298"/>
      <c r="W146" s="302"/>
    </row>
    <row r="147" spans="1:24" ht="18.75" customHeight="1">
      <c r="A147" s="136"/>
      <c r="B147" s="298"/>
      <c r="C147" s="298"/>
      <c r="D147" s="298"/>
      <c r="E147" s="298"/>
      <c r="F147" s="115"/>
      <c r="G147" s="115"/>
      <c r="H147" s="115"/>
      <c r="I147" s="115"/>
      <c r="J147" s="115"/>
      <c r="K147" s="116"/>
      <c r="M147" s="136"/>
      <c r="N147" s="298"/>
      <c r="O147" s="298"/>
      <c r="P147" s="298"/>
      <c r="Q147" s="298"/>
      <c r="R147" s="115"/>
      <c r="S147" s="115"/>
      <c r="T147" s="115"/>
      <c r="U147" s="115"/>
      <c r="V147" s="115"/>
      <c r="W147" s="116"/>
    </row>
    <row r="148" spans="1:24" ht="18.75" customHeight="1" thickBot="1">
      <c r="A148" s="137"/>
      <c r="B148" s="138"/>
      <c r="C148" s="138"/>
      <c r="D148" s="138"/>
      <c r="E148" s="138"/>
      <c r="F148" s="138"/>
      <c r="G148" s="138"/>
      <c r="H148" s="138"/>
      <c r="I148" s="299" t="s">
        <v>87</v>
      </c>
      <c r="J148" s="299"/>
      <c r="K148" s="300"/>
      <c r="M148" s="137"/>
      <c r="N148" s="138"/>
      <c r="O148" s="138"/>
      <c r="P148" s="138"/>
      <c r="Q148" s="138"/>
      <c r="R148" s="138"/>
      <c r="S148" s="138"/>
      <c r="T148" s="138"/>
      <c r="U148" s="299" t="s">
        <v>87</v>
      </c>
      <c r="V148" s="299"/>
      <c r="W148" s="300"/>
    </row>
    <row r="150" spans="1:24" ht="18.75" customHeight="1" thickTop="1">
      <c r="A150" s="274" t="s">
        <v>35</v>
      </c>
      <c r="B150" s="275"/>
      <c r="C150" s="275"/>
      <c r="D150" s="275"/>
      <c r="E150" s="275"/>
      <c r="F150" s="275"/>
      <c r="G150" s="275"/>
      <c r="H150" s="275"/>
      <c r="I150" s="275"/>
      <c r="J150" s="275"/>
      <c r="K150" s="276"/>
      <c r="L150" s="111">
        <v>25</v>
      </c>
      <c r="M150" s="274" t="s">
        <v>35</v>
      </c>
      <c r="N150" s="275"/>
      <c r="O150" s="275"/>
      <c r="P150" s="275"/>
      <c r="Q150" s="275"/>
      <c r="R150" s="275"/>
      <c r="S150" s="275"/>
      <c r="T150" s="275"/>
      <c r="U150" s="275"/>
      <c r="V150" s="275"/>
      <c r="W150" s="276"/>
      <c r="X150" s="111">
        <v>25</v>
      </c>
    </row>
    <row r="151" spans="1:24" ht="18.75" customHeight="1">
      <c r="A151" s="112" t="s">
        <v>102</v>
      </c>
      <c r="B151" s="113"/>
      <c r="C151" s="113"/>
      <c r="D151" s="113"/>
      <c r="E151" s="113"/>
      <c r="F151" s="113"/>
      <c r="G151" s="113"/>
      <c r="H151" s="113"/>
      <c r="I151" s="113"/>
      <c r="J151" s="113"/>
      <c r="K151" s="114"/>
      <c r="M151" s="112" t="s">
        <v>103</v>
      </c>
      <c r="N151" s="113"/>
      <c r="O151" s="113"/>
      <c r="P151" s="113"/>
      <c r="Q151" s="113"/>
      <c r="R151" s="113"/>
      <c r="S151" s="113"/>
      <c r="T151" s="113"/>
      <c r="U151" s="113"/>
      <c r="V151" s="113"/>
      <c r="W151" s="114"/>
    </row>
    <row r="152" spans="1:24" ht="18.75" customHeight="1">
      <c r="A152" s="277" t="s">
        <v>39</v>
      </c>
      <c r="B152" s="278"/>
      <c r="C152" s="278"/>
      <c r="D152" s="278"/>
      <c r="E152" s="278"/>
      <c r="F152" s="278"/>
      <c r="G152" s="278"/>
      <c r="H152" s="278"/>
      <c r="I152" s="278"/>
      <c r="J152" s="278"/>
      <c r="K152" s="279"/>
      <c r="M152" s="277" t="s">
        <v>39</v>
      </c>
      <c r="N152" s="278"/>
      <c r="O152" s="278"/>
      <c r="P152" s="278"/>
      <c r="Q152" s="278"/>
      <c r="R152" s="278"/>
      <c r="S152" s="278"/>
      <c r="T152" s="278"/>
      <c r="U152" s="278"/>
      <c r="V152" s="278"/>
      <c r="W152" s="279"/>
    </row>
    <row r="153" spans="1:24" ht="18.75" customHeight="1">
      <c r="A153" s="269" t="s">
        <v>40</v>
      </c>
      <c r="B153" s="270"/>
      <c r="C153" s="270"/>
      <c r="D153" s="270"/>
      <c r="E153" s="115" t="s">
        <v>41</v>
      </c>
      <c r="F153" s="271" t="s">
        <v>104</v>
      </c>
      <c r="G153" s="270"/>
      <c r="H153" s="270"/>
      <c r="I153" s="270"/>
      <c r="J153" s="270"/>
      <c r="K153" s="273"/>
      <c r="M153" s="269" t="s">
        <v>40</v>
      </c>
      <c r="N153" s="270"/>
      <c r="O153" s="270"/>
      <c r="P153" s="270"/>
      <c r="Q153" s="115" t="s">
        <v>41</v>
      </c>
      <c r="R153" s="271" t="s">
        <v>95</v>
      </c>
      <c r="S153" s="270"/>
      <c r="T153" s="270"/>
      <c r="U153" s="270"/>
      <c r="V153" s="270"/>
      <c r="W153" s="273"/>
    </row>
    <row r="154" spans="1:24" ht="18.75" customHeight="1">
      <c r="A154" s="269" t="s">
        <v>43</v>
      </c>
      <c r="B154" s="270"/>
      <c r="C154" s="270"/>
      <c r="D154" s="270"/>
      <c r="E154" s="115" t="s">
        <v>41</v>
      </c>
      <c r="F154" s="271">
        <v>5007</v>
      </c>
      <c r="G154" s="271"/>
      <c r="H154" s="271"/>
      <c r="I154" s="271"/>
      <c r="J154" s="271"/>
      <c r="K154" s="272"/>
      <c r="M154" s="269" t="s">
        <v>43</v>
      </c>
      <c r="N154" s="270"/>
      <c r="O154" s="270"/>
      <c r="P154" s="270"/>
      <c r="Q154" s="115" t="s">
        <v>41</v>
      </c>
      <c r="R154" s="271">
        <v>50079</v>
      </c>
      <c r="S154" s="271"/>
      <c r="T154" s="271"/>
      <c r="U154" s="271"/>
      <c r="V154" s="271"/>
      <c r="W154" s="272"/>
    </row>
    <row r="155" spans="1:24" ht="18.75" customHeight="1">
      <c r="A155" s="269" t="s">
        <v>44</v>
      </c>
      <c r="B155" s="270"/>
      <c r="C155" s="270"/>
      <c r="D155" s="270"/>
      <c r="E155" s="115" t="s">
        <v>41</v>
      </c>
      <c r="F155" s="270" t="str">
        <f>$L$2</f>
        <v>Gián tiếp</v>
      </c>
      <c r="G155" s="270"/>
      <c r="H155" s="270"/>
      <c r="I155" s="270"/>
      <c r="J155" s="270"/>
      <c r="K155" s="273"/>
      <c r="M155" s="269" t="s">
        <v>44</v>
      </c>
      <c r="N155" s="270"/>
      <c r="O155" s="270"/>
      <c r="P155" s="270"/>
      <c r="Q155" s="115" t="s">
        <v>41</v>
      </c>
      <c r="R155" s="270" t="str">
        <f>$L$2</f>
        <v>Gián tiếp</v>
      </c>
      <c r="S155" s="270"/>
      <c r="T155" s="270"/>
      <c r="U155" s="270"/>
      <c r="V155" s="270"/>
      <c r="W155" s="273"/>
    </row>
    <row r="156" spans="1:24" ht="18.75" customHeight="1">
      <c r="A156" s="277" t="s">
        <v>45</v>
      </c>
      <c r="B156" s="278"/>
      <c r="C156" s="278"/>
      <c r="D156" s="278"/>
      <c r="E156" s="278"/>
      <c r="F156" s="278"/>
      <c r="G156" s="278"/>
      <c r="H156" s="278"/>
      <c r="I156" s="278"/>
      <c r="J156" s="278"/>
      <c r="K156" s="279"/>
      <c r="M156" s="277" t="s">
        <v>45</v>
      </c>
      <c r="N156" s="278"/>
      <c r="O156" s="278"/>
      <c r="P156" s="278"/>
      <c r="Q156" s="278"/>
      <c r="R156" s="278"/>
      <c r="S156" s="278"/>
      <c r="T156" s="278"/>
      <c r="U156" s="278"/>
      <c r="V156" s="278"/>
      <c r="W156" s="279"/>
    </row>
    <row r="157" spans="1:24" ht="18.75" customHeight="1">
      <c r="A157" s="269" t="s">
        <v>46</v>
      </c>
      <c r="B157" s="270"/>
      <c r="C157" s="270"/>
      <c r="D157" s="270"/>
      <c r="E157" s="115" t="s">
        <v>41</v>
      </c>
      <c r="F157" s="284">
        <v>3876000</v>
      </c>
      <c r="G157" s="284"/>
      <c r="H157" s="284"/>
      <c r="I157" s="284"/>
      <c r="J157" s="115" t="s">
        <v>47</v>
      </c>
      <c r="K157" s="116"/>
      <c r="M157" s="269" t="s">
        <v>46</v>
      </c>
      <c r="N157" s="270"/>
      <c r="O157" s="270"/>
      <c r="P157" s="270"/>
      <c r="Q157" s="115" t="s">
        <v>41</v>
      </c>
      <c r="R157" s="284">
        <v>3876000</v>
      </c>
      <c r="S157" s="284"/>
      <c r="T157" s="284"/>
      <c r="U157" s="284"/>
      <c r="V157" s="115" t="s">
        <v>47</v>
      </c>
      <c r="W157" s="116"/>
    </row>
    <row r="158" spans="1:24" ht="18.75" customHeight="1">
      <c r="A158" s="117" t="s">
        <v>48</v>
      </c>
      <c r="B158" s="115"/>
      <c r="C158" s="118"/>
      <c r="D158" s="119"/>
      <c r="E158" s="120"/>
      <c r="F158" s="120"/>
      <c r="G158" s="120"/>
      <c r="H158" s="115"/>
      <c r="I158" s="121" t="e">
        <f>'[9]LUONG T7'!#REF!</f>
        <v>#REF!</v>
      </c>
      <c r="J158" s="122"/>
      <c r="K158" s="123"/>
      <c r="M158" s="117" t="s">
        <v>48</v>
      </c>
      <c r="N158" s="115"/>
      <c r="O158" s="118"/>
      <c r="P158" s="119"/>
      <c r="Q158" s="120"/>
      <c r="R158" s="120"/>
      <c r="S158" s="120"/>
      <c r="T158" s="115"/>
      <c r="U158" s="121" t="e">
        <f>'[9]LUONG T7'!#REF!</f>
        <v>#REF!</v>
      </c>
      <c r="V158" s="122"/>
      <c r="W158" s="123"/>
    </row>
    <row r="159" spans="1:24" ht="18.75" customHeight="1">
      <c r="A159" s="117" t="s">
        <v>49</v>
      </c>
      <c r="B159" s="115"/>
      <c r="C159" s="118"/>
      <c r="D159" s="119"/>
      <c r="E159" s="120"/>
      <c r="F159" s="120"/>
      <c r="G159" s="120"/>
      <c r="H159" s="115"/>
      <c r="I159" s="121" t="e">
        <f>I160/C160/8</f>
        <v>#REF!</v>
      </c>
      <c r="J159" s="122"/>
      <c r="K159" s="123"/>
      <c r="M159" s="117" t="s">
        <v>49</v>
      </c>
      <c r="N159" s="115"/>
      <c r="O159" s="118"/>
      <c r="P159" s="119"/>
      <c r="Q159" s="120"/>
      <c r="R159" s="120"/>
      <c r="S159" s="120"/>
      <c r="T159" s="115"/>
      <c r="U159" s="121" t="e">
        <f>U160/O160/8</f>
        <v>#REF!</v>
      </c>
      <c r="V159" s="122"/>
      <c r="W159" s="123"/>
    </row>
    <row r="160" spans="1:24" ht="18.75" customHeight="1">
      <c r="A160" s="117" t="s">
        <v>50</v>
      </c>
      <c r="B160" s="115" t="s">
        <v>41</v>
      </c>
      <c r="C160" s="118" t="e">
        <f>'[9]LUONG T7'!#REF!</f>
        <v>#REF!</v>
      </c>
      <c r="D160" s="119" t="s">
        <v>51</v>
      </c>
      <c r="E160" s="282" t="s">
        <v>52</v>
      </c>
      <c r="F160" s="282"/>
      <c r="G160" s="282"/>
      <c r="H160" s="115" t="s">
        <v>41</v>
      </c>
      <c r="I160" s="283" t="e">
        <f>'[9]LUONG T7'!#REF!</f>
        <v>#REF!</v>
      </c>
      <c r="J160" s="283"/>
      <c r="K160" s="123" t="s">
        <v>47</v>
      </c>
      <c r="L160" s="124" t="e">
        <f>F157/L150*C160</f>
        <v>#REF!</v>
      </c>
      <c r="M160" s="117" t="s">
        <v>50</v>
      </c>
      <c r="N160" s="115" t="s">
        <v>41</v>
      </c>
      <c r="O160" s="118" t="e">
        <f>'[9]LUONG T7'!#REF!</f>
        <v>#REF!</v>
      </c>
      <c r="P160" s="119" t="s">
        <v>51</v>
      </c>
      <c r="Q160" s="282" t="s">
        <v>52</v>
      </c>
      <c r="R160" s="282"/>
      <c r="S160" s="282"/>
      <c r="T160" s="115" t="s">
        <v>41</v>
      </c>
      <c r="U160" s="283" t="e">
        <f>'[9]LUONG T7'!#REF!</f>
        <v>#REF!</v>
      </c>
      <c r="V160" s="283"/>
      <c r="W160" s="123" t="s">
        <v>47</v>
      </c>
      <c r="X160" s="124" t="e">
        <f>R157/X150*O160</f>
        <v>#REF!</v>
      </c>
    </row>
    <row r="161" spans="1:24" ht="18.75" customHeight="1">
      <c r="A161" s="117" t="s">
        <v>53</v>
      </c>
      <c r="B161" s="115" t="s">
        <v>41</v>
      </c>
      <c r="C161" s="118" t="e">
        <f>'[9]LUONG T7'!#REF!</f>
        <v>#REF!</v>
      </c>
      <c r="D161" s="119" t="s">
        <v>51</v>
      </c>
      <c r="E161" s="270" t="s">
        <v>54</v>
      </c>
      <c r="F161" s="270"/>
      <c r="G161" s="270"/>
      <c r="H161" s="115" t="s">
        <v>41</v>
      </c>
      <c r="I161" s="281" t="e">
        <f>$F$8/$L$1*C161</f>
        <v>#REF!</v>
      </c>
      <c r="J161" s="281"/>
      <c r="K161" s="123" t="s">
        <v>47</v>
      </c>
      <c r="L161" s="124"/>
      <c r="M161" s="117" t="s">
        <v>53</v>
      </c>
      <c r="N161" s="115" t="s">
        <v>41</v>
      </c>
      <c r="O161" s="118" t="e">
        <f>'[9]LUONG T7'!#REF!</f>
        <v>#REF!</v>
      </c>
      <c r="P161" s="119" t="s">
        <v>51</v>
      </c>
      <c r="Q161" s="270" t="s">
        <v>54</v>
      </c>
      <c r="R161" s="270"/>
      <c r="S161" s="270"/>
      <c r="T161" s="115" t="s">
        <v>41</v>
      </c>
      <c r="U161" s="281" t="e">
        <f>$F$8/$L$1*O161</f>
        <v>#REF!</v>
      </c>
      <c r="V161" s="281"/>
      <c r="W161" s="123" t="s">
        <v>47</v>
      </c>
      <c r="X161" s="124"/>
    </row>
    <row r="162" spans="1:24" ht="18.75" customHeight="1">
      <c r="A162" s="117" t="s">
        <v>55</v>
      </c>
      <c r="B162" s="115" t="s">
        <v>41</v>
      </c>
      <c r="C162" s="118" t="e">
        <f>'[9]LUONG T7'!#REF!</f>
        <v>#REF!</v>
      </c>
      <c r="D162" s="119" t="s">
        <v>51</v>
      </c>
      <c r="E162" s="280" t="s">
        <v>56</v>
      </c>
      <c r="F162" s="280"/>
      <c r="G162" s="280"/>
      <c r="H162" s="115" t="s">
        <v>41</v>
      </c>
      <c r="I162" s="281" t="e">
        <f>F157/$L$1*C162</f>
        <v>#REF!</v>
      </c>
      <c r="J162" s="281"/>
      <c r="K162" s="123" t="s">
        <v>47</v>
      </c>
      <c r="L162" s="124"/>
      <c r="M162" s="117" t="s">
        <v>55</v>
      </c>
      <c r="N162" s="115" t="s">
        <v>41</v>
      </c>
      <c r="O162" s="118" t="e">
        <f>'[9]LUONG T7'!#REF!</f>
        <v>#REF!</v>
      </c>
      <c r="P162" s="119" t="s">
        <v>51</v>
      </c>
      <c r="Q162" s="280" t="s">
        <v>56</v>
      </c>
      <c r="R162" s="280"/>
      <c r="S162" s="280"/>
      <c r="T162" s="115" t="s">
        <v>41</v>
      </c>
      <c r="U162" s="281" t="e">
        <f>$F$8/$L$1*O162</f>
        <v>#REF!</v>
      </c>
      <c r="V162" s="281"/>
      <c r="W162" s="123" t="s">
        <v>47</v>
      </c>
      <c r="X162" s="124"/>
    </row>
    <row r="163" spans="1:24" ht="18.75" customHeight="1">
      <c r="A163" s="117" t="s">
        <v>57</v>
      </c>
      <c r="B163" s="115" t="s">
        <v>41</v>
      </c>
      <c r="C163" s="118" t="e">
        <f>'[9]LUONG T7'!#REF!</f>
        <v>#REF!</v>
      </c>
      <c r="D163" s="119" t="s">
        <v>51</v>
      </c>
      <c r="E163" s="280" t="s">
        <v>58</v>
      </c>
      <c r="F163" s="280"/>
      <c r="G163" s="280"/>
      <c r="H163" s="115" t="s">
        <v>41</v>
      </c>
      <c r="I163" s="281" t="e">
        <f>$F$8/$L$1*C163</f>
        <v>#REF!</v>
      </c>
      <c r="J163" s="281"/>
      <c r="K163" s="123" t="s">
        <v>47</v>
      </c>
      <c r="L163" s="124"/>
      <c r="M163" s="117" t="s">
        <v>57</v>
      </c>
      <c r="N163" s="115" t="s">
        <v>41</v>
      </c>
      <c r="O163" s="118" t="e">
        <f>'[9]LUONG T7'!#REF!</f>
        <v>#REF!</v>
      </c>
      <c r="P163" s="119" t="s">
        <v>51</v>
      </c>
      <c r="Q163" s="280" t="s">
        <v>58</v>
      </c>
      <c r="R163" s="280"/>
      <c r="S163" s="280"/>
      <c r="T163" s="115" t="s">
        <v>41</v>
      </c>
      <c r="U163" s="281" t="e">
        <f>$F$8/$L$1*O163</f>
        <v>#REF!</v>
      </c>
      <c r="V163" s="281"/>
      <c r="W163" s="123" t="s">
        <v>47</v>
      </c>
      <c r="X163" s="124"/>
    </row>
    <row r="164" spans="1:24" ht="18.75" customHeight="1">
      <c r="A164" s="117" t="s">
        <v>59</v>
      </c>
      <c r="B164" s="115" t="s">
        <v>41</v>
      </c>
      <c r="C164" s="118" t="e">
        <f>'[9]LUONG T7'!#REF!</f>
        <v>#REF!</v>
      </c>
      <c r="D164" s="119" t="s">
        <v>60</v>
      </c>
      <c r="E164" s="270" t="s">
        <v>61</v>
      </c>
      <c r="F164" s="270"/>
      <c r="G164" s="270"/>
      <c r="H164" s="115" t="s">
        <v>41</v>
      </c>
      <c r="I164" s="281" t="e">
        <f>'[9]LUONG T7'!#REF!</f>
        <v>#REF!</v>
      </c>
      <c r="J164" s="281"/>
      <c r="K164" s="123" t="s">
        <v>47</v>
      </c>
      <c r="L164" s="124" t="e">
        <f>F157*C164/L150/8*1.5</f>
        <v>#REF!</v>
      </c>
      <c r="M164" s="117" t="s">
        <v>59</v>
      </c>
      <c r="N164" s="115" t="s">
        <v>41</v>
      </c>
      <c r="O164" s="118" t="e">
        <f>'[9]LUONG T7'!#REF!</f>
        <v>#REF!</v>
      </c>
      <c r="P164" s="119" t="s">
        <v>60</v>
      </c>
      <c r="Q164" s="270" t="s">
        <v>61</v>
      </c>
      <c r="R164" s="270"/>
      <c r="S164" s="270"/>
      <c r="T164" s="115" t="s">
        <v>41</v>
      </c>
      <c r="U164" s="281" t="e">
        <f>'[9]LUONG T7'!#REF!</f>
        <v>#REF!</v>
      </c>
      <c r="V164" s="281"/>
      <c r="W164" s="123" t="s">
        <v>47</v>
      </c>
      <c r="X164" s="124" t="e">
        <f>R157*O164/X150/8*1.5</f>
        <v>#REF!</v>
      </c>
    </row>
    <row r="165" spans="1:24" ht="18.75" customHeight="1">
      <c r="A165" s="269" t="s">
        <v>62</v>
      </c>
      <c r="B165" s="270"/>
      <c r="C165" s="118"/>
      <c r="D165" s="119" t="s">
        <v>51</v>
      </c>
      <c r="E165" s="270" t="s">
        <v>63</v>
      </c>
      <c r="F165" s="270"/>
      <c r="G165" s="270"/>
      <c r="H165" s="125" t="s">
        <v>41</v>
      </c>
      <c r="I165" s="281"/>
      <c r="J165" s="281"/>
      <c r="K165" s="123" t="s">
        <v>47</v>
      </c>
      <c r="L165" s="124"/>
      <c r="M165" s="269" t="s">
        <v>62</v>
      </c>
      <c r="N165" s="270"/>
      <c r="O165" s="118"/>
      <c r="P165" s="119" t="s">
        <v>51</v>
      </c>
      <c r="Q165" s="270" t="s">
        <v>63</v>
      </c>
      <c r="R165" s="270"/>
      <c r="S165" s="270"/>
      <c r="T165" s="125" t="s">
        <v>41</v>
      </c>
      <c r="U165" s="281"/>
      <c r="V165" s="281"/>
      <c r="W165" s="123" t="s">
        <v>47</v>
      </c>
      <c r="X165" s="124"/>
    </row>
    <row r="166" spans="1:24" ht="18.75" customHeight="1">
      <c r="A166" s="117" t="s">
        <v>64</v>
      </c>
      <c r="B166" s="115" t="s">
        <v>41</v>
      </c>
      <c r="C166" s="118"/>
      <c r="D166" s="119" t="s">
        <v>51</v>
      </c>
      <c r="E166" s="270" t="s">
        <v>65</v>
      </c>
      <c r="F166" s="270"/>
      <c r="G166" s="270"/>
      <c r="H166" s="115" t="s">
        <v>41</v>
      </c>
      <c r="I166" s="281"/>
      <c r="J166" s="281"/>
      <c r="K166" s="123" t="s">
        <v>47</v>
      </c>
      <c r="L166" s="124"/>
      <c r="M166" s="117" t="s">
        <v>64</v>
      </c>
      <c r="N166" s="115" t="s">
        <v>41</v>
      </c>
      <c r="O166" s="118"/>
      <c r="P166" s="119" t="s">
        <v>51</v>
      </c>
      <c r="Q166" s="270" t="s">
        <v>65</v>
      </c>
      <c r="R166" s="270"/>
      <c r="S166" s="270"/>
      <c r="T166" s="115" t="s">
        <v>41</v>
      </c>
      <c r="U166" s="281"/>
      <c r="V166" s="281"/>
      <c r="W166" s="123" t="s">
        <v>47</v>
      </c>
      <c r="X166" s="124"/>
    </row>
    <row r="167" spans="1:24" ht="18.75" customHeight="1">
      <c r="A167" s="126" t="s">
        <v>66</v>
      </c>
      <c r="B167" s="115"/>
      <c r="C167" s="118" t="e">
        <f>'[9]LUONG T7'!#REF!</f>
        <v>#REF!</v>
      </c>
      <c r="D167" s="119" t="s">
        <v>60</v>
      </c>
      <c r="E167" s="270" t="s">
        <v>67</v>
      </c>
      <c r="F167" s="270"/>
      <c r="G167" s="270"/>
      <c r="H167" s="115" t="s">
        <v>41</v>
      </c>
      <c r="I167" s="281">
        <v>10000</v>
      </c>
      <c r="J167" s="281"/>
      <c r="K167" s="123" t="s">
        <v>47</v>
      </c>
      <c r="L167" s="124"/>
      <c r="M167" s="126" t="s">
        <v>66</v>
      </c>
      <c r="N167" s="115"/>
      <c r="O167" s="118" t="e">
        <f>'[9]LUONG T7'!#REF!</f>
        <v>#REF!</v>
      </c>
      <c r="P167" s="119" t="s">
        <v>60</v>
      </c>
      <c r="Q167" s="270" t="s">
        <v>67</v>
      </c>
      <c r="R167" s="270"/>
      <c r="S167" s="270"/>
      <c r="T167" s="115" t="s">
        <v>41</v>
      </c>
      <c r="U167" s="281">
        <v>20000</v>
      </c>
      <c r="V167" s="281"/>
      <c r="W167" s="123" t="s">
        <v>47</v>
      </c>
      <c r="X167" s="124"/>
    </row>
    <row r="168" spans="1:24" ht="18.75" customHeight="1">
      <c r="A168" s="117" t="s">
        <v>97</v>
      </c>
      <c r="B168" s="115" t="s">
        <v>41</v>
      </c>
      <c r="C168" s="118"/>
      <c r="D168" s="119" t="s">
        <v>60</v>
      </c>
      <c r="E168" s="270" t="s">
        <v>105</v>
      </c>
      <c r="F168" s="270"/>
      <c r="G168" s="270"/>
      <c r="H168" s="115" t="s">
        <v>41</v>
      </c>
      <c r="I168" s="283">
        <v>232500</v>
      </c>
      <c r="J168" s="283"/>
      <c r="K168" s="123" t="s">
        <v>47</v>
      </c>
      <c r="L168" s="124"/>
      <c r="M168" s="117" t="s">
        <v>68</v>
      </c>
      <c r="N168" s="115" t="s">
        <v>41</v>
      </c>
      <c r="O168" s="118"/>
      <c r="P168" s="119" t="s">
        <v>60</v>
      </c>
      <c r="Q168" s="270" t="s">
        <v>105</v>
      </c>
      <c r="R168" s="270"/>
      <c r="S168" s="270"/>
      <c r="T168" s="115" t="s">
        <v>41</v>
      </c>
      <c r="U168" s="283">
        <v>240000</v>
      </c>
      <c r="V168" s="283"/>
      <c r="W168" s="123" t="s">
        <v>47</v>
      </c>
      <c r="X168" s="124"/>
    </row>
    <row r="169" spans="1:24" ht="18.75" customHeight="1">
      <c r="A169" s="117" t="s">
        <v>70</v>
      </c>
      <c r="B169" s="115" t="s">
        <v>41</v>
      </c>
      <c r="C169" s="118"/>
      <c r="D169" s="119" t="s">
        <v>71</v>
      </c>
      <c r="E169" s="127" t="s">
        <v>72</v>
      </c>
      <c r="F169" s="127"/>
      <c r="G169" s="127"/>
      <c r="H169" s="115" t="s">
        <v>41</v>
      </c>
      <c r="I169" s="281"/>
      <c r="J169" s="281"/>
      <c r="K169" s="123" t="s">
        <v>47</v>
      </c>
      <c r="L169" s="124" t="e">
        <f>+IF(L160-I160&lt;0,0,L160-I160)+IF(L164-I164&lt;0,0,L164-I164)</f>
        <v>#REF!</v>
      </c>
      <c r="M169" s="117" t="s">
        <v>70</v>
      </c>
      <c r="N169" s="115" t="s">
        <v>41</v>
      </c>
      <c r="O169" s="118"/>
      <c r="P169" s="119" t="s">
        <v>71</v>
      </c>
      <c r="Q169" s="127" t="s">
        <v>72</v>
      </c>
      <c r="R169" s="127"/>
      <c r="S169" s="127"/>
      <c r="T169" s="115" t="s">
        <v>41</v>
      </c>
      <c r="U169" s="281"/>
      <c r="V169" s="281"/>
      <c r="W169" s="123" t="s">
        <v>47</v>
      </c>
      <c r="X169" s="124" t="e">
        <f>+IF(X160-U160&lt;0,0,X160-U160)+IF(X164-U164&lt;0,0,X164-U164)</f>
        <v>#REF!</v>
      </c>
    </row>
    <row r="170" spans="1:24" ht="18.75" customHeight="1">
      <c r="A170" s="128" t="s">
        <v>73</v>
      </c>
      <c r="B170" s="129"/>
      <c r="C170" s="118"/>
      <c r="D170" s="119" t="s">
        <v>51</v>
      </c>
      <c r="E170" s="270" t="s">
        <v>74</v>
      </c>
      <c r="F170" s="270"/>
      <c r="G170" s="270"/>
      <c r="H170" s="115" t="s">
        <v>41</v>
      </c>
      <c r="I170" s="281">
        <v>318000</v>
      </c>
      <c r="J170" s="281"/>
      <c r="K170" s="123" t="s">
        <v>47</v>
      </c>
      <c r="L170" s="124"/>
      <c r="M170" s="128" t="s">
        <v>73</v>
      </c>
      <c r="N170" s="129"/>
      <c r="O170" s="118"/>
      <c r="P170" s="119" t="s">
        <v>51</v>
      </c>
      <c r="Q170" s="270" t="s">
        <v>74</v>
      </c>
      <c r="R170" s="270"/>
      <c r="S170" s="270"/>
      <c r="T170" s="115" t="s">
        <v>41</v>
      </c>
      <c r="U170" s="281">
        <v>324000</v>
      </c>
      <c r="V170" s="281"/>
      <c r="W170" s="123" t="s">
        <v>47</v>
      </c>
      <c r="X170" s="124"/>
    </row>
    <row r="171" spans="1:24" ht="18.75" customHeight="1">
      <c r="A171" s="288" t="s">
        <v>75</v>
      </c>
      <c r="B171" s="282"/>
      <c r="C171" s="118"/>
      <c r="D171" s="119"/>
      <c r="E171" s="120"/>
      <c r="F171" s="120"/>
      <c r="G171" s="120"/>
      <c r="H171" s="115" t="s">
        <v>41</v>
      </c>
      <c r="I171" s="281" t="e">
        <f>'[9]LUONG T7'!#REF!</f>
        <v>#REF!</v>
      </c>
      <c r="J171" s="281"/>
      <c r="K171" s="123" t="s">
        <v>47</v>
      </c>
      <c r="L171" s="124"/>
      <c r="M171" s="288" t="s">
        <v>75</v>
      </c>
      <c r="N171" s="282"/>
      <c r="O171" s="118"/>
      <c r="P171" s="119"/>
      <c r="Q171" s="120"/>
      <c r="R171" s="120"/>
      <c r="S171" s="120"/>
      <c r="T171" s="115" t="s">
        <v>41</v>
      </c>
      <c r="U171" s="281" t="e">
        <f>'[9]LUONG T7'!#REF!</f>
        <v>#REF!</v>
      </c>
      <c r="V171" s="281"/>
      <c r="W171" s="123" t="s">
        <v>47</v>
      </c>
      <c r="X171" s="124"/>
    </row>
    <row r="172" spans="1:24" ht="18.75" customHeight="1">
      <c r="A172" s="117" t="s">
        <v>76</v>
      </c>
      <c r="B172" s="115" t="s">
        <v>41</v>
      </c>
      <c r="C172" s="118"/>
      <c r="D172" s="119"/>
      <c r="E172" s="120" t="s">
        <v>77</v>
      </c>
      <c r="F172" s="120"/>
      <c r="G172" s="120"/>
      <c r="H172" s="115" t="s">
        <v>41</v>
      </c>
      <c r="I172" s="281" t="e">
        <f>L169</f>
        <v>#REF!</v>
      </c>
      <c r="J172" s="281"/>
      <c r="K172" s="123" t="s">
        <v>47</v>
      </c>
      <c r="L172" s="124"/>
      <c r="M172" s="117" t="s">
        <v>76</v>
      </c>
      <c r="N172" s="115" t="s">
        <v>41</v>
      </c>
      <c r="O172" s="118"/>
      <c r="P172" s="119"/>
      <c r="Q172" s="120" t="s">
        <v>77</v>
      </c>
      <c r="R172" s="120"/>
      <c r="S172" s="120"/>
      <c r="T172" s="115" t="s">
        <v>41</v>
      </c>
      <c r="U172" s="281" t="e">
        <f>X169</f>
        <v>#REF!</v>
      </c>
      <c r="V172" s="281"/>
      <c r="W172" s="123" t="s">
        <v>47</v>
      </c>
      <c r="X172" s="124"/>
    </row>
    <row r="173" spans="1:24" ht="18.75" customHeight="1">
      <c r="A173" s="285" t="s">
        <v>78</v>
      </c>
      <c r="B173" s="286"/>
      <c r="C173" s="286"/>
      <c r="D173" s="286"/>
      <c r="E173" s="286"/>
      <c r="F173" s="286"/>
      <c r="G173" s="115" t="s">
        <v>41</v>
      </c>
      <c r="H173" s="287" t="e">
        <f>I160+I161+I162+I163+I164+I167+I171+I172+I170+I168</f>
        <v>#REF!</v>
      </c>
      <c r="I173" s="287"/>
      <c r="J173" s="287"/>
      <c r="K173" s="123" t="s">
        <v>47</v>
      </c>
      <c r="M173" s="285" t="s">
        <v>78</v>
      </c>
      <c r="N173" s="286"/>
      <c r="O173" s="286"/>
      <c r="P173" s="286"/>
      <c r="Q173" s="286"/>
      <c r="R173" s="286"/>
      <c r="S173" s="115" t="s">
        <v>41</v>
      </c>
      <c r="T173" s="287" t="e">
        <f>U160+U161+U162+U163+U164+U167+U171+U172+U170+U168</f>
        <v>#REF!</v>
      </c>
      <c r="U173" s="287"/>
      <c r="V173" s="287"/>
      <c r="W173" s="123" t="s">
        <v>47</v>
      </c>
    </row>
    <row r="174" spans="1:24" ht="18.75" customHeight="1">
      <c r="A174" s="130"/>
      <c r="B174" s="131"/>
      <c r="C174" s="131"/>
      <c r="D174" s="131"/>
      <c r="E174" s="131"/>
      <c r="F174" s="131"/>
      <c r="G174" s="131"/>
      <c r="H174" s="131"/>
      <c r="I174" s="131"/>
      <c r="J174" s="131"/>
      <c r="K174" s="132"/>
      <c r="M174" s="130"/>
      <c r="N174" s="131"/>
      <c r="O174" s="131"/>
      <c r="P174" s="131"/>
      <c r="Q174" s="131"/>
      <c r="R174" s="131"/>
      <c r="S174" s="131"/>
      <c r="T174" s="131"/>
      <c r="U174" s="131"/>
      <c r="V174" s="131"/>
      <c r="W174" s="132"/>
    </row>
    <row r="175" spans="1:24" ht="18.75" customHeight="1">
      <c r="A175" s="295" t="s">
        <v>79</v>
      </c>
      <c r="B175" s="296"/>
      <c r="C175" s="296"/>
      <c r="D175" s="296"/>
      <c r="E175" s="296"/>
      <c r="F175" s="296"/>
      <c r="G175" s="115"/>
      <c r="H175" s="115"/>
      <c r="I175" s="115"/>
      <c r="J175" s="115"/>
      <c r="K175" s="123"/>
      <c r="M175" s="295" t="s">
        <v>79</v>
      </c>
      <c r="N175" s="296"/>
      <c r="O175" s="296"/>
      <c r="P175" s="296"/>
      <c r="Q175" s="296"/>
      <c r="R175" s="296"/>
      <c r="S175" s="115"/>
      <c r="T175" s="115"/>
      <c r="U175" s="115"/>
      <c r="V175" s="115"/>
      <c r="W175" s="123"/>
    </row>
    <row r="176" spans="1:24" ht="18.75" customHeight="1">
      <c r="A176" s="289" t="s">
        <v>80</v>
      </c>
      <c r="B176" s="290"/>
      <c r="C176" s="290"/>
      <c r="D176" s="290"/>
      <c r="E176" s="290"/>
      <c r="F176" s="290"/>
      <c r="G176" s="115" t="s">
        <v>41</v>
      </c>
      <c r="H176" s="297" t="e">
        <f>IF(($L$1-(C160+C161+C162+C163))&gt;12,0,F157*8%)</f>
        <v>#REF!</v>
      </c>
      <c r="I176" s="297"/>
      <c r="J176" s="297"/>
      <c r="K176" s="123" t="s">
        <v>47</v>
      </c>
      <c r="M176" s="289" t="s">
        <v>80</v>
      </c>
      <c r="N176" s="290"/>
      <c r="O176" s="290"/>
      <c r="P176" s="290"/>
      <c r="Q176" s="290"/>
      <c r="R176" s="290"/>
      <c r="S176" s="115" t="s">
        <v>41</v>
      </c>
      <c r="T176" s="297" t="e">
        <f>IF(($L$1-(O160+O161+O162+O163))&gt;12,0,R157*8%)</f>
        <v>#REF!</v>
      </c>
      <c r="U176" s="297"/>
      <c r="V176" s="297"/>
      <c r="W176" s="123" t="s">
        <v>47</v>
      </c>
    </row>
    <row r="177" spans="1:24" ht="18.75" customHeight="1">
      <c r="A177" s="289" t="s">
        <v>81</v>
      </c>
      <c r="B177" s="290"/>
      <c r="C177" s="290"/>
      <c r="D177" s="290"/>
      <c r="E177" s="290"/>
      <c r="F177" s="290"/>
      <c r="G177" s="115" t="s">
        <v>41</v>
      </c>
      <c r="H177" s="291" t="e">
        <f>IF(($L$1-(C160+C161+C162+C163))&gt;12,0,F157*1.5%)</f>
        <v>#REF!</v>
      </c>
      <c r="I177" s="291"/>
      <c r="J177" s="291"/>
      <c r="K177" s="123" t="s">
        <v>47</v>
      </c>
      <c r="M177" s="289" t="s">
        <v>81</v>
      </c>
      <c r="N177" s="290"/>
      <c r="O177" s="290"/>
      <c r="P177" s="290"/>
      <c r="Q177" s="290"/>
      <c r="R177" s="290"/>
      <c r="S177" s="115" t="s">
        <v>41</v>
      </c>
      <c r="T177" s="291" t="e">
        <f>IF(($L$1-(O160+O161+O162+O163))&gt;12,0,R157*1.5%)</f>
        <v>#REF!</v>
      </c>
      <c r="U177" s="291"/>
      <c r="V177" s="291"/>
      <c r="W177" s="123" t="s">
        <v>47</v>
      </c>
    </row>
    <row r="178" spans="1:24" ht="18.75" customHeight="1">
      <c r="A178" s="289" t="s">
        <v>82</v>
      </c>
      <c r="B178" s="290"/>
      <c r="C178" s="290"/>
      <c r="D178" s="290"/>
      <c r="E178" s="290"/>
      <c r="F178" s="290"/>
      <c r="G178" s="115" t="s">
        <v>41</v>
      </c>
      <c r="H178" s="291" t="e">
        <f>IF(($L$1-(C160+C161+C162+C163))&gt;12,0,F157*1%)</f>
        <v>#REF!</v>
      </c>
      <c r="I178" s="291"/>
      <c r="J178" s="291"/>
      <c r="K178" s="123" t="s">
        <v>47</v>
      </c>
      <c r="M178" s="289" t="s">
        <v>82</v>
      </c>
      <c r="N178" s="290"/>
      <c r="O178" s="290"/>
      <c r="P178" s="290"/>
      <c r="Q178" s="290"/>
      <c r="R178" s="290"/>
      <c r="S178" s="115" t="s">
        <v>41</v>
      </c>
      <c r="T178" s="291" t="e">
        <f>IF(($L$1-(O160+O161+O162+O163))&gt;12,0,R157*1%)</f>
        <v>#REF!</v>
      </c>
      <c r="U178" s="291"/>
      <c r="V178" s="291"/>
      <c r="W178" s="123" t="s">
        <v>47</v>
      </c>
    </row>
    <row r="179" spans="1:24" ht="18.75" customHeight="1">
      <c r="A179" s="289" t="s">
        <v>83</v>
      </c>
      <c r="B179" s="290"/>
      <c r="C179" s="290"/>
      <c r="D179" s="290"/>
      <c r="E179" s="290"/>
      <c r="F179" s="290"/>
      <c r="G179" s="115" t="s">
        <v>41</v>
      </c>
      <c r="H179" s="291">
        <v>0</v>
      </c>
      <c r="I179" s="291"/>
      <c r="J179" s="291"/>
      <c r="K179" s="123" t="s">
        <v>47</v>
      </c>
      <c r="M179" s="289" t="s">
        <v>83</v>
      </c>
      <c r="N179" s="290"/>
      <c r="O179" s="290"/>
      <c r="P179" s="290"/>
      <c r="Q179" s="290"/>
      <c r="R179" s="290"/>
      <c r="S179" s="115" t="s">
        <v>41</v>
      </c>
      <c r="T179" s="291">
        <v>0</v>
      </c>
      <c r="U179" s="291"/>
      <c r="V179" s="291"/>
      <c r="W179" s="123" t="s">
        <v>47</v>
      </c>
    </row>
    <row r="180" spans="1:24" ht="18.75" customHeight="1">
      <c r="A180" s="292" t="s">
        <v>84</v>
      </c>
      <c r="B180" s="293"/>
      <c r="C180" s="293"/>
      <c r="D180" s="293"/>
      <c r="E180" s="293"/>
      <c r="F180" s="293"/>
      <c r="G180" s="115" t="s">
        <v>41</v>
      </c>
      <c r="H180" s="294" t="e">
        <f>SUM(H176:J179)</f>
        <v>#REF!</v>
      </c>
      <c r="I180" s="294"/>
      <c r="J180" s="294"/>
      <c r="K180" s="123" t="s">
        <v>47</v>
      </c>
      <c r="M180" s="292" t="s">
        <v>84</v>
      </c>
      <c r="N180" s="293"/>
      <c r="O180" s="293"/>
      <c r="P180" s="293"/>
      <c r="Q180" s="293"/>
      <c r="R180" s="293"/>
      <c r="S180" s="115" t="s">
        <v>41</v>
      </c>
      <c r="T180" s="294" t="e">
        <f>SUM(T176:V179)</f>
        <v>#REF!</v>
      </c>
      <c r="U180" s="294"/>
      <c r="V180" s="294"/>
      <c r="W180" s="123" t="s">
        <v>47</v>
      </c>
    </row>
    <row r="181" spans="1:24" ht="18.75" customHeight="1">
      <c r="A181" s="289" t="s">
        <v>85</v>
      </c>
      <c r="B181" s="290"/>
      <c r="C181" s="290"/>
      <c r="D181" s="290"/>
      <c r="E181" s="290"/>
      <c r="F181" s="290"/>
      <c r="G181" s="115" t="s">
        <v>41</v>
      </c>
      <c r="H181" s="301" t="e">
        <f>ROUND(H173-H180,-2)</f>
        <v>#REF!</v>
      </c>
      <c r="I181" s="301"/>
      <c r="J181" s="301"/>
      <c r="K181" s="123" t="s">
        <v>47</v>
      </c>
      <c r="M181" s="289" t="s">
        <v>85</v>
      </c>
      <c r="N181" s="290"/>
      <c r="O181" s="290"/>
      <c r="P181" s="290"/>
      <c r="Q181" s="290"/>
      <c r="R181" s="290"/>
      <c r="S181" s="115" t="s">
        <v>41</v>
      </c>
      <c r="T181" s="301" t="e">
        <f>ROUND(T173-T180,-2)</f>
        <v>#REF!</v>
      </c>
      <c r="U181" s="301"/>
      <c r="V181" s="301"/>
      <c r="W181" s="123" t="s">
        <v>47</v>
      </c>
    </row>
    <row r="182" spans="1:24" ht="18.75" customHeight="1">
      <c r="A182" s="133"/>
      <c r="B182" s="134"/>
      <c r="C182" s="134"/>
      <c r="D182" s="134"/>
      <c r="E182" s="134"/>
      <c r="F182" s="134"/>
      <c r="G182" s="134"/>
      <c r="H182" s="134"/>
      <c r="I182" s="134"/>
      <c r="J182" s="134"/>
      <c r="K182" s="135"/>
      <c r="M182" s="133"/>
      <c r="N182" s="134"/>
      <c r="O182" s="134"/>
      <c r="P182" s="134"/>
      <c r="Q182" s="134"/>
      <c r="R182" s="134"/>
      <c r="S182" s="134"/>
      <c r="T182" s="134"/>
      <c r="U182" s="134"/>
      <c r="V182" s="134"/>
      <c r="W182" s="135"/>
    </row>
    <row r="183" spans="1:24" ht="18.75" customHeight="1">
      <c r="A183" s="136"/>
      <c r="B183" s="115"/>
      <c r="C183" s="115"/>
      <c r="D183" s="115"/>
      <c r="E183" s="115"/>
      <c r="F183" s="115"/>
      <c r="G183" s="115"/>
      <c r="H183" s="115"/>
      <c r="I183" s="298" t="s">
        <v>86</v>
      </c>
      <c r="J183" s="298"/>
      <c r="K183" s="302"/>
      <c r="M183" s="136"/>
      <c r="N183" s="115"/>
      <c r="O183" s="115"/>
      <c r="P183" s="115"/>
      <c r="Q183" s="115"/>
      <c r="R183" s="115"/>
      <c r="S183" s="115"/>
      <c r="T183" s="115"/>
      <c r="U183" s="298" t="s">
        <v>86</v>
      </c>
      <c r="V183" s="298"/>
      <c r="W183" s="302"/>
    </row>
    <row r="184" spans="1:24" ht="18.75" customHeight="1">
      <c r="A184" s="136"/>
      <c r="B184" s="298"/>
      <c r="C184" s="298"/>
      <c r="D184" s="298"/>
      <c r="E184" s="298"/>
      <c r="F184" s="115"/>
      <c r="G184" s="115"/>
      <c r="H184" s="115"/>
      <c r="I184" s="115"/>
      <c r="J184" s="115"/>
      <c r="K184" s="116"/>
      <c r="M184" s="136"/>
      <c r="N184" s="298"/>
      <c r="O184" s="298"/>
      <c r="P184" s="298"/>
      <c r="Q184" s="298"/>
      <c r="R184" s="115"/>
      <c r="S184" s="115"/>
      <c r="T184" s="115"/>
      <c r="U184" s="115"/>
      <c r="V184" s="115"/>
      <c r="W184" s="116"/>
    </row>
    <row r="185" spans="1:24" ht="18.75" customHeight="1" thickBot="1">
      <c r="A185" s="137"/>
      <c r="B185" s="138"/>
      <c r="C185" s="138"/>
      <c r="D185" s="138"/>
      <c r="E185" s="138"/>
      <c r="F185" s="138"/>
      <c r="G185" s="138"/>
      <c r="H185" s="138"/>
      <c r="I185" s="299" t="s">
        <v>87</v>
      </c>
      <c r="J185" s="299"/>
      <c r="K185" s="300"/>
      <c r="M185" s="137"/>
      <c r="N185" s="138"/>
      <c r="O185" s="138"/>
      <c r="P185" s="138"/>
      <c r="Q185" s="138"/>
      <c r="R185" s="138"/>
      <c r="S185" s="138"/>
      <c r="T185" s="138"/>
      <c r="U185" s="299" t="s">
        <v>87</v>
      </c>
      <c r="V185" s="299"/>
      <c r="W185" s="300"/>
    </row>
    <row r="187" spans="1:24" ht="18.75" customHeight="1" thickTop="1">
      <c r="A187" s="274" t="s">
        <v>35</v>
      </c>
      <c r="B187" s="275"/>
      <c r="C187" s="275"/>
      <c r="D187" s="275"/>
      <c r="E187" s="275"/>
      <c r="F187" s="275"/>
      <c r="G187" s="275"/>
      <c r="H187" s="275"/>
      <c r="I187" s="275"/>
      <c r="J187" s="275"/>
      <c r="K187" s="276"/>
      <c r="L187" s="111">
        <v>25</v>
      </c>
      <c r="M187" s="274" t="s">
        <v>35</v>
      </c>
      <c r="N187" s="275"/>
      <c r="O187" s="275"/>
      <c r="P187" s="275"/>
      <c r="Q187" s="275"/>
      <c r="R187" s="275"/>
      <c r="S187" s="275"/>
      <c r="T187" s="275"/>
      <c r="U187" s="275"/>
      <c r="V187" s="275"/>
      <c r="W187" s="276"/>
      <c r="X187" s="111">
        <v>25</v>
      </c>
    </row>
    <row r="188" spans="1:24" ht="18.75" customHeight="1">
      <c r="A188" s="112" t="s">
        <v>106</v>
      </c>
      <c r="B188" s="113"/>
      <c r="C188" s="113"/>
      <c r="D188" s="113"/>
      <c r="E188" s="113"/>
      <c r="F188" s="113"/>
      <c r="G188" s="113"/>
      <c r="H188" s="113"/>
      <c r="I188" s="113"/>
      <c r="J188" s="113"/>
      <c r="K188" s="114"/>
      <c r="M188" s="112" t="s">
        <v>107</v>
      </c>
      <c r="N188" s="113"/>
      <c r="O188" s="113"/>
      <c r="P188" s="113"/>
      <c r="Q188" s="113"/>
      <c r="R188" s="113"/>
      <c r="S188" s="113"/>
      <c r="T188" s="113"/>
      <c r="U188" s="113"/>
      <c r="V188" s="113"/>
      <c r="W188" s="114"/>
    </row>
    <row r="189" spans="1:24" ht="18.75" customHeight="1">
      <c r="A189" s="277" t="s">
        <v>39</v>
      </c>
      <c r="B189" s="278"/>
      <c r="C189" s="278"/>
      <c r="D189" s="278"/>
      <c r="E189" s="278"/>
      <c r="F189" s="278"/>
      <c r="G189" s="278"/>
      <c r="H189" s="278"/>
      <c r="I189" s="278"/>
      <c r="J189" s="278"/>
      <c r="K189" s="279"/>
      <c r="M189" s="277" t="s">
        <v>39</v>
      </c>
      <c r="N189" s="278"/>
      <c r="O189" s="278"/>
      <c r="P189" s="278"/>
      <c r="Q189" s="278"/>
      <c r="R189" s="278"/>
      <c r="S189" s="278"/>
      <c r="T189" s="278"/>
      <c r="U189" s="278"/>
      <c r="V189" s="278"/>
      <c r="W189" s="279"/>
    </row>
    <row r="190" spans="1:24" ht="18.75" customHeight="1">
      <c r="A190" s="269" t="s">
        <v>40</v>
      </c>
      <c r="B190" s="270"/>
      <c r="C190" s="270"/>
      <c r="D190" s="270"/>
      <c r="E190" s="115" t="s">
        <v>41</v>
      </c>
      <c r="F190" s="271" t="s">
        <v>108</v>
      </c>
      <c r="G190" s="270"/>
      <c r="H190" s="270"/>
      <c r="I190" s="270"/>
      <c r="J190" s="270"/>
      <c r="K190" s="273"/>
      <c r="M190" s="269" t="s">
        <v>40</v>
      </c>
      <c r="N190" s="270"/>
      <c r="O190" s="270"/>
      <c r="P190" s="270"/>
      <c r="Q190" s="115" t="s">
        <v>41</v>
      </c>
      <c r="R190" s="271" t="s">
        <v>109</v>
      </c>
      <c r="S190" s="270"/>
      <c r="T190" s="270"/>
      <c r="U190" s="270"/>
      <c r="V190" s="270"/>
      <c r="W190" s="273"/>
    </row>
    <row r="191" spans="1:24" ht="18.75" customHeight="1">
      <c r="A191" s="269" t="s">
        <v>43</v>
      </c>
      <c r="B191" s="270"/>
      <c r="C191" s="270"/>
      <c r="D191" s="270"/>
      <c r="E191" s="115" t="s">
        <v>41</v>
      </c>
      <c r="F191" s="271">
        <v>50169</v>
      </c>
      <c r="G191" s="271"/>
      <c r="H191" s="271"/>
      <c r="I191" s="271"/>
      <c r="J191" s="271"/>
      <c r="K191" s="272"/>
      <c r="M191" s="269" t="s">
        <v>43</v>
      </c>
      <c r="N191" s="270"/>
      <c r="O191" s="270"/>
      <c r="P191" s="270"/>
      <c r="Q191" s="115" t="s">
        <v>41</v>
      </c>
      <c r="R191" s="271">
        <v>50175</v>
      </c>
      <c r="S191" s="271"/>
      <c r="T191" s="271"/>
      <c r="U191" s="271"/>
      <c r="V191" s="271"/>
      <c r="W191" s="272"/>
    </row>
    <row r="192" spans="1:24" ht="18.75" customHeight="1">
      <c r="A192" s="269" t="s">
        <v>44</v>
      </c>
      <c r="B192" s="270"/>
      <c r="C192" s="270"/>
      <c r="D192" s="270"/>
      <c r="E192" s="115" t="s">
        <v>41</v>
      </c>
      <c r="F192" s="270" t="str">
        <f>$L$2</f>
        <v>Gián tiếp</v>
      </c>
      <c r="G192" s="270"/>
      <c r="H192" s="270"/>
      <c r="I192" s="270"/>
      <c r="J192" s="270"/>
      <c r="K192" s="273"/>
      <c r="M192" s="269" t="s">
        <v>44</v>
      </c>
      <c r="N192" s="270"/>
      <c r="O192" s="270"/>
      <c r="P192" s="270"/>
      <c r="Q192" s="115" t="s">
        <v>41</v>
      </c>
      <c r="R192" s="270" t="str">
        <f>$L$2</f>
        <v>Gián tiếp</v>
      </c>
      <c r="S192" s="270"/>
      <c r="T192" s="270"/>
      <c r="U192" s="270"/>
      <c r="V192" s="270"/>
      <c r="W192" s="273"/>
    </row>
    <row r="193" spans="1:24" ht="18.75" customHeight="1">
      <c r="A193" s="277" t="s">
        <v>45</v>
      </c>
      <c r="B193" s="278"/>
      <c r="C193" s="278"/>
      <c r="D193" s="278"/>
      <c r="E193" s="278"/>
      <c r="F193" s="278"/>
      <c r="G193" s="278"/>
      <c r="H193" s="278"/>
      <c r="I193" s="278"/>
      <c r="J193" s="278"/>
      <c r="K193" s="279"/>
      <c r="M193" s="277" t="s">
        <v>45</v>
      </c>
      <c r="N193" s="278"/>
      <c r="O193" s="278"/>
      <c r="P193" s="278"/>
      <c r="Q193" s="278"/>
      <c r="R193" s="278"/>
      <c r="S193" s="278"/>
      <c r="T193" s="278"/>
      <c r="U193" s="278"/>
      <c r="V193" s="278"/>
      <c r="W193" s="279"/>
    </row>
    <row r="194" spans="1:24" ht="18.75" customHeight="1">
      <c r="A194" s="269" t="s">
        <v>46</v>
      </c>
      <c r="B194" s="270"/>
      <c r="C194" s="270"/>
      <c r="D194" s="270"/>
      <c r="E194" s="115" t="s">
        <v>41</v>
      </c>
      <c r="F194" s="284">
        <v>3671000</v>
      </c>
      <c r="G194" s="284"/>
      <c r="H194" s="284"/>
      <c r="I194" s="284"/>
      <c r="J194" s="115" t="s">
        <v>47</v>
      </c>
      <c r="K194" s="116"/>
      <c r="M194" s="269" t="s">
        <v>46</v>
      </c>
      <c r="N194" s="270"/>
      <c r="O194" s="270"/>
      <c r="P194" s="270"/>
      <c r="Q194" s="115" t="s">
        <v>41</v>
      </c>
      <c r="R194" s="284">
        <v>3876000</v>
      </c>
      <c r="S194" s="284"/>
      <c r="T194" s="284"/>
      <c r="U194" s="284"/>
      <c r="V194" s="115" t="s">
        <v>47</v>
      </c>
      <c r="W194" s="116"/>
    </row>
    <row r="195" spans="1:24" ht="18.75" customHeight="1">
      <c r="A195" s="117" t="s">
        <v>48</v>
      </c>
      <c r="B195" s="115"/>
      <c r="C195" s="118"/>
      <c r="D195" s="119"/>
      <c r="E195" s="120"/>
      <c r="F195" s="120"/>
      <c r="G195" s="120"/>
      <c r="H195" s="115"/>
      <c r="I195" s="121" t="e">
        <f>'[9]LUONG T7'!#REF!</f>
        <v>#REF!</v>
      </c>
      <c r="J195" s="122"/>
      <c r="K195" s="123"/>
      <c r="M195" s="117" t="s">
        <v>48</v>
      </c>
      <c r="N195" s="115"/>
      <c r="O195" s="118"/>
      <c r="P195" s="119"/>
      <c r="Q195" s="120"/>
      <c r="R195" s="120"/>
      <c r="S195" s="120"/>
      <c r="T195" s="115"/>
      <c r="U195" s="121" t="e">
        <f>'[9]LUONG T7'!#REF!</f>
        <v>#REF!</v>
      </c>
      <c r="V195" s="122"/>
      <c r="W195" s="123"/>
    </row>
    <row r="196" spans="1:24" ht="18.75" customHeight="1">
      <c r="A196" s="117" t="s">
        <v>49</v>
      </c>
      <c r="B196" s="115"/>
      <c r="C196" s="118"/>
      <c r="D196" s="119"/>
      <c r="E196" s="120"/>
      <c r="F196" s="120"/>
      <c r="G196" s="120"/>
      <c r="H196" s="115"/>
      <c r="I196" s="121" t="e">
        <f>I197/C197/8</f>
        <v>#REF!</v>
      </c>
      <c r="J196" s="122"/>
      <c r="K196" s="123"/>
      <c r="M196" s="117" t="s">
        <v>49</v>
      </c>
      <c r="N196" s="115"/>
      <c r="O196" s="118"/>
      <c r="P196" s="119"/>
      <c r="Q196" s="120"/>
      <c r="R196" s="120"/>
      <c r="S196" s="120"/>
      <c r="T196" s="115"/>
      <c r="U196" s="121" t="e">
        <f>U197/O197/8</f>
        <v>#REF!</v>
      </c>
      <c r="V196" s="122"/>
      <c r="W196" s="123"/>
    </row>
    <row r="197" spans="1:24" ht="18.75" customHeight="1">
      <c r="A197" s="117" t="s">
        <v>50</v>
      </c>
      <c r="B197" s="115" t="s">
        <v>41</v>
      </c>
      <c r="C197" s="118" t="e">
        <f>'[9]LUONG T7'!#REF!</f>
        <v>#REF!</v>
      </c>
      <c r="D197" s="119" t="s">
        <v>51</v>
      </c>
      <c r="E197" s="282" t="s">
        <v>52</v>
      </c>
      <c r="F197" s="282"/>
      <c r="G197" s="282"/>
      <c r="H197" s="115" t="s">
        <v>41</v>
      </c>
      <c r="I197" s="283" t="e">
        <f>'[9]LUONG T7'!#REF!</f>
        <v>#REF!</v>
      </c>
      <c r="J197" s="283"/>
      <c r="K197" s="123" t="s">
        <v>47</v>
      </c>
      <c r="L197" s="124" t="e">
        <f>F194/L187*C197</f>
        <v>#REF!</v>
      </c>
      <c r="M197" s="117" t="s">
        <v>50</v>
      </c>
      <c r="N197" s="115" t="s">
        <v>41</v>
      </c>
      <c r="O197" s="118" t="e">
        <f>'[9]LUONG T7'!#REF!</f>
        <v>#REF!</v>
      </c>
      <c r="P197" s="119" t="s">
        <v>51</v>
      </c>
      <c r="Q197" s="282" t="s">
        <v>52</v>
      </c>
      <c r="R197" s="282"/>
      <c r="S197" s="282"/>
      <c r="T197" s="115" t="s">
        <v>41</v>
      </c>
      <c r="U197" s="283" t="e">
        <f>'[9]LUONG T7'!#REF!</f>
        <v>#REF!</v>
      </c>
      <c r="V197" s="283"/>
      <c r="W197" s="123" t="s">
        <v>47</v>
      </c>
      <c r="X197" s="124" t="e">
        <f>R194/X187*O197</f>
        <v>#REF!</v>
      </c>
    </row>
    <row r="198" spans="1:24" ht="18.75" customHeight="1">
      <c r="A198" s="117" t="s">
        <v>53</v>
      </c>
      <c r="B198" s="115" t="s">
        <v>41</v>
      </c>
      <c r="C198" s="118" t="e">
        <f>'[9]LUONG T7'!#REF!</f>
        <v>#REF!</v>
      </c>
      <c r="D198" s="119" t="s">
        <v>51</v>
      </c>
      <c r="E198" s="270" t="s">
        <v>54</v>
      </c>
      <c r="F198" s="270"/>
      <c r="G198" s="270"/>
      <c r="H198" s="115" t="s">
        <v>41</v>
      </c>
      <c r="I198" s="281" t="e">
        <f>$F$8/$L$1*C198</f>
        <v>#REF!</v>
      </c>
      <c r="J198" s="281"/>
      <c r="K198" s="123" t="s">
        <v>47</v>
      </c>
      <c r="L198" s="124"/>
      <c r="M198" s="117" t="s">
        <v>53</v>
      </c>
      <c r="N198" s="115" t="s">
        <v>41</v>
      </c>
      <c r="O198" s="118" t="e">
        <f>'[9]LUONG T7'!#REF!</f>
        <v>#REF!</v>
      </c>
      <c r="P198" s="119" t="s">
        <v>51</v>
      </c>
      <c r="Q198" s="270" t="s">
        <v>54</v>
      </c>
      <c r="R198" s="270"/>
      <c r="S198" s="270"/>
      <c r="T198" s="115" t="s">
        <v>41</v>
      </c>
      <c r="U198" s="281" t="e">
        <f>$F$8/$L$1*O198</f>
        <v>#REF!</v>
      </c>
      <c r="V198" s="281"/>
      <c r="W198" s="123" t="s">
        <v>47</v>
      </c>
      <c r="X198" s="124"/>
    </row>
    <row r="199" spans="1:24" ht="18.75" customHeight="1">
      <c r="A199" s="117" t="s">
        <v>55</v>
      </c>
      <c r="B199" s="115" t="s">
        <v>41</v>
      </c>
      <c r="C199" s="118" t="e">
        <f>'[9]LUONG T7'!#REF!</f>
        <v>#REF!</v>
      </c>
      <c r="D199" s="119" t="s">
        <v>51</v>
      </c>
      <c r="E199" s="280" t="s">
        <v>56</v>
      </c>
      <c r="F199" s="280"/>
      <c r="G199" s="280"/>
      <c r="H199" s="115" t="s">
        <v>41</v>
      </c>
      <c r="I199" s="281" t="e">
        <f>F194/$L$1*C199</f>
        <v>#REF!</v>
      </c>
      <c r="J199" s="281"/>
      <c r="K199" s="123" t="s">
        <v>47</v>
      </c>
      <c r="L199" s="124"/>
      <c r="M199" s="117" t="s">
        <v>55</v>
      </c>
      <c r="N199" s="115" t="s">
        <v>41</v>
      </c>
      <c r="O199" s="118" t="e">
        <f>'[9]LUONG T7'!#REF!</f>
        <v>#REF!</v>
      </c>
      <c r="P199" s="119" t="s">
        <v>51</v>
      </c>
      <c r="Q199" s="280" t="s">
        <v>56</v>
      </c>
      <c r="R199" s="280"/>
      <c r="S199" s="280"/>
      <c r="T199" s="115" t="s">
        <v>41</v>
      </c>
      <c r="U199" s="281" t="e">
        <f>$F$8/$L$1*O199</f>
        <v>#REF!</v>
      </c>
      <c r="V199" s="281"/>
      <c r="W199" s="123" t="s">
        <v>47</v>
      </c>
      <c r="X199" s="124"/>
    </row>
    <row r="200" spans="1:24" ht="18.75" customHeight="1">
      <c r="A200" s="117" t="s">
        <v>57</v>
      </c>
      <c r="B200" s="115" t="s">
        <v>41</v>
      </c>
      <c r="C200" s="118" t="e">
        <f>'[9]LUONG T7'!#REF!</f>
        <v>#REF!</v>
      </c>
      <c r="D200" s="119" t="s">
        <v>51</v>
      </c>
      <c r="E200" s="280" t="s">
        <v>58</v>
      </c>
      <c r="F200" s="280"/>
      <c r="G200" s="280"/>
      <c r="H200" s="115" t="s">
        <v>41</v>
      </c>
      <c r="I200" s="281" t="e">
        <f>$F$8/$L$1*C200</f>
        <v>#REF!</v>
      </c>
      <c r="J200" s="281"/>
      <c r="K200" s="123" t="s">
        <v>47</v>
      </c>
      <c r="L200" s="124"/>
      <c r="M200" s="117" t="s">
        <v>57</v>
      </c>
      <c r="N200" s="115" t="s">
        <v>41</v>
      </c>
      <c r="O200" s="118" t="e">
        <f>'[9]LUONG T7'!#REF!</f>
        <v>#REF!</v>
      </c>
      <c r="P200" s="119" t="s">
        <v>51</v>
      </c>
      <c r="Q200" s="280" t="s">
        <v>58</v>
      </c>
      <c r="R200" s="280"/>
      <c r="S200" s="280"/>
      <c r="T200" s="115" t="s">
        <v>41</v>
      </c>
      <c r="U200" s="281" t="e">
        <f>$F$8/$L$1*O200</f>
        <v>#REF!</v>
      </c>
      <c r="V200" s="281"/>
      <c r="W200" s="123" t="s">
        <v>47</v>
      </c>
      <c r="X200" s="124"/>
    </row>
    <row r="201" spans="1:24" ht="18.75" customHeight="1">
      <c r="A201" s="117" t="s">
        <v>59</v>
      </c>
      <c r="B201" s="115" t="s">
        <v>41</v>
      </c>
      <c r="C201" s="118" t="e">
        <f>'[9]LUONG T7'!#REF!</f>
        <v>#REF!</v>
      </c>
      <c r="D201" s="119" t="s">
        <v>60</v>
      </c>
      <c r="E201" s="270" t="s">
        <v>61</v>
      </c>
      <c r="F201" s="270"/>
      <c r="G201" s="270"/>
      <c r="H201" s="115" t="s">
        <v>41</v>
      </c>
      <c r="I201" s="281" t="e">
        <f>'[9]LUONG T7'!#REF!</f>
        <v>#REF!</v>
      </c>
      <c r="J201" s="281"/>
      <c r="K201" s="123" t="s">
        <v>47</v>
      </c>
      <c r="L201" s="124" t="e">
        <f>F194*C201/L187/8*1.5</f>
        <v>#REF!</v>
      </c>
      <c r="M201" s="117" t="s">
        <v>59</v>
      </c>
      <c r="N201" s="115" t="s">
        <v>41</v>
      </c>
      <c r="O201" s="118" t="e">
        <f>'[9]LUONG T7'!#REF!</f>
        <v>#REF!</v>
      </c>
      <c r="P201" s="119" t="s">
        <v>60</v>
      </c>
      <c r="Q201" s="270" t="s">
        <v>61</v>
      </c>
      <c r="R201" s="270"/>
      <c r="S201" s="270"/>
      <c r="T201" s="115" t="s">
        <v>41</v>
      </c>
      <c r="U201" s="281" t="e">
        <f>'[9]LUONG T7'!#REF!</f>
        <v>#REF!</v>
      </c>
      <c r="V201" s="281"/>
      <c r="W201" s="123" t="s">
        <v>47</v>
      </c>
      <c r="X201" s="124" t="e">
        <f>R194*O201/X187/8*1.5</f>
        <v>#REF!</v>
      </c>
    </row>
    <row r="202" spans="1:24" ht="18.75" customHeight="1">
      <c r="A202" s="269" t="s">
        <v>62</v>
      </c>
      <c r="B202" s="270"/>
      <c r="C202" s="118"/>
      <c r="D202" s="119" t="s">
        <v>51</v>
      </c>
      <c r="E202" s="270" t="s">
        <v>63</v>
      </c>
      <c r="F202" s="270"/>
      <c r="G202" s="270"/>
      <c r="H202" s="125" t="s">
        <v>41</v>
      </c>
      <c r="I202" s="281"/>
      <c r="J202" s="281"/>
      <c r="K202" s="123" t="s">
        <v>47</v>
      </c>
      <c r="L202" s="124"/>
      <c r="M202" s="269" t="s">
        <v>62</v>
      </c>
      <c r="N202" s="270"/>
      <c r="O202" s="118"/>
      <c r="P202" s="119" t="s">
        <v>51</v>
      </c>
      <c r="Q202" s="270" t="s">
        <v>63</v>
      </c>
      <c r="R202" s="270"/>
      <c r="S202" s="270"/>
      <c r="T202" s="125" t="s">
        <v>41</v>
      </c>
      <c r="U202" s="281"/>
      <c r="V202" s="281"/>
      <c r="W202" s="123" t="s">
        <v>47</v>
      </c>
      <c r="X202" s="124"/>
    </row>
    <row r="203" spans="1:24" ht="18.75" customHeight="1">
      <c r="A203" s="117" t="s">
        <v>64</v>
      </c>
      <c r="B203" s="115" t="s">
        <v>41</v>
      </c>
      <c r="C203" s="118"/>
      <c r="D203" s="119" t="s">
        <v>51</v>
      </c>
      <c r="E203" s="270" t="s">
        <v>65</v>
      </c>
      <c r="F203" s="270"/>
      <c r="G203" s="270"/>
      <c r="H203" s="115" t="s">
        <v>41</v>
      </c>
      <c r="I203" s="281"/>
      <c r="J203" s="281"/>
      <c r="K203" s="123" t="s">
        <v>47</v>
      </c>
      <c r="L203" s="124"/>
      <c r="M203" s="117" t="s">
        <v>64</v>
      </c>
      <c r="N203" s="115" t="s">
        <v>41</v>
      </c>
      <c r="O203" s="118"/>
      <c r="P203" s="119" t="s">
        <v>51</v>
      </c>
      <c r="Q203" s="270" t="s">
        <v>65</v>
      </c>
      <c r="R203" s="270"/>
      <c r="S203" s="270"/>
      <c r="T203" s="115" t="s">
        <v>41</v>
      </c>
      <c r="U203" s="281"/>
      <c r="V203" s="281"/>
      <c r="W203" s="123" t="s">
        <v>47</v>
      </c>
      <c r="X203" s="124"/>
    </row>
    <row r="204" spans="1:24" ht="18.75" customHeight="1">
      <c r="A204" s="126" t="s">
        <v>66</v>
      </c>
      <c r="B204" s="115"/>
      <c r="C204" s="118" t="e">
        <f>'[9]LUONG T7'!#REF!</f>
        <v>#REF!</v>
      </c>
      <c r="D204" s="119" t="s">
        <v>60</v>
      </c>
      <c r="E204" s="270" t="s">
        <v>67</v>
      </c>
      <c r="F204" s="270"/>
      <c r="G204" s="270"/>
      <c r="H204" s="115" t="s">
        <v>41</v>
      </c>
      <c r="I204" s="281" t="e">
        <f>$F$8*C204/8/$L$1</f>
        <v>#REF!</v>
      </c>
      <c r="J204" s="281"/>
      <c r="K204" s="123" t="s">
        <v>47</v>
      </c>
      <c r="L204" s="124"/>
      <c r="M204" s="126" t="s">
        <v>66</v>
      </c>
      <c r="N204" s="115"/>
      <c r="O204" s="118" t="e">
        <f>'[9]LUONG T7'!#REF!</f>
        <v>#REF!</v>
      </c>
      <c r="P204" s="119" t="s">
        <v>60</v>
      </c>
      <c r="Q204" s="270" t="s">
        <v>67</v>
      </c>
      <c r="R204" s="270"/>
      <c r="S204" s="270"/>
      <c r="T204" s="115" t="s">
        <v>41</v>
      </c>
      <c r="U204" s="281" t="e">
        <f>$F$8*O204/8/$L$1</f>
        <v>#REF!</v>
      </c>
      <c r="V204" s="281"/>
      <c r="W204" s="123" t="s">
        <v>47</v>
      </c>
      <c r="X204" s="124"/>
    </row>
    <row r="205" spans="1:24" ht="18.75" customHeight="1">
      <c r="A205" s="117" t="s">
        <v>97</v>
      </c>
      <c r="B205" s="115" t="s">
        <v>41</v>
      </c>
      <c r="C205" s="118"/>
      <c r="D205" s="119" t="s">
        <v>60</v>
      </c>
      <c r="E205" s="270" t="s">
        <v>105</v>
      </c>
      <c r="F205" s="270"/>
      <c r="G205" s="270"/>
      <c r="H205" s="115" t="s">
        <v>41</v>
      </c>
      <c r="I205" s="283">
        <v>240000</v>
      </c>
      <c r="J205" s="283"/>
      <c r="K205" s="123" t="s">
        <v>47</v>
      </c>
      <c r="L205" s="124"/>
      <c r="M205" s="117" t="s">
        <v>97</v>
      </c>
      <c r="N205" s="115" t="s">
        <v>41</v>
      </c>
      <c r="O205" s="118"/>
      <c r="P205" s="119" t="s">
        <v>60</v>
      </c>
      <c r="Q205" s="270" t="s">
        <v>105</v>
      </c>
      <c r="R205" s="270"/>
      <c r="S205" s="270"/>
      <c r="T205" s="115" t="s">
        <v>41</v>
      </c>
      <c r="U205" s="283">
        <v>324000</v>
      </c>
      <c r="V205" s="283"/>
      <c r="W205" s="123" t="s">
        <v>47</v>
      </c>
      <c r="X205" s="124"/>
    </row>
    <row r="206" spans="1:24" ht="18.75" customHeight="1">
      <c r="A206" s="117" t="s">
        <v>70</v>
      </c>
      <c r="B206" s="115" t="s">
        <v>41</v>
      </c>
      <c r="C206" s="118"/>
      <c r="D206" s="119" t="s">
        <v>71</v>
      </c>
      <c r="E206" s="127" t="s">
        <v>72</v>
      </c>
      <c r="F206" s="127"/>
      <c r="G206" s="127"/>
      <c r="H206" s="115" t="s">
        <v>41</v>
      </c>
      <c r="I206" s="281"/>
      <c r="J206" s="281"/>
      <c r="K206" s="123" t="s">
        <v>47</v>
      </c>
      <c r="L206" s="124" t="e">
        <f>+IF(L197-I197&lt;0,0,L197-I197)+IF(L201-I201&lt;0,0,L201-I201)</f>
        <v>#REF!</v>
      </c>
      <c r="M206" s="117" t="s">
        <v>70</v>
      </c>
      <c r="N206" s="115" t="s">
        <v>41</v>
      </c>
      <c r="O206" s="118"/>
      <c r="P206" s="119" t="s">
        <v>71</v>
      </c>
      <c r="Q206" s="127" t="s">
        <v>72</v>
      </c>
      <c r="R206" s="127"/>
      <c r="S206" s="127"/>
      <c r="T206" s="115" t="s">
        <v>41</v>
      </c>
      <c r="U206" s="281"/>
      <c r="V206" s="281"/>
      <c r="W206" s="123" t="s">
        <v>47</v>
      </c>
      <c r="X206" s="124" t="e">
        <f>+IF(X197-U197&lt;0,0,X197-U197)+IF(X201-U201&lt;0,0,X201-U201)</f>
        <v>#REF!</v>
      </c>
    </row>
    <row r="207" spans="1:24" ht="18.75" customHeight="1">
      <c r="A207" s="128" t="s">
        <v>73</v>
      </c>
      <c r="B207" s="129"/>
      <c r="C207" s="118"/>
      <c r="D207" s="119" t="s">
        <v>51</v>
      </c>
      <c r="E207" s="270" t="s">
        <v>74</v>
      </c>
      <c r="F207" s="270"/>
      <c r="G207" s="270"/>
      <c r="H207" s="115" t="s">
        <v>41</v>
      </c>
      <c r="I207" s="281">
        <v>324000</v>
      </c>
      <c r="J207" s="281"/>
      <c r="K207" s="123" t="s">
        <v>47</v>
      </c>
      <c r="L207" s="124"/>
      <c r="M207" s="128" t="s">
        <v>73</v>
      </c>
      <c r="N207" s="129"/>
      <c r="O207" s="118"/>
      <c r="P207" s="119" t="s">
        <v>51</v>
      </c>
      <c r="Q207" s="270" t="s">
        <v>74</v>
      </c>
      <c r="R207" s="270"/>
      <c r="S207" s="270"/>
      <c r="T207" s="115" t="s">
        <v>41</v>
      </c>
      <c r="U207" s="281"/>
      <c r="V207" s="281"/>
      <c r="W207" s="123" t="s">
        <v>47</v>
      </c>
      <c r="X207" s="124"/>
    </row>
    <row r="208" spans="1:24" ht="18.75" customHeight="1">
      <c r="A208" s="288" t="s">
        <v>75</v>
      </c>
      <c r="B208" s="282"/>
      <c r="C208" s="118"/>
      <c r="D208" s="119"/>
      <c r="E208" s="120"/>
      <c r="F208" s="120"/>
      <c r="G208" s="120"/>
      <c r="H208" s="115" t="s">
        <v>41</v>
      </c>
      <c r="I208" s="281" t="e">
        <f>'[9]LUONG T7'!#REF!</f>
        <v>#REF!</v>
      </c>
      <c r="J208" s="281"/>
      <c r="K208" s="123" t="s">
        <v>47</v>
      </c>
      <c r="L208" s="124"/>
      <c r="M208" s="288" t="s">
        <v>75</v>
      </c>
      <c r="N208" s="282"/>
      <c r="O208" s="118"/>
      <c r="P208" s="119"/>
      <c r="Q208" s="120"/>
      <c r="R208" s="120"/>
      <c r="S208" s="120"/>
      <c r="T208" s="115" t="s">
        <v>41</v>
      </c>
      <c r="U208" s="281" t="e">
        <f>'[9]LUONG T7'!#REF!</f>
        <v>#REF!</v>
      </c>
      <c r="V208" s="281"/>
      <c r="W208" s="123" t="s">
        <v>47</v>
      </c>
      <c r="X208" s="124"/>
    </row>
    <row r="209" spans="1:24" ht="18.75" customHeight="1">
      <c r="A209" s="117" t="s">
        <v>76</v>
      </c>
      <c r="B209" s="115" t="s">
        <v>41</v>
      </c>
      <c r="C209" s="118"/>
      <c r="D209" s="119"/>
      <c r="E209" s="120" t="s">
        <v>77</v>
      </c>
      <c r="F209" s="120"/>
      <c r="G209" s="120"/>
      <c r="H209" s="115" t="s">
        <v>41</v>
      </c>
      <c r="I209" s="281" t="e">
        <f>L206</f>
        <v>#REF!</v>
      </c>
      <c r="J209" s="281"/>
      <c r="K209" s="123" t="s">
        <v>47</v>
      </c>
      <c r="L209" s="124"/>
      <c r="M209" s="117" t="s">
        <v>76</v>
      </c>
      <c r="N209" s="115" t="s">
        <v>41</v>
      </c>
      <c r="O209" s="118"/>
      <c r="P209" s="119"/>
      <c r="Q209" s="120" t="s">
        <v>77</v>
      </c>
      <c r="R209" s="120"/>
      <c r="S209" s="120"/>
      <c r="T209" s="115" t="s">
        <v>41</v>
      </c>
      <c r="U209" s="281" t="e">
        <f>X206</f>
        <v>#REF!</v>
      </c>
      <c r="V209" s="281"/>
      <c r="W209" s="123" t="s">
        <v>47</v>
      </c>
      <c r="X209" s="124"/>
    </row>
    <row r="210" spans="1:24" ht="18.75" customHeight="1">
      <c r="A210" s="285" t="s">
        <v>78</v>
      </c>
      <c r="B210" s="286"/>
      <c r="C210" s="286"/>
      <c r="D210" s="286"/>
      <c r="E210" s="286"/>
      <c r="F210" s="286"/>
      <c r="G210" s="115" t="s">
        <v>41</v>
      </c>
      <c r="H210" s="287" t="e">
        <f>I197+I198+I199+I200+I201+I204+I208+I209+I207+I205</f>
        <v>#REF!</v>
      </c>
      <c r="I210" s="287"/>
      <c r="J210" s="287"/>
      <c r="K210" s="123" t="s">
        <v>47</v>
      </c>
      <c r="M210" s="285" t="s">
        <v>78</v>
      </c>
      <c r="N210" s="286"/>
      <c r="O210" s="286"/>
      <c r="P210" s="286"/>
      <c r="Q210" s="286"/>
      <c r="R210" s="286"/>
      <c r="S210" s="115" t="s">
        <v>41</v>
      </c>
      <c r="T210" s="287" t="e">
        <f>U197+U198+U199+U200+U201+U204+U208+U209+U207+U205</f>
        <v>#REF!</v>
      </c>
      <c r="U210" s="287"/>
      <c r="V210" s="287"/>
      <c r="W210" s="123" t="s">
        <v>47</v>
      </c>
    </row>
    <row r="211" spans="1:24" ht="18.75" customHeight="1">
      <c r="A211" s="130"/>
      <c r="B211" s="131"/>
      <c r="C211" s="131"/>
      <c r="D211" s="131"/>
      <c r="E211" s="131"/>
      <c r="F211" s="131"/>
      <c r="G211" s="131"/>
      <c r="H211" s="131"/>
      <c r="I211" s="131"/>
      <c r="J211" s="131"/>
      <c r="K211" s="132"/>
      <c r="M211" s="130"/>
      <c r="N211" s="131"/>
      <c r="O211" s="131"/>
      <c r="P211" s="131"/>
      <c r="Q211" s="131"/>
      <c r="R211" s="131"/>
      <c r="S211" s="131"/>
      <c r="T211" s="131"/>
      <c r="U211" s="131"/>
      <c r="V211" s="131"/>
      <c r="W211" s="132"/>
    </row>
    <row r="212" spans="1:24" ht="18.75" customHeight="1">
      <c r="A212" s="295" t="s">
        <v>79</v>
      </c>
      <c r="B212" s="296"/>
      <c r="C212" s="296"/>
      <c r="D212" s="296"/>
      <c r="E212" s="296"/>
      <c r="F212" s="296"/>
      <c r="G212" s="115"/>
      <c r="H212" s="115"/>
      <c r="I212" s="115"/>
      <c r="J212" s="115"/>
      <c r="K212" s="123"/>
      <c r="M212" s="295" t="s">
        <v>79</v>
      </c>
      <c r="N212" s="296"/>
      <c r="O212" s="296"/>
      <c r="P212" s="296"/>
      <c r="Q212" s="296"/>
      <c r="R212" s="296"/>
      <c r="S212" s="115"/>
      <c r="T212" s="115"/>
      <c r="U212" s="115"/>
      <c r="V212" s="115"/>
      <c r="W212" s="123"/>
    </row>
    <row r="213" spans="1:24" ht="18.75" customHeight="1">
      <c r="A213" s="289" t="s">
        <v>80</v>
      </c>
      <c r="B213" s="290"/>
      <c r="C213" s="290"/>
      <c r="D213" s="290"/>
      <c r="E213" s="290"/>
      <c r="F213" s="290"/>
      <c r="G213" s="115" t="s">
        <v>41</v>
      </c>
      <c r="H213" s="297" t="e">
        <f>IF(($L$1-(C197+C198+C199+C200))&gt;12,0,F194*8%)</f>
        <v>#REF!</v>
      </c>
      <c r="I213" s="297"/>
      <c r="J213" s="297"/>
      <c r="K213" s="123" t="s">
        <v>47</v>
      </c>
      <c r="M213" s="289" t="s">
        <v>80</v>
      </c>
      <c r="N213" s="290"/>
      <c r="O213" s="290"/>
      <c r="P213" s="290"/>
      <c r="Q213" s="290"/>
      <c r="R213" s="290"/>
      <c r="S213" s="115" t="s">
        <v>41</v>
      </c>
      <c r="T213" s="297" t="e">
        <f>IF(($L$1-(O197+O198+O199+O200))&gt;12,0,R194*8%)</f>
        <v>#REF!</v>
      </c>
      <c r="U213" s="297"/>
      <c r="V213" s="297"/>
      <c r="W213" s="123" t="s">
        <v>47</v>
      </c>
    </row>
    <row r="214" spans="1:24" ht="18.75" customHeight="1">
      <c r="A214" s="289" t="s">
        <v>81</v>
      </c>
      <c r="B214" s="290"/>
      <c r="C214" s="290"/>
      <c r="D214" s="290"/>
      <c r="E214" s="290"/>
      <c r="F214" s="290"/>
      <c r="G214" s="115" t="s">
        <v>41</v>
      </c>
      <c r="H214" s="291" t="e">
        <f>IF(($L$1-(C197+C198+C199+C200))&gt;12,0,F194*1.5%)</f>
        <v>#REF!</v>
      </c>
      <c r="I214" s="291"/>
      <c r="J214" s="291"/>
      <c r="K214" s="123" t="s">
        <v>47</v>
      </c>
      <c r="M214" s="289" t="s">
        <v>81</v>
      </c>
      <c r="N214" s="290"/>
      <c r="O214" s="290"/>
      <c r="P214" s="290"/>
      <c r="Q214" s="290"/>
      <c r="R214" s="290"/>
      <c r="S214" s="115" t="s">
        <v>41</v>
      </c>
      <c r="T214" s="291" t="e">
        <f>IF(($L$1-(O197+O198+O199+O200))&gt;12,0,R194*1.5%)</f>
        <v>#REF!</v>
      </c>
      <c r="U214" s="291"/>
      <c r="V214" s="291"/>
      <c r="W214" s="123" t="s">
        <v>47</v>
      </c>
    </row>
    <row r="215" spans="1:24" ht="18.75" customHeight="1">
      <c r="A215" s="289" t="s">
        <v>82</v>
      </c>
      <c r="B215" s="290"/>
      <c r="C215" s="290"/>
      <c r="D215" s="290"/>
      <c r="E215" s="290"/>
      <c r="F215" s="290"/>
      <c r="G215" s="115" t="s">
        <v>41</v>
      </c>
      <c r="H215" s="291" t="e">
        <f>IF(($L$1-(C197+C198+C199+C200))&gt;12,0,F194*1%)</f>
        <v>#REF!</v>
      </c>
      <c r="I215" s="291"/>
      <c r="J215" s="291"/>
      <c r="K215" s="123" t="s">
        <v>47</v>
      </c>
      <c r="M215" s="289" t="s">
        <v>82</v>
      </c>
      <c r="N215" s="290"/>
      <c r="O215" s="290"/>
      <c r="P215" s="290"/>
      <c r="Q215" s="290"/>
      <c r="R215" s="290"/>
      <c r="S215" s="115" t="s">
        <v>41</v>
      </c>
      <c r="T215" s="291" t="e">
        <f>IF(($L$1-(O197+O198+O199+O200))&gt;12,0,R194*1%)</f>
        <v>#REF!</v>
      </c>
      <c r="U215" s="291"/>
      <c r="V215" s="291"/>
      <c r="W215" s="123" t="s">
        <v>47</v>
      </c>
    </row>
    <row r="216" spans="1:24" ht="18.75" customHeight="1">
      <c r="A216" s="289" t="s">
        <v>83</v>
      </c>
      <c r="B216" s="290"/>
      <c r="C216" s="290"/>
      <c r="D216" s="290"/>
      <c r="E216" s="290"/>
      <c r="F216" s="290"/>
      <c r="G216" s="115" t="s">
        <v>41</v>
      </c>
      <c r="H216" s="291">
        <v>0</v>
      </c>
      <c r="I216" s="291"/>
      <c r="J216" s="291"/>
      <c r="K216" s="123" t="s">
        <v>47</v>
      </c>
      <c r="M216" s="289" t="s">
        <v>83</v>
      </c>
      <c r="N216" s="290"/>
      <c r="O216" s="290"/>
      <c r="P216" s="290"/>
      <c r="Q216" s="290"/>
      <c r="R216" s="290"/>
      <c r="S216" s="115" t="s">
        <v>41</v>
      </c>
      <c r="T216" s="291">
        <v>0</v>
      </c>
      <c r="U216" s="291"/>
      <c r="V216" s="291"/>
      <c r="W216" s="123" t="s">
        <v>47</v>
      </c>
    </row>
    <row r="217" spans="1:24" ht="18.75" customHeight="1">
      <c r="A217" s="292" t="s">
        <v>84</v>
      </c>
      <c r="B217" s="293"/>
      <c r="C217" s="293"/>
      <c r="D217" s="293"/>
      <c r="E217" s="293"/>
      <c r="F217" s="293"/>
      <c r="G217" s="115" t="s">
        <v>41</v>
      </c>
      <c r="H217" s="294" t="e">
        <f>SUM(H213:J216)</f>
        <v>#REF!</v>
      </c>
      <c r="I217" s="294"/>
      <c r="J217" s="294"/>
      <c r="K217" s="123" t="s">
        <v>47</v>
      </c>
      <c r="M217" s="292" t="s">
        <v>84</v>
      </c>
      <c r="N217" s="293"/>
      <c r="O217" s="293"/>
      <c r="P217" s="293"/>
      <c r="Q217" s="293"/>
      <c r="R217" s="293"/>
      <c r="S217" s="115" t="s">
        <v>41</v>
      </c>
      <c r="T217" s="294" t="e">
        <f>SUM(T213:V216)</f>
        <v>#REF!</v>
      </c>
      <c r="U217" s="294"/>
      <c r="V217" s="294"/>
      <c r="W217" s="123" t="s">
        <v>47</v>
      </c>
    </row>
    <row r="218" spans="1:24" ht="18.75" customHeight="1">
      <c r="A218" s="289" t="s">
        <v>85</v>
      </c>
      <c r="B218" s="290"/>
      <c r="C218" s="290"/>
      <c r="D218" s="290"/>
      <c r="E218" s="290"/>
      <c r="F218" s="290"/>
      <c r="G218" s="115" t="s">
        <v>41</v>
      </c>
      <c r="H218" s="301" t="e">
        <f>ROUND(H210-H217,-2)</f>
        <v>#REF!</v>
      </c>
      <c r="I218" s="301"/>
      <c r="J218" s="301"/>
      <c r="K218" s="123" t="s">
        <v>47</v>
      </c>
      <c r="M218" s="289" t="s">
        <v>85</v>
      </c>
      <c r="N218" s="290"/>
      <c r="O218" s="290"/>
      <c r="P218" s="290"/>
      <c r="Q218" s="290"/>
      <c r="R218" s="290"/>
      <c r="S218" s="115" t="s">
        <v>41</v>
      </c>
      <c r="T218" s="301" t="e">
        <f>ROUND(T210-T217,-2)</f>
        <v>#REF!</v>
      </c>
      <c r="U218" s="301"/>
      <c r="V218" s="301"/>
      <c r="W218" s="123" t="s">
        <v>47</v>
      </c>
    </row>
    <row r="219" spans="1:24" ht="18.75" customHeight="1">
      <c r="A219" s="133"/>
      <c r="B219" s="134"/>
      <c r="C219" s="134"/>
      <c r="D219" s="134"/>
      <c r="E219" s="134"/>
      <c r="F219" s="134"/>
      <c r="G219" s="134"/>
      <c r="H219" s="134"/>
      <c r="I219" s="134"/>
      <c r="J219" s="134"/>
      <c r="K219" s="135"/>
      <c r="M219" s="133"/>
      <c r="N219" s="134"/>
      <c r="O219" s="134"/>
      <c r="P219" s="134"/>
      <c r="Q219" s="134"/>
      <c r="R219" s="134"/>
      <c r="S219" s="134"/>
      <c r="T219" s="134"/>
      <c r="U219" s="134"/>
      <c r="V219" s="134"/>
      <c r="W219" s="135"/>
    </row>
    <row r="220" spans="1:24" ht="18.75" customHeight="1">
      <c r="A220" s="136"/>
      <c r="B220" s="115"/>
      <c r="C220" s="115"/>
      <c r="D220" s="115"/>
      <c r="E220" s="115"/>
      <c r="F220" s="115"/>
      <c r="G220" s="115"/>
      <c r="H220" s="115"/>
      <c r="I220" s="298" t="s">
        <v>86</v>
      </c>
      <c r="J220" s="298"/>
      <c r="K220" s="302"/>
      <c r="M220" s="136"/>
      <c r="N220" s="115"/>
      <c r="O220" s="115"/>
      <c r="P220" s="115"/>
      <c r="Q220" s="115"/>
      <c r="R220" s="115"/>
      <c r="S220" s="115"/>
      <c r="T220" s="115"/>
      <c r="U220" s="298" t="s">
        <v>86</v>
      </c>
      <c r="V220" s="298"/>
      <c r="W220" s="302"/>
    </row>
    <row r="221" spans="1:24" ht="18.75" customHeight="1">
      <c r="A221" s="136"/>
      <c r="B221" s="298"/>
      <c r="C221" s="298"/>
      <c r="D221" s="298"/>
      <c r="E221" s="298"/>
      <c r="F221" s="115"/>
      <c r="G221" s="115"/>
      <c r="H221" s="115"/>
      <c r="I221" s="115"/>
      <c r="J221" s="115"/>
      <c r="K221" s="116"/>
      <c r="M221" s="136"/>
      <c r="N221" s="298"/>
      <c r="O221" s="298"/>
      <c r="P221" s="298"/>
      <c r="Q221" s="298"/>
      <c r="R221" s="115"/>
      <c r="S221" s="115"/>
      <c r="T221" s="115"/>
      <c r="U221" s="115"/>
      <c r="V221" s="115"/>
      <c r="W221" s="116"/>
    </row>
    <row r="222" spans="1:24" ht="18.75" customHeight="1" thickBot="1">
      <c r="A222" s="137"/>
      <c r="B222" s="138"/>
      <c r="C222" s="138"/>
      <c r="D222" s="138"/>
      <c r="E222" s="138"/>
      <c r="F222" s="138"/>
      <c r="G222" s="138"/>
      <c r="H222" s="138"/>
      <c r="I222" s="299" t="s">
        <v>87</v>
      </c>
      <c r="J222" s="299"/>
      <c r="K222" s="300"/>
      <c r="M222" s="137"/>
      <c r="N222" s="138"/>
      <c r="O222" s="138"/>
      <c r="P222" s="138"/>
      <c r="Q222" s="138"/>
      <c r="R222" s="138"/>
      <c r="S222" s="138"/>
      <c r="T222" s="138"/>
      <c r="U222" s="299" t="s">
        <v>87</v>
      </c>
      <c r="V222" s="299"/>
      <c r="W222" s="300"/>
    </row>
    <row r="224" spans="1:24" ht="18.75" customHeight="1" thickTop="1">
      <c r="A224" s="274" t="s">
        <v>35</v>
      </c>
      <c r="B224" s="275"/>
      <c r="C224" s="275"/>
      <c r="D224" s="275"/>
      <c r="E224" s="275"/>
      <c r="F224" s="275"/>
      <c r="G224" s="275"/>
      <c r="H224" s="275"/>
      <c r="I224" s="275"/>
      <c r="J224" s="275"/>
      <c r="K224" s="276"/>
      <c r="L224" s="111">
        <v>25</v>
      </c>
      <c r="M224" s="274" t="s">
        <v>35</v>
      </c>
      <c r="N224" s="275"/>
      <c r="O224" s="275"/>
      <c r="P224" s="275"/>
      <c r="Q224" s="275"/>
      <c r="R224" s="275"/>
      <c r="S224" s="275"/>
      <c r="T224" s="275"/>
      <c r="U224" s="275"/>
      <c r="V224" s="275"/>
      <c r="W224" s="276"/>
      <c r="X224" s="111">
        <v>25</v>
      </c>
    </row>
    <row r="225" spans="1:24" ht="18.75" customHeight="1">
      <c r="A225" s="112" t="s">
        <v>110</v>
      </c>
      <c r="B225" s="113"/>
      <c r="C225" s="113"/>
      <c r="D225" s="113"/>
      <c r="E225" s="113"/>
      <c r="F225" s="113"/>
      <c r="G225" s="113"/>
      <c r="H225" s="113"/>
      <c r="I225" s="113"/>
      <c r="J225" s="113"/>
      <c r="K225" s="114"/>
      <c r="M225" s="112" t="s">
        <v>111</v>
      </c>
      <c r="N225" s="113"/>
      <c r="O225" s="113"/>
      <c r="P225" s="113"/>
      <c r="Q225" s="113"/>
      <c r="R225" s="113"/>
      <c r="S225" s="113"/>
      <c r="T225" s="113"/>
      <c r="U225" s="113"/>
      <c r="V225" s="113"/>
      <c r="W225" s="114"/>
    </row>
    <row r="226" spans="1:24" ht="18.75" customHeight="1">
      <c r="A226" s="277" t="s">
        <v>39</v>
      </c>
      <c r="B226" s="278"/>
      <c r="C226" s="278"/>
      <c r="D226" s="278"/>
      <c r="E226" s="278"/>
      <c r="F226" s="278"/>
      <c r="G226" s="278"/>
      <c r="H226" s="278"/>
      <c r="I226" s="278"/>
      <c r="J226" s="278"/>
      <c r="K226" s="279"/>
      <c r="M226" s="277" t="s">
        <v>39</v>
      </c>
      <c r="N226" s="278"/>
      <c r="O226" s="278"/>
      <c r="P226" s="278"/>
      <c r="Q226" s="278"/>
      <c r="R226" s="278"/>
      <c r="S226" s="278"/>
      <c r="T226" s="278"/>
      <c r="U226" s="278"/>
      <c r="V226" s="278"/>
      <c r="W226" s="279"/>
    </row>
    <row r="227" spans="1:24" ht="18.75" customHeight="1">
      <c r="A227" s="269" t="s">
        <v>40</v>
      </c>
      <c r="B227" s="270"/>
      <c r="C227" s="270"/>
      <c r="D227" s="270"/>
      <c r="E227" s="115" t="s">
        <v>41</v>
      </c>
      <c r="F227" s="271" t="s">
        <v>112</v>
      </c>
      <c r="G227" s="270"/>
      <c r="H227" s="270"/>
      <c r="I227" s="270"/>
      <c r="J227" s="270"/>
      <c r="K227" s="273"/>
      <c r="M227" s="269" t="s">
        <v>40</v>
      </c>
      <c r="N227" s="270"/>
      <c r="O227" s="270"/>
      <c r="P227" s="270"/>
      <c r="Q227" s="115" t="s">
        <v>41</v>
      </c>
      <c r="R227" s="271" t="s">
        <v>113</v>
      </c>
      <c r="S227" s="270"/>
      <c r="T227" s="270"/>
      <c r="U227" s="270"/>
      <c r="V227" s="270"/>
      <c r="W227" s="273"/>
    </row>
    <row r="228" spans="1:24" ht="18.75" customHeight="1">
      <c r="A228" s="269" t="s">
        <v>43</v>
      </c>
      <c r="B228" s="270"/>
      <c r="C228" s="270"/>
      <c r="D228" s="270"/>
      <c r="E228" s="115" t="s">
        <v>41</v>
      </c>
      <c r="F228" s="271">
        <v>50228</v>
      </c>
      <c r="G228" s="271"/>
      <c r="H228" s="271"/>
      <c r="I228" s="271"/>
      <c r="J228" s="271"/>
      <c r="K228" s="272"/>
      <c r="M228" s="269" t="s">
        <v>43</v>
      </c>
      <c r="N228" s="270"/>
      <c r="O228" s="270"/>
      <c r="P228" s="270"/>
      <c r="Q228" s="115" t="s">
        <v>41</v>
      </c>
      <c r="R228" s="271">
        <v>50257</v>
      </c>
      <c r="S228" s="271"/>
      <c r="T228" s="271"/>
      <c r="U228" s="271"/>
      <c r="V228" s="271"/>
      <c r="W228" s="272"/>
    </row>
    <row r="229" spans="1:24" ht="18.75" customHeight="1">
      <c r="A229" s="269" t="s">
        <v>44</v>
      </c>
      <c r="B229" s="270"/>
      <c r="C229" s="270"/>
      <c r="D229" s="270"/>
      <c r="E229" s="115" t="s">
        <v>41</v>
      </c>
      <c r="F229" s="270" t="s">
        <v>37</v>
      </c>
      <c r="G229" s="270"/>
      <c r="H229" s="270"/>
      <c r="I229" s="270"/>
      <c r="J229" s="270"/>
      <c r="K229" s="273"/>
      <c r="M229" s="269" t="s">
        <v>44</v>
      </c>
      <c r="N229" s="270"/>
      <c r="O229" s="270"/>
      <c r="P229" s="270"/>
      <c r="Q229" s="115" t="s">
        <v>41</v>
      </c>
      <c r="R229" s="270" t="s">
        <v>37</v>
      </c>
      <c r="S229" s="270"/>
      <c r="T229" s="270"/>
      <c r="U229" s="270"/>
      <c r="V229" s="270"/>
      <c r="W229" s="273"/>
    </row>
    <row r="230" spans="1:24" ht="18.75" customHeight="1">
      <c r="A230" s="277" t="s">
        <v>45</v>
      </c>
      <c r="B230" s="278"/>
      <c r="C230" s="278"/>
      <c r="D230" s="278"/>
      <c r="E230" s="278"/>
      <c r="F230" s="278"/>
      <c r="G230" s="278"/>
      <c r="H230" s="278"/>
      <c r="I230" s="278"/>
      <c r="J230" s="278"/>
      <c r="K230" s="279"/>
      <c r="M230" s="277" t="s">
        <v>45</v>
      </c>
      <c r="N230" s="278"/>
      <c r="O230" s="278"/>
      <c r="P230" s="278"/>
      <c r="Q230" s="278"/>
      <c r="R230" s="278"/>
      <c r="S230" s="278"/>
      <c r="T230" s="278"/>
      <c r="U230" s="278"/>
      <c r="V230" s="278"/>
      <c r="W230" s="279"/>
    </row>
    <row r="231" spans="1:24" ht="18.75" customHeight="1">
      <c r="A231" s="269" t="s">
        <v>46</v>
      </c>
      <c r="B231" s="270"/>
      <c r="C231" s="270"/>
      <c r="D231" s="270"/>
      <c r="E231" s="115" t="s">
        <v>41</v>
      </c>
      <c r="F231" s="284">
        <v>3671000</v>
      </c>
      <c r="G231" s="284"/>
      <c r="H231" s="284"/>
      <c r="I231" s="284"/>
      <c r="J231" s="115" t="s">
        <v>47</v>
      </c>
      <c r="K231" s="116"/>
      <c r="M231" s="269" t="s">
        <v>46</v>
      </c>
      <c r="N231" s="270"/>
      <c r="O231" s="270"/>
      <c r="P231" s="270"/>
      <c r="Q231" s="115" t="s">
        <v>41</v>
      </c>
      <c r="R231" s="284">
        <v>3876000</v>
      </c>
      <c r="S231" s="284"/>
      <c r="T231" s="284"/>
      <c r="U231" s="284"/>
      <c r="V231" s="115" t="s">
        <v>47</v>
      </c>
      <c r="W231" s="116"/>
    </row>
    <row r="232" spans="1:24" ht="18.75" customHeight="1">
      <c r="A232" s="117" t="s">
        <v>48</v>
      </c>
      <c r="B232" s="115"/>
      <c r="C232" s="118"/>
      <c r="D232" s="119"/>
      <c r="E232" s="120"/>
      <c r="F232" s="120"/>
      <c r="G232" s="120"/>
      <c r="H232" s="115"/>
      <c r="I232" s="121" t="e">
        <f>'[9]LUONG T7'!#REF!</f>
        <v>#REF!</v>
      </c>
      <c r="J232" s="122"/>
      <c r="K232" s="123"/>
      <c r="M232" s="117" t="s">
        <v>48</v>
      </c>
      <c r="N232" s="115"/>
      <c r="O232" s="118"/>
      <c r="P232" s="119"/>
      <c r="Q232" s="120"/>
      <c r="R232" s="120"/>
      <c r="S232" s="120"/>
      <c r="T232" s="115"/>
      <c r="U232" s="121" t="e">
        <f>'[9]LUONG T7'!#REF!</f>
        <v>#REF!</v>
      </c>
      <c r="V232" s="122"/>
      <c r="W232" s="123"/>
    </row>
    <row r="233" spans="1:24" ht="18.75" customHeight="1">
      <c r="A233" s="117" t="s">
        <v>49</v>
      </c>
      <c r="B233" s="115"/>
      <c r="C233" s="118"/>
      <c r="D233" s="119"/>
      <c r="E233" s="120"/>
      <c r="F233" s="120"/>
      <c r="G233" s="120"/>
      <c r="H233" s="115"/>
      <c r="I233" s="121" t="e">
        <f>I234/C234/8</f>
        <v>#REF!</v>
      </c>
      <c r="J233" s="122"/>
      <c r="K233" s="123"/>
      <c r="M233" s="117" t="s">
        <v>49</v>
      </c>
      <c r="N233" s="115"/>
      <c r="O233" s="118"/>
      <c r="P233" s="119"/>
      <c r="Q233" s="120"/>
      <c r="R233" s="120"/>
      <c r="S233" s="120"/>
      <c r="T233" s="115"/>
      <c r="U233" s="121" t="e">
        <f>U234/O234/8</f>
        <v>#REF!</v>
      </c>
      <c r="V233" s="122"/>
      <c r="W233" s="123"/>
    </row>
    <row r="234" spans="1:24" ht="18.75" customHeight="1">
      <c r="A234" s="117" t="s">
        <v>50</v>
      </c>
      <c r="B234" s="115" t="s">
        <v>41</v>
      </c>
      <c r="C234" s="118" t="e">
        <f>'[9]LUONG T7'!#REF!</f>
        <v>#REF!</v>
      </c>
      <c r="D234" s="119" t="s">
        <v>51</v>
      </c>
      <c r="E234" s="282" t="s">
        <v>52</v>
      </c>
      <c r="F234" s="282"/>
      <c r="G234" s="282"/>
      <c r="H234" s="115" t="s">
        <v>41</v>
      </c>
      <c r="I234" s="283" t="e">
        <f>'[9]LUONG T7'!#REF!</f>
        <v>#REF!</v>
      </c>
      <c r="J234" s="283"/>
      <c r="K234" s="123" t="s">
        <v>47</v>
      </c>
      <c r="L234" s="124" t="e">
        <f>F231/L224*C234</f>
        <v>#REF!</v>
      </c>
      <c r="M234" s="117" t="s">
        <v>50</v>
      </c>
      <c r="N234" s="115" t="s">
        <v>41</v>
      </c>
      <c r="O234" s="118" t="e">
        <f>'[9]LUONG T7'!#REF!</f>
        <v>#REF!</v>
      </c>
      <c r="P234" s="119" t="s">
        <v>51</v>
      </c>
      <c r="Q234" s="282" t="s">
        <v>52</v>
      </c>
      <c r="R234" s="282"/>
      <c r="S234" s="282"/>
      <c r="T234" s="115" t="s">
        <v>41</v>
      </c>
      <c r="U234" s="283" t="e">
        <f>'[9]LUONG T7'!#REF!</f>
        <v>#REF!</v>
      </c>
      <c r="V234" s="283"/>
      <c r="W234" s="123" t="s">
        <v>47</v>
      </c>
      <c r="X234" s="124" t="e">
        <f>R231/X224*O234</f>
        <v>#REF!</v>
      </c>
    </row>
    <row r="235" spans="1:24" ht="18.75" customHeight="1">
      <c r="A235" s="117" t="s">
        <v>53</v>
      </c>
      <c r="B235" s="115" t="s">
        <v>41</v>
      </c>
      <c r="C235" s="118" t="e">
        <f>'[9]LUONG T7'!#REF!</f>
        <v>#REF!</v>
      </c>
      <c r="D235" s="119" t="s">
        <v>51</v>
      </c>
      <c r="E235" s="270" t="s">
        <v>54</v>
      </c>
      <c r="F235" s="270"/>
      <c r="G235" s="270"/>
      <c r="H235" s="115" t="s">
        <v>41</v>
      </c>
      <c r="I235" s="281" t="e">
        <f>$F$8/$L$1*C235</f>
        <v>#REF!</v>
      </c>
      <c r="J235" s="281"/>
      <c r="K235" s="123" t="s">
        <v>47</v>
      </c>
      <c r="L235" s="124"/>
      <c r="M235" s="117" t="s">
        <v>53</v>
      </c>
      <c r="N235" s="115" t="s">
        <v>41</v>
      </c>
      <c r="O235" s="118" t="e">
        <f>'[9]LUONG T7'!#REF!</f>
        <v>#REF!</v>
      </c>
      <c r="P235" s="119" t="s">
        <v>51</v>
      </c>
      <c r="Q235" s="270" t="s">
        <v>54</v>
      </c>
      <c r="R235" s="270"/>
      <c r="S235" s="270"/>
      <c r="T235" s="115" t="s">
        <v>41</v>
      </c>
      <c r="U235" s="281" t="e">
        <f>$F$8/$L$1*O235</f>
        <v>#REF!</v>
      </c>
      <c r="V235" s="281"/>
      <c r="W235" s="123" t="s">
        <v>47</v>
      </c>
      <c r="X235" s="124"/>
    </row>
    <row r="236" spans="1:24" ht="18.75" customHeight="1">
      <c r="A236" s="117" t="s">
        <v>55</v>
      </c>
      <c r="B236" s="115" t="s">
        <v>41</v>
      </c>
      <c r="C236" s="118" t="e">
        <f>'[9]LUONG T7'!#REF!</f>
        <v>#REF!</v>
      </c>
      <c r="D236" s="119" t="s">
        <v>51</v>
      </c>
      <c r="E236" s="280" t="s">
        <v>56</v>
      </c>
      <c r="F236" s="280"/>
      <c r="G236" s="280"/>
      <c r="H236" s="115" t="s">
        <v>41</v>
      </c>
      <c r="I236" s="281" t="e">
        <f>F231/$L$1*C236</f>
        <v>#REF!</v>
      </c>
      <c r="J236" s="281"/>
      <c r="K236" s="123" t="s">
        <v>47</v>
      </c>
      <c r="L236" s="124"/>
      <c r="M236" s="117" t="s">
        <v>55</v>
      </c>
      <c r="N236" s="115" t="s">
        <v>41</v>
      </c>
      <c r="O236" s="118" t="e">
        <f>'[9]LUONG T7'!#REF!</f>
        <v>#REF!</v>
      </c>
      <c r="P236" s="119" t="s">
        <v>51</v>
      </c>
      <c r="Q236" s="280" t="s">
        <v>56</v>
      </c>
      <c r="R236" s="280"/>
      <c r="S236" s="280"/>
      <c r="T236" s="115" t="s">
        <v>41</v>
      </c>
      <c r="U236" s="281" t="e">
        <f>$F$8/$L$1*O236</f>
        <v>#REF!</v>
      </c>
      <c r="V236" s="281"/>
      <c r="W236" s="123" t="s">
        <v>47</v>
      </c>
      <c r="X236" s="124"/>
    </row>
    <row r="237" spans="1:24" ht="18.75" customHeight="1">
      <c r="A237" s="117" t="s">
        <v>57</v>
      </c>
      <c r="B237" s="115" t="s">
        <v>41</v>
      </c>
      <c r="C237" s="118" t="e">
        <f>'[9]LUONG T7'!#REF!</f>
        <v>#REF!</v>
      </c>
      <c r="D237" s="119" t="s">
        <v>51</v>
      </c>
      <c r="E237" s="280" t="s">
        <v>58</v>
      </c>
      <c r="F237" s="280"/>
      <c r="G237" s="280"/>
      <c r="H237" s="115" t="s">
        <v>41</v>
      </c>
      <c r="I237" s="281" t="e">
        <f>$F$8/$L$1*C237</f>
        <v>#REF!</v>
      </c>
      <c r="J237" s="281"/>
      <c r="K237" s="123" t="s">
        <v>47</v>
      </c>
      <c r="L237" s="124"/>
      <c r="M237" s="117" t="s">
        <v>57</v>
      </c>
      <c r="N237" s="115" t="s">
        <v>41</v>
      </c>
      <c r="O237" s="118" t="e">
        <f>'[9]LUONG T7'!#REF!</f>
        <v>#REF!</v>
      </c>
      <c r="P237" s="119" t="s">
        <v>51</v>
      </c>
      <c r="Q237" s="280" t="s">
        <v>58</v>
      </c>
      <c r="R237" s="280"/>
      <c r="S237" s="280"/>
      <c r="T237" s="115" t="s">
        <v>41</v>
      </c>
      <c r="U237" s="281" t="e">
        <f>1150000/$L$1*O237</f>
        <v>#REF!</v>
      </c>
      <c r="V237" s="281"/>
      <c r="W237" s="123" t="s">
        <v>47</v>
      </c>
      <c r="X237" s="124"/>
    </row>
    <row r="238" spans="1:24" ht="18.75" customHeight="1">
      <c r="A238" s="117" t="s">
        <v>59</v>
      </c>
      <c r="B238" s="115" t="s">
        <v>41</v>
      </c>
      <c r="C238" s="118" t="e">
        <f>'[9]LUONG T7'!#REF!</f>
        <v>#REF!</v>
      </c>
      <c r="D238" s="119" t="s">
        <v>60</v>
      </c>
      <c r="E238" s="270" t="s">
        <v>61</v>
      </c>
      <c r="F238" s="270"/>
      <c r="G238" s="270"/>
      <c r="H238" s="115" t="s">
        <v>41</v>
      </c>
      <c r="I238" s="281" t="e">
        <f>'[9]LUONG T7'!#REF!</f>
        <v>#REF!</v>
      </c>
      <c r="J238" s="281"/>
      <c r="K238" s="123" t="s">
        <v>47</v>
      </c>
      <c r="L238" s="124" t="e">
        <f>F231*C238/L224/8*1.5</f>
        <v>#REF!</v>
      </c>
      <c r="M238" s="117" t="s">
        <v>59</v>
      </c>
      <c r="N238" s="115" t="s">
        <v>41</v>
      </c>
      <c r="O238" s="118" t="e">
        <f>'[9]LUONG T7'!#REF!</f>
        <v>#REF!</v>
      </c>
      <c r="P238" s="119" t="s">
        <v>60</v>
      </c>
      <c r="Q238" s="270" t="s">
        <v>61</v>
      </c>
      <c r="R238" s="270"/>
      <c r="S238" s="270"/>
      <c r="T238" s="115" t="s">
        <v>41</v>
      </c>
      <c r="U238" s="281" t="e">
        <f>'[9]LUONG T7'!#REF!</f>
        <v>#REF!</v>
      </c>
      <c r="V238" s="281"/>
      <c r="W238" s="123" t="s">
        <v>47</v>
      </c>
      <c r="X238" s="124" t="e">
        <f>R231*O238/X224/8*1.5</f>
        <v>#REF!</v>
      </c>
    </row>
    <row r="239" spans="1:24" ht="18.75" customHeight="1">
      <c r="A239" s="269" t="s">
        <v>62</v>
      </c>
      <c r="B239" s="270"/>
      <c r="C239" s="118"/>
      <c r="D239" s="119" t="s">
        <v>51</v>
      </c>
      <c r="E239" s="270" t="s">
        <v>63</v>
      </c>
      <c r="F239" s="270"/>
      <c r="G239" s="270"/>
      <c r="H239" s="125" t="s">
        <v>41</v>
      </c>
      <c r="I239" s="281"/>
      <c r="J239" s="281"/>
      <c r="K239" s="123" t="s">
        <v>47</v>
      </c>
      <c r="L239" s="124"/>
      <c r="M239" s="269" t="s">
        <v>62</v>
      </c>
      <c r="N239" s="270"/>
      <c r="O239" s="118"/>
      <c r="P239" s="119" t="s">
        <v>51</v>
      </c>
      <c r="Q239" s="270" t="s">
        <v>63</v>
      </c>
      <c r="R239" s="270"/>
      <c r="S239" s="270"/>
      <c r="T239" s="125" t="s">
        <v>41</v>
      </c>
      <c r="U239" s="281"/>
      <c r="V239" s="281"/>
      <c r="W239" s="123" t="s">
        <v>47</v>
      </c>
      <c r="X239" s="124"/>
    </row>
    <row r="240" spans="1:24" ht="18.75" customHeight="1">
      <c r="A240" s="117" t="s">
        <v>64</v>
      </c>
      <c r="B240" s="115" t="s">
        <v>41</v>
      </c>
      <c r="C240" s="118"/>
      <c r="D240" s="119" t="s">
        <v>51</v>
      </c>
      <c r="E240" s="270" t="s">
        <v>65</v>
      </c>
      <c r="F240" s="270"/>
      <c r="G240" s="270"/>
      <c r="H240" s="115" t="s">
        <v>41</v>
      </c>
      <c r="I240" s="281"/>
      <c r="J240" s="281"/>
      <c r="K240" s="123" t="s">
        <v>47</v>
      </c>
      <c r="L240" s="124"/>
      <c r="M240" s="117" t="s">
        <v>64</v>
      </c>
      <c r="N240" s="115" t="s">
        <v>41</v>
      </c>
      <c r="O240" s="118"/>
      <c r="P240" s="119" t="s">
        <v>51</v>
      </c>
      <c r="Q240" s="270" t="s">
        <v>65</v>
      </c>
      <c r="R240" s="270"/>
      <c r="S240" s="270"/>
      <c r="T240" s="115" t="s">
        <v>41</v>
      </c>
      <c r="U240" s="281"/>
      <c r="V240" s="281"/>
      <c r="W240" s="123" t="s">
        <v>47</v>
      </c>
      <c r="X240" s="124"/>
    </row>
    <row r="241" spans="1:24" ht="18.75" customHeight="1">
      <c r="A241" s="126" t="s">
        <v>66</v>
      </c>
      <c r="B241" s="115"/>
      <c r="C241" s="118" t="e">
        <f>'[9]LUONG T7'!#REF!</f>
        <v>#REF!</v>
      </c>
      <c r="D241" s="119" t="s">
        <v>60</v>
      </c>
      <c r="E241" s="270" t="s">
        <v>67</v>
      </c>
      <c r="F241" s="270"/>
      <c r="G241" s="270"/>
      <c r="H241" s="115" t="s">
        <v>41</v>
      </c>
      <c r="I241" s="281" t="e">
        <f>$F$8*C241/8/$L$1</f>
        <v>#REF!</v>
      </c>
      <c r="J241" s="281"/>
      <c r="K241" s="123" t="s">
        <v>47</v>
      </c>
      <c r="L241" s="124"/>
      <c r="M241" s="126" t="s">
        <v>66</v>
      </c>
      <c r="N241" s="115"/>
      <c r="O241" s="118" t="e">
        <f>'[9]LUONG T7'!#REF!</f>
        <v>#REF!</v>
      </c>
      <c r="P241" s="119" t="s">
        <v>60</v>
      </c>
      <c r="Q241" s="270" t="s">
        <v>67</v>
      </c>
      <c r="R241" s="270"/>
      <c r="S241" s="270"/>
      <c r="T241" s="115" t="s">
        <v>41</v>
      </c>
      <c r="U241" s="281" t="e">
        <f>$F$8*O241/8/$L$1</f>
        <v>#REF!</v>
      </c>
      <c r="V241" s="281"/>
      <c r="W241" s="123" t="s">
        <v>47</v>
      </c>
      <c r="X241" s="124"/>
    </row>
    <row r="242" spans="1:24" ht="18.75" customHeight="1">
      <c r="A242" s="117" t="s">
        <v>68</v>
      </c>
      <c r="B242" s="115" t="s">
        <v>41</v>
      </c>
      <c r="C242" s="118"/>
      <c r="D242" s="119" t="s">
        <v>60</v>
      </c>
      <c r="E242" s="270" t="s">
        <v>92</v>
      </c>
      <c r="F242" s="270"/>
      <c r="G242" s="270"/>
      <c r="H242" s="115" t="s">
        <v>41</v>
      </c>
      <c r="I242" s="283"/>
      <c r="J242" s="283"/>
      <c r="K242" s="123" t="s">
        <v>47</v>
      </c>
      <c r="L242" s="124"/>
      <c r="M242" s="117" t="s">
        <v>97</v>
      </c>
      <c r="N242" s="115" t="s">
        <v>41</v>
      </c>
      <c r="O242" s="118"/>
      <c r="P242" s="119" t="s">
        <v>60</v>
      </c>
      <c r="Q242" s="270" t="s">
        <v>105</v>
      </c>
      <c r="R242" s="270"/>
      <c r="S242" s="270"/>
      <c r="T242" s="115" t="s">
        <v>41</v>
      </c>
      <c r="U242" s="283">
        <v>240000</v>
      </c>
      <c r="V242" s="283"/>
      <c r="W242" s="123" t="s">
        <v>47</v>
      </c>
      <c r="X242" s="124"/>
    </row>
    <row r="243" spans="1:24" ht="18.75" customHeight="1">
      <c r="A243" s="117" t="s">
        <v>70</v>
      </c>
      <c r="B243" s="115" t="s">
        <v>41</v>
      </c>
      <c r="C243" s="118"/>
      <c r="D243" s="119" t="s">
        <v>71</v>
      </c>
      <c r="E243" s="127" t="s">
        <v>72</v>
      </c>
      <c r="F243" s="127"/>
      <c r="G243" s="127"/>
      <c r="H243" s="115" t="s">
        <v>41</v>
      </c>
      <c r="I243" s="281"/>
      <c r="J243" s="281"/>
      <c r="K243" s="123" t="s">
        <v>47</v>
      </c>
      <c r="L243" s="124" t="e">
        <f>+IF(L234-I234&lt;0,0,L234-I234)+IF(L238-I238&lt;0,0,L238-I238)</f>
        <v>#REF!</v>
      </c>
      <c r="M243" s="117" t="s">
        <v>70</v>
      </c>
      <c r="N243" s="115" t="s">
        <v>41</v>
      </c>
      <c r="O243" s="118"/>
      <c r="P243" s="119" t="s">
        <v>71</v>
      </c>
      <c r="Q243" s="127" t="s">
        <v>72</v>
      </c>
      <c r="R243" s="127"/>
      <c r="S243" s="127"/>
      <c r="T243" s="115" t="s">
        <v>41</v>
      </c>
      <c r="U243" s="281"/>
      <c r="V243" s="281"/>
      <c r="W243" s="123" t="s">
        <v>47</v>
      </c>
      <c r="X243" s="124" t="e">
        <f>+IF(X234-U234&lt;0,0,X234-U234)+IF(X238-U238&lt;0,0,X238-U238)</f>
        <v>#REF!</v>
      </c>
    </row>
    <row r="244" spans="1:24" ht="18.75" customHeight="1">
      <c r="A244" s="128" t="s">
        <v>73</v>
      </c>
      <c r="B244" s="129"/>
      <c r="C244" s="118"/>
      <c r="D244" s="119" t="s">
        <v>51</v>
      </c>
      <c r="E244" s="270" t="s">
        <v>74</v>
      </c>
      <c r="F244" s="270"/>
      <c r="G244" s="270"/>
      <c r="H244" s="115" t="s">
        <v>41</v>
      </c>
      <c r="I244" s="281">
        <v>324000</v>
      </c>
      <c r="J244" s="281"/>
      <c r="K244" s="123" t="s">
        <v>47</v>
      </c>
      <c r="L244" s="124"/>
      <c r="M244" s="128" t="s">
        <v>73</v>
      </c>
      <c r="N244" s="129"/>
      <c r="O244" s="118"/>
      <c r="P244" s="119" t="s">
        <v>51</v>
      </c>
      <c r="Q244" s="270" t="s">
        <v>74</v>
      </c>
      <c r="R244" s="270"/>
      <c r="S244" s="270"/>
      <c r="T244" s="115" t="s">
        <v>41</v>
      </c>
      <c r="U244" s="281">
        <v>324000</v>
      </c>
      <c r="V244" s="281"/>
      <c r="W244" s="123" t="s">
        <v>47</v>
      </c>
      <c r="X244" s="124"/>
    </row>
    <row r="245" spans="1:24" ht="18.75" customHeight="1">
      <c r="A245" s="288" t="s">
        <v>75</v>
      </c>
      <c r="B245" s="282"/>
      <c r="C245" s="118"/>
      <c r="D245" s="119"/>
      <c r="E245" s="120"/>
      <c r="F245" s="120"/>
      <c r="G245" s="120"/>
      <c r="H245" s="115" t="s">
        <v>41</v>
      </c>
      <c r="I245" s="281" t="e">
        <f>'[9]LUONG T7'!#REF!</f>
        <v>#REF!</v>
      </c>
      <c r="J245" s="281"/>
      <c r="K245" s="123" t="s">
        <v>47</v>
      </c>
      <c r="L245" s="124"/>
      <c r="M245" s="288" t="s">
        <v>75</v>
      </c>
      <c r="N245" s="282"/>
      <c r="O245" s="118"/>
      <c r="P245" s="119"/>
      <c r="Q245" s="120"/>
      <c r="R245" s="120"/>
      <c r="S245" s="120"/>
      <c r="T245" s="115" t="s">
        <v>41</v>
      </c>
      <c r="U245" s="281" t="e">
        <f>'[9]LUONG T7'!#REF!</f>
        <v>#REF!</v>
      </c>
      <c r="V245" s="281"/>
      <c r="W245" s="123" t="s">
        <v>47</v>
      </c>
      <c r="X245" s="124"/>
    </row>
    <row r="246" spans="1:24" ht="18.75" customHeight="1">
      <c r="A246" s="117" t="s">
        <v>76</v>
      </c>
      <c r="B246" s="115" t="s">
        <v>41</v>
      </c>
      <c r="C246" s="118"/>
      <c r="D246" s="119"/>
      <c r="E246" s="120" t="s">
        <v>77</v>
      </c>
      <c r="F246" s="120"/>
      <c r="G246" s="120"/>
      <c r="H246" s="115" t="s">
        <v>41</v>
      </c>
      <c r="I246" s="281" t="e">
        <f>L243</f>
        <v>#REF!</v>
      </c>
      <c r="J246" s="281"/>
      <c r="K246" s="123" t="s">
        <v>47</v>
      </c>
      <c r="L246" s="124"/>
      <c r="M246" s="117" t="s">
        <v>76</v>
      </c>
      <c r="N246" s="115" t="s">
        <v>41</v>
      </c>
      <c r="O246" s="118"/>
      <c r="P246" s="119"/>
      <c r="Q246" s="120" t="s">
        <v>77</v>
      </c>
      <c r="R246" s="120"/>
      <c r="S246" s="120"/>
      <c r="T246" s="115" t="s">
        <v>41</v>
      </c>
      <c r="U246" s="281" t="e">
        <f>X243</f>
        <v>#REF!</v>
      </c>
      <c r="V246" s="281"/>
      <c r="W246" s="123" t="s">
        <v>47</v>
      </c>
      <c r="X246" s="124"/>
    </row>
    <row r="247" spans="1:24" ht="18.75" customHeight="1">
      <c r="A247" s="285" t="s">
        <v>78</v>
      </c>
      <c r="B247" s="286"/>
      <c r="C247" s="286"/>
      <c r="D247" s="286"/>
      <c r="E247" s="286"/>
      <c r="F247" s="286"/>
      <c r="G247" s="115" t="s">
        <v>41</v>
      </c>
      <c r="H247" s="287" t="e">
        <f>I234+I235+I236+I237+I238+I241+I245+I246+I244+I242</f>
        <v>#REF!</v>
      </c>
      <c r="I247" s="287"/>
      <c r="J247" s="287"/>
      <c r="K247" s="123" t="s">
        <v>47</v>
      </c>
      <c r="M247" s="285" t="s">
        <v>78</v>
      </c>
      <c r="N247" s="286"/>
      <c r="O247" s="286"/>
      <c r="P247" s="286"/>
      <c r="Q247" s="286"/>
      <c r="R247" s="286"/>
      <c r="S247" s="115" t="s">
        <v>41</v>
      </c>
      <c r="T247" s="287" t="e">
        <f>U234+U235+U236+U237+U238+U241+U245+U246+U244+U242</f>
        <v>#REF!</v>
      </c>
      <c r="U247" s="287"/>
      <c r="V247" s="287"/>
      <c r="W247" s="123" t="s">
        <v>47</v>
      </c>
    </row>
    <row r="248" spans="1:24" ht="18.75" customHeight="1">
      <c r="A248" s="130"/>
      <c r="B248" s="131"/>
      <c r="C248" s="131"/>
      <c r="D248" s="131"/>
      <c r="E248" s="131"/>
      <c r="F248" s="131"/>
      <c r="G248" s="131"/>
      <c r="H248" s="131"/>
      <c r="I248" s="131"/>
      <c r="J248" s="131"/>
      <c r="K248" s="132"/>
      <c r="M248" s="130"/>
      <c r="N248" s="131"/>
      <c r="O248" s="131"/>
      <c r="P248" s="131"/>
      <c r="Q248" s="131"/>
      <c r="R248" s="131"/>
      <c r="S248" s="131"/>
      <c r="T248" s="131"/>
      <c r="U248" s="131"/>
      <c r="V248" s="131"/>
      <c r="W248" s="132"/>
    </row>
    <row r="249" spans="1:24" ht="18.75" customHeight="1">
      <c r="A249" s="295" t="s">
        <v>79</v>
      </c>
      <c r="B249" s="296"/>
      <c r="C249" s="296"/>
      <c r="D249" s="296"/>
      <c r="E249" s="296"/>
      <c r="F249" s="296"/>
      <c r="G249" s="115"/>
      <c r="H249" s="115"/>
      <c r="I249" s="115"/>
      <c r="J249" s="115"/>
      <c r="K249" s="123"/>
      <c r="M249" s="295" t="s">
        <v>79</v>
      </c>
      <c r="N249" s="296"/>
      <c r="O249" s="296"/>
      <c r="P249" s="296"/>
      <c r="Q249" s="296"/>
      <c r="R249" s="296"/>
      <c r="S249" s="115"/>
      <c r="T249" s="115"/>
      <c r="U249" s="115"/>
      <c r="V249" s="115"/>
      <c r="W249" s="123"/>
    </row>
    <row r="250" spans="1:24" ht="18.75" customHeight="1">
      <c r="A250" s="289" t="s">
        <v>80</v>
      </c>
      <c r="B250" s="290"/>
      <c r="C250" s="290"/>
      <c r="D250" s="290"/>
      <c r="E250" s="290"/>
      <c r="F250" s="290"/>
      <c r="G250" s="115" t="s">
        <v>41</v>
      </c>
      <c r="H250" s="297" t="e">
        <f>IF(($L$1-(C234+C235+C236+C237))&gt;12,0,F231*8%)</f>
        <v>#REF!</v>
      </c>
      <c r="I250" s="297"/>
      <c r="J250" s="297"/>
      <c r="K250" s="123" t="s">
        <v>47</v>
      </c>
      <c r="M250" s="289" t="s">
        <v>80</v>
      </c>
      <c r="N250" s="290"/>
      <c r="O250" s="290"/>
      <c r="P250" s="290"/>
      <c r="Q250" s="290"/>
      <c r="R250" s="290"/>
      <c r="S250" s="115" t="s">
        <v>41</v>
      </c>
      <c r="T250" s="297" t="e">
        <f>IF(($L$1-(O234+O235+O236+O237))&gt;12,0,R231*8%)</f>
        <v>#REF!</v>
      </c>
      <c r="U250" s="297"/>
      <c r="V250" s="297"/>
      <c r="W250" s="123" t="s">
        <v>47</v>
      </c>
    </row>
    <row r="251" spans="1:24" ht="18.75" customHeight="1">
      <c r="A251" s="289" t="s">
        <v>81</v>
      </c>
      <c r="B251" s="290"/>
      <c r="C251" s="290"/>
      <c r="D251" s="290"/>
      <c r="E251" s="290"/>
      <c r="F251" s="290"/>
      <c r="G251" s="115" t="s">
        <v>41</v>
      </c>
      <c r="H251" s="291" t="e">
        <f>IF(($L$1-(C234+C235+C236+C237))&gt;12,0,F231*1.5%)</f>
        <v>#REF!</v>
      </c>
      <c r="I251" s="291"/>
      <c r="J251" s="291"/>
      <c r="K251" s="123" t="s">
        <v>47</v>
      </c>
      <c r="M251" s="289" t="s">
        <v>81</v>
      </c>
      <c r="N251" s="290"/>
      <c r="O251" s="290"/>
      <c r="P251" s="290"/>
      <c r="Q251" s="290"/>
      <c r="R251" s="290"/>
      <c r="S251" s="115" t="s">
        <v>41</v>
      </c>
      <c r="T251" s="291" t="e">
        <f>IF(($L$1-(O234+O235+O236+O237))&gt;12,0,R231*1.5%)</f>
        <v>#REF!</v>
      </c>
      <c r="U251" s="291"/>
      <c r="V251" s="291"/>
      <c r="W251" s="123" t="s">
        <v>47</v>
      </c>
    </row>
    <row r="252" spans="1:24" ht="18.75" customHeight="1">
      <c r="A252" s="289" t="s">
        <v>82</v>
      </c>
      <c r="B252" s="290"/>
      <c r="C252" s="290"/>
      <c r="D252" s="290"/>
      <c r="E252" s="290"/>
      <c r="F252" s="290"/>
      <c r="G252" s="115" t="s">
        <v>41</v>
      </c>
      <c r="H252" s="291" t="e">
        <f>IF(($L$1-(C234+C235+C236+C237))&gt;12,0,F231*1%)</f>
        <v>#REF!</v>
      </c>
      <c r="I252" s="291"/>
      <c r="J252" s="291"/>
      <c r="K252" s="123" t="s">
        <v>47</v>
      </c>
      <c r="M252" s="289" t="s">
        <v>82</v>
      </c>
      <c r="N252" s="290"/>
      <c r="O252" s="290"/>
      <c r="P252" s="290"/>
      <c r="Q252" s="290"/>
      <c r="R252" s="290"/>
      <c r="S252" s="115" t="s">
        <v>41</v>
      </c>
      <c r="T252" s="291" t="e">
        <f>IF(($L$1-(O234+O235+O236+O237))&gt;12,0,R231*1%)</f>
        <v>#REF!</v>
      </c>
      <c r="U252" s="291"/>
      <c r="V252" s="291"/>
      <c r="W252" s="123" t="s">
        <v>47</v>
      </c>
    </row>
    <row r="253" spans="1:24" ht="18.75" customHeight="1">
      <c r="A253" s="289" t="s">
        <v>83</v>
      </c>
      <c r="B253" s="290"/>
      <c r="C253" s="290"/>
      <c r="D253" s="290"/>
      <c r="E253" s="290"/>
      <c r="F253" s="290"/>
      <c r="G253" s="115" t="s">
        <v>41</v>
      </c>
      <c r="H253" s="291">
        <v>0</v>
      </c>
      <c r="I253" s="291"/>
      <c r="J253" s="291"/>
      <c r="K253" s="123" t="s">
        <v>47</v>
      </c>
      <c r="M253" s="289" t="s">
        <v>83</v>
      </c>
      <c r="N253" s="290"/>
      <c r="O253" s="290"/>
      <c r="P253" s="290"/>
      <c r="Q253" s="290"/>
      <c r="R253" s="290"/>
      <c r="S253" s="115" t="s">
        <v>41</v>
      </c>
      <c r="T253" s="291">
        <v>0</v>
      </c>
      <c r="U253" s="291"/>
      <c r="V253" s="291"/>
      <c r="W253" s="123" t="s">
        <v>47</v>
      </c>
    </row>
    <row r="254" spans="1:24" ht="18.75" customHeight="1">
      <c r="A254" s="292" t="s">
        <v>84</v>
      </c>
      <c r="B254" s="293"/>
      <c r="C254" s="293"/>
      <c r="D254" s="293"/>
      <c r="E254" s="293"/>
      <c r="F254" s="293"/>
      <c r="G254" s="115" t="s">
        <v>41</v>
      </c>
      <c r="H254" s="294" t="e">
        <f>SUM(H250:J253)</f>
        <v>#REF!</v>
      </c>
      <c r="I254" s="294"/>
      <c r="J254" s="294"/>
      <c r="K254" s="123" t="s">
        <v>47</v>
      </c>
      <c r="M254" s="292" t="s">
        <v>84</v>
      </c>
      <c r="N254" s="293"/>
      <c r="O254" s="293"/>
      <c r="P254" s="293"/>
      <c r="Q254" s="293"/>
      <c r="R254" s="293"/>
      <c r="S254" s="115" t="s">
        <v>41</v>
      </c>
      <c r="T254" s="294" t="e">
        <f>SUM(T250:V253)</f>
        <v>#REF!</v>
      </c>
      <c r="U254" s="294"/>
      <c r="V254" s="294"/>
      <c r="W254" s="123" t="s">
        <v>47</v>
      </c>
    </row>
    <row r="255" spans="1:24" ht="18.75" customHeight="1">
      <c r="A255" s="289" t="s">
        <v>85</v>
      </c>
      <c r="B255" s="290"/>
      <c r="C255" s="290"/>
      <c r="D255" s="290"/>
      <c r="E255" s="290"/>
      <c r="F255" s="290"/>
      <c r="G255" s="115" t="s">
        <v>41</v>
      </c>
      <c r="H255" s="301" t="e">
        <f>ROUND(H247-H254,-2)</f>
        <v>#REF!</v>
      </c>
      <c r="I255" s="301"/>
      <c r="J255" s="301"/>
      <c r="K255" s="123" t="s">
        <v>47</v>
      </c>
      <c r="M255" s="289" t="s">
        <v>85</v>
      </c>
      <c r="N255" s="290"/>
      <c r="O255" s="290"/>
      <c r="P255" s="290"/>
      <c r="Q255" s="290"/>
      <c r="R255" s="290"/>
      <c r="S255" s="115" t="s">
        <v>41</v>
      </c>
      <c r="T255" s="301" t="e">
        <f>ROUND(T247-T254,-2)</f>
        <v>#REF!</v>
      </c>
      <c r="U255" s="301"/>
      <c r="V255" s="301"/>
      <c r="W255" s="123" t="s">
        <v>47</v>
      </c>
    </row>
    <row r="256" spans="1:24" ht="18.75" customHeight="1">
      <c r="A256" s="133"/>
      <c r="B256" s="134"/>
      <c r="C256" s="134"/>
      <c r="D256" s="134"/>
      <c r="E256" s="134"/>
      <c r="F256" s="134"/>
      <c r="G256" s="134"/>
      <c r="H256" s="134"/>
      <c r="I256" s="134"/>
      <c r="J256" s="134"/>
      <c r="K256" s="135"/>
      <c r="M256" s="133"/>
      <c r="N256" s="134"/>
      <c r="O256" s="134"/>
      <c r="P256" s="134"/>
      <c r="Q256" s="134"/>
      <c r="R256" s="134"/>
      <c r="S256" s="134"/>
      <c r="T256" s="134"/>
      <c r="U256" s="134"/>
      <c r="V256" s="134"/>
      <c r="W256" s="135"/>
    </row>
    <row r="257" spans="1:24" ht="18.75" customHeight="1">
      <c r="A257" s="136"/>
      <c r="B257" s="115"/>
      <c r="C257" s="115"/>
      <c r="D257" s="115"/>
      <c r="E257" s="115"/>
      <c r="F257" s="115"/>
      <c r="G257" s="115"/>
      <c r="H257" s="115"/>
      <c r="I257" s="298" t="s">
        <v>86</v>
      </c>
      <c r="J257" s="298"/>
      <c r="K257" s="302"/>
      <c r="M257" s="136"/>
      <c r="N257" s="115"/>
      <c r="O257" s="115"/>
      <c r="P257" s="115"/>
      <c r="Q257" s="115"/>
      <c r="R257" s="115"/>
      <c r="S257" s="115"/>
      <c r="T257" s="115"/>
      <c r="U257" s="298" t="s">
        <v>86</v>
      </c>
      <c r="V257" s="298"/>
      <c r="W257" s="302"/>
    </row>
    <row r="258" spans="1:24" ht="18.75" customHeight="1">
      <c r="A258" s="136"/>
      <c r="B258" s="298"/>
      <c r="C258" s="298"/>
      <c r="D258" s="298"/>
      <c r="E258" s="298"/>
      <c r="F258" s="115"/>
      <c r="G258" s="115"/>
      <c r="H258" s="115"/>
      <c r="I258" s="115"/>
      <c r="J258" s="115"/>
      <c r="K258" s="116"/>
      <c r="M258" s="136"/>
      <c r="N258" s="298"/>
      <c r="O258" s="298"/>
      <c r="P258" s="298"/>
      <c r="Q258" s="298"/>
      <c r="R258" s="115"/>
      <c r="S258" s="115"/>
      <c r="T258" s="115"/>
      <c r="U258" s="115"/>
      <c r="V258" s="115"/>
      <c r="W258" s="116"/>
    </row>
    <row r="259" spans="1:24" ht="18.75" customHeight="1" thickBot="1">
      <c r="A259" s="137"/>
      <c r="B259" s="138"/>
      <c r="C259" s="138"/>
      <c r="D259" s="138"/>
      <c r="E259" s="138"/>
      <c r="F259" s="138"/>
      <c r="G259" s="138"/>
      <c r="H259" s="138"/>
      <c r="I259" s="299" t="s">
        <v>87</v>
      </c>
      <c r="J259" s="299"/>
      <c r="K259" s="300"/>
      <c r="M259" s="137"/>
      <c r="N259" s="138"/>
      <c r="O259" s="138"/>
      <c r="P259" s="138"/>
      <c r="Q259" s="138"/>
      <c r="R259" s="138"/>
      <c r="S259" s="138"/>
      <c r="T259" s="138"/>
      <c r="U259" s="299" t="s">
        <v>87</v>
      </c>
      <c r="V259" s="299"/>
      <c r="W259" s="300"/>
    </row>
    <row r="261" spans="1:24" ht="18.75" customHeight="1" thickTop="1">
      <c r="A261" s="274" t="s">
        <v>35</v>
      </c>
      <c r="B261" s="275"/>
      <c r="C261" s="275"/>
      <c r="D261" s="275"/>
      <c r="E261" s="275"/>
      <c r="F261" s="275"/>
      <c r="G261" s="275"/>
      <c r="H261" s="275"/>
      <c r="I261" s="275"/>
      <c r="J261" s="275"/>
      <c r="K261" s="276"/>
      <c r="L261" s="111">
        <v>25</v>
      </c>
      <c r="M261" s="274" t="s">
        <v>35</v>
      </c>
      <c r="N261" s="275"/>
      <c r="O261" s="275"/>
      <c r="P261" s="275"/>
      <c r="Q261" s="275"/>
      <c r="R261" s="275"/>
      <c r="S261" s="275"/>
      <c r="T261" s="275"/>
      <c r="U261" s="275"/>
      <c r="V261" s="275"/>
      <c r="W261" s="276"/>
      <c r="X261" s="111">
        <v>25</v>
      </c>
    </row>
    <row r="262" spans="1:24" ht="18.75" customHeight="1">
      <c r="A262" s="112" t="s">
        <v>114</v>
      </c>
      <c r="B262" s="113"/>
      <c r="C262" s="113"/>
      <c r="D262" s="113"/>
      <c r="E262" s="113"/>
      <c r="F262" s="113"/>
      <c r="G262" s="113"/>
      <c r="H262" s="113"/>
      <c r="I262" s="113"/>
      <c r="J262" s="113"/>
      <c r="K262" s="114"/>
      <c r="M262" s="112" t="s">
        <v>115</v>
      </c>
      <c r="N262" s="113"/>
      <c r="O262" s="113"/>
      <c r="P262" s="113"/>
      <c r="Q262" s="113"/>
      <c r="R262" s="113"/>
      <c r="S262" s="113"/>
      <c r="T262" s="113"/>
      <c r="U262" s="113"/>
      <c r="V262" s="113"/>
      <c r="W262" s="114"/>
    </row>
    <row r="263" spans="1:24" ht="18.75" customHeight="1">
      <c r="A263" s="277" t="s">
        <v>39</v>
      </c>
      <c r="B263" s="278"/>
      <c r="C263" s="278"/>
      <c r="D263" s="278"/>
      <c r="E263" s="278"/>
      <c r="F263" s="278"/>
      <c r="G263" s="278"/>
      <c r="H263" s="278"/>
      <c r="I263" s="278"/>
      <c r="J263" s="278"/>
      <c r="K263" s="279"/>
      <c r="M263" s="277" t="s">
        <v>39</v>
      </c>
      <c r="N263" s="278"/>
      <c r="O263" s="278"/>
      <c r="P263" s="278"/>
      <c r="Q263" s="278"/>
      <c r="R263" s="278"/>
      <c r="S263" s="278"/>
      <c r="T263" s="278"/>
      <c r="U263" s="278"/>
      <c r="V263" s="278"/>
      <c r="W263" s="279"/>
    </row>
    <row r="264" spans="1:24" ht="18.75" customHeight="1">
      <c r="A264" s="269" t="s">
        <v>40</v>
      </c>
      <c r="B264" s="270"/>
      <c r="C264" s="270"/>
      <c r="D264" s="270"/>
      <c r="E264" s="115" t="s">
        <v>41</v>
      </c>
      <c r="F264" s="271" t="e">
        <f>'[9]Bang TH nop'!B24</f>
        <v>#REF!</v>
      </c>
      <c r="G264" s="270"/>
      <c r="H264" s="270"/>
      <c r="I264" s="270"/>
      <c r="J264" s="270"/>
      <c r="K264" s="273"/>
      <c r="M264" s="269" t="s">
        <v>40</v>
      </c>
      <c r="N264" s="270"/>
      <c r="O264" s="270"/>
      <c r="P264" s="270"/>
      <c r="Q264" s="115" t="s">
        <v>41</v>
      </c>
      <c r="R264" s="271" t="e">
        <f>'[9]Bang TH nop'!B28</f>
        <v>#REF!</v>
      </c>
      <c r="S264" s="270"/>
      <c r="T264" s="270"/>
      <c r="U264" s="270"/>
      <c r="V264" s="270"/>
      <c r="W264" s="273"/>
    </row>
    <row r="265" spans="1:24" ht="18.75" customHeight="1">
      <c r="A265" s="269" t="s">
        <v>43</v>
      </c>
      <c r="B265" s="270"/>
      <c r="C265" s="270"/>
      <c r="D265" s="270"/>
      <c r="E265" s="115" t="s">
        <v>41</v>
      </c>
      <c r="F265" s="271" t="e">
        <f>'[9]Bang TH nop'!C24</f>
        <v>#REF!</v>
      </c>
      <c r="G265" s="271"/>
      <c r="H265" s="271"/>
      <c r="I265" s="271"/>
      <c r="J265" s="271"/>
      <c r="K265" s="272"/>
      <c r="M265" s="269" t="s">
        <v>43</v>
      </c>
      <c r="N265" s="270"/>
      <c r="O265" s="270"/>
      <c r="P265" s="270"/>
      <c r="Q265" s="115" t="s">
        <v>41</v>
      </c>
      <c r="R265" s="271" t="e">
        <f>'[9]Bang TH nop'!C28</f>
        <v>#REF!</v>
      </c>
      <c r="S265" s="271"/>
      <c r="T265" s="271"/>
      <c r="U265" s="271"/>
      <c r="V265" s="271"/>
      <c r="W265" s="272"/>
    </row>
    <row r="266" spans="1:24" ht="18.75" customHeight="1">
      <c r="A266" s="269" t="s">
        <v>44</v>
      </c>
      <c r="B266" s="270"/>
      <c r="C266" s="270"/>
      <c r="D266" s="270"/>
      <c r="E266" s="115" t="s">
        <v>41</v>
      </c>
      <c r="F266" s="270" t="s">
        <v>116</v>
      </c>
      <c r="G266" s="270"/>
      <c r="H266" s="270"/>
      <c r="I266" s="270"/>
      <c r="J266" s="270"/>
      <c r="K266" s="273"/>
      <c r="M266" s="269" t="s">
        <v>44</v>
      </c>
      <c r="N266" s="270"/>
      <c r="O266" s="270"/>
      <c r="P266" s="270"/>
      <c r="Q266" s="115" t="s">
        <v>41</v>
      </c>
      <c r="R266" s="270" t="s">
        <v>116</v>
      </c>
      <c r="S266" s="270"/>
      <c r="T266" s="270"/>
      <c r="U266" s="270"/>
      <c r="V266" s="270"/>
      <c r="W266" s="273"/>
    </row>
    <row r="267" spans="1:24" ht="18.75" customHeight="1">
      <c r="A267" s="277" t="s">
        <v>45</v>
      </c>
      <c r="B267" s="278"/>
      <c r="C267" s="278"/>
      <c r="D267" s="278"/>
      <c r="E267" s="278"/>
      <c r="F267" s="278"/>
      <c r="G267" s="278"/>
      <c r="H267" s="278"/>
      <c r="I267" s="278"/>
      <c r="J267" s="278"/>
      <c r="K267" s="279"/>
      <c r="M267" s="277" t="s">
        <v>45</v>
      </c>
      <c r="N267" s="278"/>
      <c r="O267" s="278"/>
      <c r="P267" s="278"/>
      <c r="Q267" s="278"/>
      <c r="R267" s="278"/>
      <c r="S267" s="278"/>
      <c r="T267" s="278"/>
      <c r="U267" s="278"/>
      <c r="V267" s="278"/>
      <c r="W267" s="279"/>
    </row>
    <row r="268" spans="1:24" ht="18.75" customHeight="1">
      <c r="A268" s="269" t="s">
        <v>46</v>
      </c>
      <c r="B268" s="270"/>
      <c r="C268" s="270"/>
      <c r="D268" s="270"/>
      <c r="E268" s="115" t="s">
        <v>41</v>
      </c>
      <c r="F268" s="284">
        <v>2915400</v>
      </c>
      <c r="G268" s="284"/>
      <c r="H268" s="284"/>
      <c r="I268" s="284"/>
      <c r="J268" s="115" t="s">
        <v>47</v>
      </c>
      <c r="K268" s="116"/>
      <c r="M268" s="269" t="s">
        <v>46</v>
      </c>
      <c r="N268" s="270"/>
      <c r="O268" s="270"/>
      <c r="P268" s="270"/>
      <c r="Q268" s="115" t="s">
        <v>41</v>
      </c>
      <c r="R268" s="284">
        <v>2915400</v>
      </c>
      <c r="S268" s="284"/>
      <c r="T268" s="284"/>
      <c r="U268" s="284"/>
      <c r="V268" s="115" t="s">
        <v>47</v>
      </c>
      <c r="W268" s="116"/>
    </row>
    <row r="269" spans="1:24" ht="18.75" customHeight="1">
      <c r="A269" s="117" t="s">
        <v>48</v>
      </c>
      <c r="B269" s="115"/>
      <c r="C269" s="118"/>
      <c r="D269" s="119"/>
      <c r="E269" s="120"/>
      <c r="F269" s="120"/>
      <c r="G269" s="120"/>
      <c r="H269" s="115"/>
      <c r="I269" s="121" t="e">
        <f>'[9]LUONG T7'!F11</f>
        <v>#REF!</v>
      </c>
      <c r="J269" s="122"/>
      <c r="K269" s="123"/>
      <c r="M269" s="117" t="s">
        <v>48</v>
      </c>
      <c r="N269" s="115"/>
      <c r="O269" s="118"/>
      <c r="P269" s="119"/>
      <c r="Q269" s="120"/>
      <c r="R269" s="120"/>
      <c r="S269" s="120"/>
      <c r="T269" s="115"/>
      <c r="U269" s="121" t="e">
        <f>'[9]LUONG T7'!F13</f>
        <v>#REF!</v>
      </c>
      <c r="V269" s="122"/>
      <c r="W269" s="123"/>
    </row>
    <row r="270" spans="1:24" ht="18.75" customHeight="1">
      <c r="A270" s="117" t="s">
        <v>49</v>
      </c>
      <c r="B270" s="115"/>
      <c r="C270" s="118"/>
      <c r="D270" s="119"/>
      <c r="E270" s="120"/>
      <c r="F270" s="120"/>
      <c r="G270" s="120"/>
      <c r="H270" s="115"/>
      <c r="I270" s="121">
        <f>I271/C271/8</f>
        <v>23076.923076923078</v>
      </c>
      <c r="J270" s="122"/>
      <c r="K270" s="123"/>
      <c r="M270" s="117" t="s">
        <v>49</v>
      </c>
      <c r="N270" s="115"/>
      <c r="O270" s="118"/>
      <c r="P270" s="119"/>
      <c r="Q270" s="120"/>
      <c r="R270" s="120"/>
      <c r="S270" s="120"/>
      <c r="T270" s="115"/>
      <c r="U270" s="121">
        <f>U271/O271/8</f>
        <v>23076.923076923078</v>
      </c>
      <c r="V270" s="122"/>
      <c r="W270" s="123"/>
    </row>
    <row r="271" spans="1:24" ht="18.75" customHeight="1">
      <c r="A271" s="117" t="s">
        <v>50</v>
      </c>
      <c r="B271" s="115" t="s">
        <v>41</v>
      </c>
      <c r="C271" s="118">
        <f>'[9]LUONG T7'!I10</f>
        <v>26</v>
      </c>
      <c r="D271" s="119" t="s">
        <v>51</v>
      </c>
      <c r="E271" s="282" t="s">
        <v>52</v>
      </c>
      <c r="F271" s="282"/>
      <c r="G271" s="282"/>
      <c r="H271" s="115" t="s">
        <v>41</v>
      </c>
      <c r="I271" s="283">
        <f>'[9]LUONG T7'!I11</f>
        <v>4800000</v>
      </c>
      <c r="J271" s="283"/>
      <c r="K271" s="123" t="s">
        <v>47</v>
      </c>
      <c r="L271" s="124">
        <f>F268/L261*C271</f>
        <v>3032016</v>
      </c>
      <c r="M271" s="117" t="s">
        <v>50</v>
      </c>
      <c r="N271" s="115" t="s">
        <v>41</v>
      </c>
      <c r="O271" s="118">
        <f>'[9]LUONG T7'!I12</f>
        <v>26</v>
      </c>
      <c r="P271" s="119" t="s">
        <v>51</v>
      </c>
      <c r="Q271" s="282" t="s">
        <v>52</v>
      </c>
      <c r="R271" s="282"/>
      <c r="S271" s="282"/>
      <c r="T271" s="115" t="s">
        <v>41</v>
      </c>
      <c r="U271" s="283">
        <f>'[9]LUONG T7'!I13</f>
        <v>4800000</v>
      </c>
      <c r="V271" s="283"/>
      <c r="W271" s="123" t="s">
        <v>47</v>
      </c>
      <c r="X271" s="124">
        <f>R268/X261*O271</f>
        <v>3032016</v>
      </c>
    </row>
    <row r="272" spans="1:24" ht="18.75" customHeight="1">
      <c r="A272" s="117" t="s">
        <v>53</v>
      </c>
      <c r="B272" s="115" t="s">
        <v>41</v>
      </c>
      <c r="C272" s="118">
        <f>'[9]LUONG T7'!J10</f>
        <v>0</v>
      </c>
      <c r="D272" s="119" t="s">
        <v>51</v>
      </c>
      <c r="E272" s="270" t="s">
        <v>54</v>
      </c>
      <c r="F272" s="270"/>
      <c r="G272" s="270"/>
      <c r="H272" s="115" t="s">
        <v>41</v>
      </c>
      <c r="I272" s="281">
        <f>$F$8/$L$1*C272</f>
        <v>0</v>
      </c>
      <c r="J272" s="281"/>
      <c r="K272" s="123" t="s">
        <v>47</v>
      </c>
      <c r="L272" s="124"/>
      <c r="M272" s="117" t="s">
        <v>53</v>
      </c>
      <c r="N272" s="115" t="s">
        <v>41</v>
      </c>
      <c r="O272" s="118">
        <f>'[9]LUONG T7'!J12</f>
        <v>0</v>
      </c>
      <c r="P272" s="119" t="s">
        <v>51</v>
      </c>
      <c r="Q272" s="270" t="s">
        <v>54</v>
      </c>
      <c r="R272" s="270"/>
      <c r="S272" s="270"/>
      <c r="T272" s="115" t="s">
        <v>41</v>
      </c>
      <c r="U272" s="281">
        <f>$F$8/$L$1*O272</f>
        <v>0</v>
      </c>
      <c r="V272" s="281"/>
      <c r="W272" s="123" t="s">
        <v>47</v>
      </c>
      <c r="X272" s="124"/>
    </row>
    <row r="273" spans="1:24" ht="18.75" customHeight="1">
      <c r="A273" s="117" t="s">
        <v>55</v>
      </c>
      <c r="B273" s="115" t="s">
        <v>41</v>
      </c>
      <c r="C273" s="118">
        <f>'[9]LUONG T7'!K10</f>
        <v>0</v>
      </c>
      <c r="D273" s="119" t="s">
        <v>51</v>
      </c>
      <c r="E273" s="280" t="s">
        <v>56</v>
      </c>
      <c r="F273" s="280"/>
      <c r="G273" s="280"/>
      <c r="H273" s="115" t="s">
        <v>41</v>
      </c>
      <c r="I273" s="281">
        <f>$F$8/$L$1*C273</f>
        <v>0</v>
      </c>
      <c r="J273" s="281"/>
      <c r="K273" s="123" t="s">
        <v>47</v>
      </c>
      <c r="L273" s="124"/>
      <c r="M273" s="117" t="s">
        <v>55</v>
      </c>
      <c r="N273" s="115" t="s">
        <v>41</v>
      </c>
      <c r="O273" s="118">
        <f>'[9]LUONG T7'!K12</f>
        <v>0</v>
      </c>
      <c r="P273" s="119" t="s">
        <v>51</v>
      </c>
      <c r="Q273" s="280" t="s">
        <v>56</v>
      </c>
      <c r="R273" s="280"/>
      <c r="S273" s="280"/>
      <c r="T273" s="115" t="s">
        <v>41</v>
      </c>
      <c r="U273" s="281">
        <f>$F$8/$L$1*O273</f>
        <v>0</v>
      </c>
      <c r="V273" s="281"/>
      <c r="W273" s="123" t="s">
        <v>47</v>
      </c>
      <c r="X273" s="124"/>
    </row>
    <row r="274" spans="1:24" ht="18.75" customHeight="1">
      <c r="A274" s="117" t="s">
        <v>57</v>
      </c>
      <c r="B274" s="115" t="s">
        <v>41</v>
      </c>
      <c r="C274" s="118" t="e">
        <f>'[9]LUONG T7'!L10</f>
        <v>#REF!</v>
      </c>
      <c r="D274" s="119" t="s">
        <v>51</v>
      </c>
      <c r="E274" s="280" t="s">
        <v>58</v>
      </c>
      <c r="F274" s="280"/>
      <c r="G274" s="280"/>
      <c r="H274" s="115" t="s">
        <v>41</v>
      </c>
      <c r="I274" s="281" t="e">
        <f>$F$8/$L$1*C274</f>
        <v>#REF!</v>
      </c>
      <c r="J274" s="281"/>
      <c r="K274" s="123" t="s">
        <v>47</v>
      </c>
      <c r="L274" s="124"/>
      <c r="M274" s="117" t="s">
        <v>57</v>
      </c>
      <c r="N274" s="115" t="s">
        <v>41</v>
      </c>
      <c r="O274" s="118" t="e">
        <f>'[9]LUONG T7'!L12</f>
        <v>#REF!</v>
      </c>
      <c r="P274" s="119" t="s">
        <v>51</v>
      </c>
      <c r="Q274" s="280" t="s">
        <v>58</v>
      </c>
      <c r="R274" s="280"/>
      <c r="S274" s="280"/>
      <c r="T274" s="115" t="s">
        <v>41</v>
      </c>
      <c r="U274" s="281" t="e">
        <f>$F$8/$L$1*O274</f>
        <v>#REF!</v>
      </c>
      <c r="V274" s="281"/>
      <c r="W274" s="123" t="s">
        <v>47</v>
      </c>
      <c r="X274" s="124"/>
    </row>
    <row r="275" spans="1:24" ht="18.75" customHeight="1">
      <c r="A275" s="117" t="s">
        <v>59</v>
      </c>
      <c r="B275" s="115" t="s">
        <v>41</v>
      </c>
      <c r="C275" s="118">
        <f>'[9]LUONG T7'!Q10</f>
        <v>69</v>
      </c>
      <c r="D275" s="119" t="s">
        <v>60</v>
      </c>
      <c r="E275" s="270" t="s">
        <v>61</v>
      </c>
      <c r="F275" s="270"/>
      <c r="G275" s="270"/>
      <c r="H275" s="115" t="s">
        <v>41</v>
      </c>
      <c r="I275" s="281">
        <f>'[9]LUONG T7'!Q11</f>
        <v>2388461.5384615385</v>
      </c>
      <c r="J275" s="281"/>
      <c r="K275" s="123" t="s">
        <v>47</v>
      </c>
      <c r="L275" s="124">
        <f>F268*C275/L261/8*1.5</f>
        <v>1508719.5</v>
      </c>
      <c r="M275" s="117" t="s">
        <v>59</v>
      </c>
      <c r="N275" s="115" t="s">
        <v>41</v>
      </c>
      <c r="O275" s="118">
        <f>'[9]LUONG T7'!Q12</f>
        <v>67</v>
      </c>
      <c r="P275" s="119" t="s">
        <v>60</v>
      </c>
      <c r="Q275" s="270" t="s">
        <v>61</v>
      </c>
      <c r="R275" s="270"/>
      <c r="S275" s="270"/>
      <c r="T275" s="115" t="s">
        <v>41</v>
      </c>
      <c r="U275" s="281">
        <f>'[9]LUONG T7'!Q13</f>
        <v>2319230.7692307695</v>
      </c>
      <c r="V275" s="281"/>
      <c r="W275" s="123" t="s">
        <v>47</v>
      </c>
      <c r="X275" s="124">
        <f>R268*O275/X261/8*1.5</f>
        <v>1464988.5</v>
      </c>
    </row>
    <row r="276" spans="1:24" ht="18.75" customHeight="1">
      <c r="A276" s="269" t="s">
        <v>62</v>
      </c>
      <c r="B276" s="270"/>
      <c r="C276" s="118"/>
      <c r="D276" s="119" t="s">
        <v>51</v>
      </c>
      <c r="E276" s="270" t="s">
        <v>63</v>
      </c>
      <c r="F276" s="270"/>
      <c r="G276" s="270"/>
      <c r="H276" s="125" t="s">
        <v>41</v>
      </c>
      <c r="I276" s="281"/>
      <c r="J276" s="281"/>
      <c r="K276" s="123" t="s">
        <v>47</v>
      </c>
      <c r="L276" s="124"/>
      <c r="M276" s="269" t="s">
        <v>62</v>
      </c>
      <c r="N276" s="270"/>
      <c r="O276" s="118"/>
      <c r="P276" s="119" t="s">
        <v>51</v>
      </c>
      <c r="Q276" s="270" t="s">
        <v>63</v>
      </c>
      <c r="R276" s="270"/>
      <c r="S276" s="270"/>
      <c r="T276" s="125" t="s">
        <v>41</v>
      </c>
      <c r="U276" s="281"/>
      <c r="V276" s="281"/>
      <c r="W276" s="123" t="s">
        <v>47</v>
      </c>
      <c r="X276" s="124"/>
    </row>
    <row r="277" spans="1:24" ht="18.75" customHeight="1">
      <c r="A277" s="117" t="s">
        <v>64</v>
      </c>
      <c r="B277" s="115" t="s">
        <v>41</v>
      </c>
      <c r="C277" s="118"/>
      <c r="D277" s="119" t="s">
        <v>51</v>
      </c>
      <c r="E277" s="270" t="s">
        <v>65</v>
      </c>
      <c r="F277" s="270"/>
      <c r="G277" s="270"/>
      <c r="H277" s="115" t="s">
        <v>41</v>
      </c>
      <c r="I277" s="281"/>
      <c r="J277" s="281"/>
      <c r="K277" s="123" t="s">
        <v>47</v>
      </c>
      <c r="L277" s="124"/>
      <c r="M277" s="117" t="s">
        <v>64</v>
      </c>
      <c r="N277" s="115" t="s">
        <v>41</v>
      </c>
      <c r="O277" s="118"/>
      <c r="P277" s="119" t="s">
        <v>51</v>
      </c>
      <c r="Q277" s="270" t="s">
        <v>65</v>
      </c>
      <c r="R277" s="270"/>
      <c r="S277" s="270"/>
      <c r="T277" s="115" t="s">
        <v>41</v>
      </c>
      <c r="U277" s="281"/>
      <c r="V277" s="281"/>
      <c r="W277" s="123" t="s">
        <v>47</v>
      </c>
      <c r="X277" s="124"/>
    </row>
    <row r="278" spans="1:24" ht="18.75" customHeight="1">
      <c r="A278" s="126" t="s">
        <v>66</v>
      </c>
      <c r="B278" s="115"/>
      <c r="C278" s="118">
        <f>'[9]LUONG T7'!M10</f>
        <v>0</v>
      </c>
      <c r="D278" s="119" t="s">
        <v>60</v>
      </c>
      <c r="E278" s="270" t="s">
        <v>67</v>
      </c>
      <c r="F278" s="270"/>
      <c r="G278" s="270"/>
      <c r="H278" s="115" t="s">
        <v>41</v>
      </c>
      <c r="I278" s="281">
        <f>$F$8*C278/8/$L$1</f>
        <v>0</v>
      </c>
      <c r="J278" s="281"/>
      <c r="K278" s="123" t="s">
        <v>47</v>
      </c>
      <c r="L278" s="124"/>
      <c r="M278" s="126" t="s">
        <v>66</v>
      </c>
      <c r="N278" s="115"/>
      <c r="O278" s="118">
        <f>'[9]LUONG T7'!M12</f>
        <v>0</v>
      </c>
      <c r="P278" s="119" t="s">
        <v>60</v>
      </c>
      <c r="Q278" s="270" t="s">
        <v>67</v>
      </c>
      <c r="R278" s="270"/>
      <c r="S278" s="270"/>
      <c r="T278" s="115" t="s">
        <v>41</v>
      </c>
      <c r="U278" s="281">
        <f>$F$8*O278/8/$L$1</f>
        <v>0</v>
      </c>
      <c r="V278" s="281"/>
      <c r="W278" s="123" t="s">
        <v>47</v>
      </c>
      <c r="X278" s="124"/>
    </row>
    <row r="279" spans="1:24" ht="18.75" customHeight="1">
      <c r="A279" s="117" t="s">
        <v>68</v>
      </c>
      <c r="B279" s="115" t="s">
        <v>41</v>
      </c>
      <c r="C279" s="118"/>
      <c r="D279" s="119" t="s">
        <v>60</v>
      </c>
      <c r="E279" s="270" t="s">
        <v>92</v>
      </c>
      <c r="F279" s="270"/>
      <c r="G279" s="270"/>
      <c r="H279" s="115" t="s">
        <v>41</v>
      </c>
      <c r="I279" s="283"/>
      <c r="J279" s="283"/>
      <c r="K279" s="123" t="s">
        <v>47</v>
      </c>
      <c r="L279" s="124"/>
      <c r="M279" s="117" t="s">
        <v>68</v>
      </c>
      <c r="N279" s="115" t="s">
        <v>41</v>
      </c>
      <c r="O279" s="118"/>
      <c r="P279" s="119" t="s">
        <v>60</v>
      </c>
      <c r="Q279" s="270" t="s">
        <v>92</v>
      </c>
      <c r="R279" s="270"/>
      <c r="S279" s="270"/>
      <c r="T279" s="115" t="s">
        <v>41</v>
      </c>
      <c r="U279" s="283"/>
      <c r="V279" s="283"/>
      <c r="W279" s="123" t="s">
        <v>47</v>
      </c>
      <c r="X279" s="124"/>
    </row>
    <row r="280" spans="1:24" ht="18.75" customHeight="1">
      <c r="A280" s="117" t="s">
        <v>70</v>
      </c>
      <c r="B280" s="115" t="s">
        <v>41</v>
      </c>
      <c r="C280" s="118"/>
      <c r="D280" s="119" t="s">
        <v>71</v>
      </c>
      <c r="E280" s="127" t="s">
        <v>72</v>
      </c>
      <c r="F280" s="127"/>
      <c r="G280" s="127"/>
      <c r="H280" s="115" t="s">
        <v>41</v>
      </c>
      <c r="I280" s="281"/>
      <c r="J280" s="281"/>
      <c r="K280" s="123" t="s">
        <v>47</v>
      </c>
      <c r="L280" s="124">
        <f>+IF(L271-I271&lt;0,0,L271-I271)+IF(L275-I275&lt;0,0,L275-I275)</f>
        <v>0</v>
      </c>
      <c r="M280" s="117" t="s">
        <v>70</v>
      </c>
      <c r="N280" s="115" t="s">
        <v>41</v>
      </c>
      <c r="O280" s="118"/>
      <c r="P280" s="119" t="s">
        <v>71</v>
      </c>
      <c r="Q280" s="127" t="s">
        <v>72</v>
      </c>
      <c r="R280" s="127"/>
      <c r="S280" s="127"/>
      <c r="T280" s="115" t="s">
        <v>41</v>
      </c>
      <c r="U280" s="281"/>
      <c r="V280" s="281"/>
      <c r="W280" s="123" t="s">
        <v>47</v>
      </c>
      <c r="X280" s="124">
        <f>+IF(X271-U271&lt;0,0,X271-U271)+IF(X275-U275&lt;0,0,X275-U275)</f>
        <v>0</v>
      </c>
    </row>
    <row r="281" spans="1:24" ht="18.75" customHeight="1">
      <c r="A281" s="128" t="s">
        <v>117</v>
      </c>
      <c r="B281" s="129"/>
      <c r="C281" s="118"/>
      <c r="D281" s="119" t="s">
        <v>51</v>
      </c>
      <c r="E281" s="270" t="s">
        <v>118</v>
      </c>
      <c r="F281" s="270"/>
      <c r="G281" s="270"/>
      <c r="H281" s="115" t="s">
        <v>41</v>
      </c>
      <c r="I281" s="281"/>
      <c r="J281" s="281"/>
      <c r="K281" s="123" t="s">
        <v>47</v>
      </c>
      <c r="L281" s="124"/>
      <c r="M281" s="128" t="s">
        <v>117</v>
      </c>
      <c r="N281" s="129"/>
      <c r="O281" s="118"/>
      <c r="P281" s="119" t="s">
        <v>51</v>
      </c>
      <c r="Q281" s="270" t="s">
        <v>118</v>
      </c>
      <c r="R281" s="270"/>
      <c r="S281" s="270"/>
      <c r="T281" s="115" t="s">
        <v>41</v>
      </c>
      <c r="U281" s="281"/>
      <c r="V281" s="281"/>
      <c r="W281" s="123" t="s">
        <v>47</v>
      </c>
      <c r="X281" s="124"/>
    </row>
    <row r="282" spans="1:24" ht="18.75" customHeight="1">
      <c r="A282" s="288" t="s">
        <v>75</v>
      </c>
      <c r="B282" s="282"/>
      <c r="C282" s="118"/>
      <c r="D282" s="119"/>
      <c r="E282" s="120"/>
      <c r="F282" s="120"/>
      <c r="G282" s="120"/>
      <c r="H282" s="115" t="s">
        <v>41</v>
      </c>
      <c r="I282" s="281">
        <f>'[9]LUONG T7'!P11</f>
        <v>260000</v>
      </c>
      <c r="J282" s="281"/>
      <c r="K282" s="123" t="s">
        <v>47</v>
      </c>
      <c r="L282" s="124"/>
      <c r="M282" s="288" t="s">
        <v>75</v>
      </c>
      <c r="N282" s="282"/>
      <c r="O282" s="118"/>
      <c r="P282" s="119"/>
      <c r="Q282" s="120"/>
      <c r="R282" s="120"/>
      <c r="S282" s="120"/>
      <c r="T282" s="115" t="s">
        <v>41</v>
      </c>
      <c r="U282" s="281">
        <f>'[9]LUONG T7'!P13</f>
        <v>260000</v>
      </c>
      <c r="V282" s="281"/>
      <c r="W282" s="123" t="s">
        <v>47</v>
      </c>
      <c r="X282" s="124"/>
    </row>
    <row r="283" spans="1:24" ht="18.75" customHeight="1">
      <c r="A283" s="117" t="s">
        <v>76</v>
      </c>
      <c r="B283" s="115" t="s">
        <v>41</v>
      </c>
      <c r="C283" s="118"/>
      <c r="D283" s="119"/>
      <c r="E283" s="120" t="s">
        <v>77</v>
      </c>
      <c r="F283" s="120"/>
      <c r="G283" s="120"/>
      <c r="H283" s="115" t="s">
        <v>41</v>
      </c>
      <c r="I283" s="281">
        <f>L280</f>
        <v>0</v>
      </c>
      <c r="J283" s="281"/>
      <c r="K283" s="123" t="s">
        <v>47</v>
      </c>
      <c r="L283" s="124"/>
      <c r="M283" s="117" t="s">
        <v>76</v>
      </c>
      <c r="N283" s="115" t="s">
        <v>41</v>
      </c>
      <c r="O283" s="118"/>
      <c r="P283" s="119"/>
      <c r="Q283" s="120" t="s">
        <v>77</v>
      </c>
      <c r="R283" s="120"/>
      <c r="S283" s="120"/>
      <c r="T283" s="115" t="s">
        <v>41</v>
      </c>
      <c r="U283" s="281">
        <f>X280</f>
        <v>0</v>
      </c>
      <c r="V283" s="281"/>
      <c r="W283" s="123" t="s">
        <v>47</v>
      </c>
      <c r="X283" s="124"/>
    </row>
    <row r="284" spans="1:24" ht="18.75" customHeight="1">
      <c r="A284" s="285" t="s">
        <v>78</v>
      </c>
      <c r="B284" s="286"/>
      <c r="C284" s="286"/>
      <c r="D284" s="286"/>
      <c r="E284" s="286"/>
      <c r="F284" s="286"/>
      <c r="G284" s="115" t="s">
        <v>41</v>
      </c>
      <c r="H284" s="287" t="e">
        <f>I271+I272+I273+I274+I275+I278+I282+I283</f>
        <v>#REF!</v>
      </c>
      <c r="I284" s="287"/>
      <c r="J284" s="287"/>
      <c r="K284" s="123" t="s">
        <v>47</v>
      </c>
      <c r="M284" s="285" t="s">
        <v>78</v>
      </c>
      <c r="N284" s="286"/>
      <c r="O284" s="286"/>
      <c r="P284" s="286"/>
      <c r="Q284" s="286"/>
      <c r="R284" s="286"/>
      <c r="S284" s="115" t="s">
        <v>41</v>
      </c>
      <c r="T284" s="287" t="e">
        <f>U271+U272+U273+U274+U275+U278+U282+U283</f>
        <v>#REF!</v>
      </c>
      <c r="U284" s="287"/>
      <c r="V284" s="287"/>
      <c r="W284" s="123" t="s">
        <v>47</v>
      </c>
    </row>
    <row r="285" spans="1:24" ht="18.75" customHeight="1">
      <c r="A285" s="130"/>
      <c r="B285" s="131"/>
      <c r="C285" s="131"/>
      <c r="D285" s="131"/>
      <c r="E285" s="131"/>
      <c r="F285" s="131"/>
      <c r="G285" s="131"/>
      <c r="H285" s="131"/>
      <c r="I285" s="131"/>
      <c r="J285" s="131"/>
      <c r="K285" s="132"/>
      <c r="M285" s="130"/>
      <c r="N285" s="131"/>
      <c r="O285" s="131"/>
      <c r="P285" s="131"/>
      <c r="Q285" s="131"/>
      <c r="R285" s="131"/>
      <c r="S285" s="131"/>
      <c r="T285" s="131"/>
      <c r="U285" s="131"/>
      <c r="V285" s="131"/>
      <c r="W285" s="132"/>
    </row>
    <row r="286" spans="1:24" ht="18.75" customHeight="1">
      <c r="A286" s="295" t="s">
        <v>79</v>
      </c>
      <c r="B286" s="296"/>
      <c r="C286" s="296"/>
      <c r="D286" s="296"/>
      <c r="E286" s="296"/>
      <c r="F286" s="296"/>
      <c r="G286" s="115"/>
      <c r="H286" s="115"/>
      <c r="I286" s="115"/>
      <c r="J286" s="115"/>
      <c r="K286" s="123"/>
      <c r="M286" s="295" t="s">
        <v>79</v>
      </c>
      <c r="N286" s="296"/>
      <c r="O286" s="296"/>
      <c r="P286" s="296"/>
      <c r="Q286" s="296"/>
      <c r="R286" s="296"/>
      <c r="S286" s="115"/>
      <c r="T286" s="115"/>
      <c r="U286" s="115"/>
      <c r="V286" s="115"/>
      <c r="W286" s="123"/>
    </row>
    <row r="287" spans="1:24" ht="18.75" customHeight="1">
      <c r="A287" s="289" t="s">
        <v>80</v>
      </c>
      <c r="B287" s="290"/>
      <c r="C287" s="290"/>
      <c r="D287" s="290"/>
      <c r="E287" s="290"/>
      <c r="F287" s="290"/>
      <c r="G287" s="115" t="s">
        <v>41</v>
      </c>
      <c r="H287" s="297" t="e">
        <f>IF(($L$1-(C271+C272+C273+C274))&gt;12,0,F268*8%)</f>
        <v>#REF!</v>
      </c>
      <c r="I287" s="297"/>
      <c r="J287" s="297"/>
      <c r="K287" s="123" t="s">
        <v>47</v>
      </c>
      <c r="M287" s="289" t="s">
        <v>80</v>
      </c>
      <c r="N287" s="290"/>
      <c r="O287" s="290"/>
      <c r="P287" s="290"/>
      <c r="Q287" s="290"/>
      <c r="R287" s="290"/>
      <c r="S287" s="115" t="s">
        <v>41</v>
      </c>
      <c r="T287" s="297" t="e">
        <f>IF(($L$1-(O271+O272+O273+O274))&gt;12,0,R268*8%)</f>
        <v>#REF!</v>
      </c>
      <c r="U287" s="297"/>
      <c r="V287" s="297"/>
      <c r="W287" s="123" t="s">
        <v>47</v>
      </c>
    </row>
    <row r="288" spans="1:24" ht="18.75" customHeight="1">
      <c r="A288" s="289" t="s">
        <v>81</v>
      </c>
      <c r="B288" s="290"/>
      <c r="C288" s="290"/>
      <c r="D288" s="290"/>
      <c r="E288" s="290"/>
      <c r="F288" s="290"/>
      <c r="G288" s="115" t="s">
        <v>41</v>
      </c>
      <c r="H288" s="291" t="e">
        <f>IF(($L$1-(C271+C272+C273+C274))&gt;12,0,F268*1.5%)</f>
        <v>#REF!</v>
      </c>
      <c r="I288" s="291"/>
      <c r="J288" s="291"/>
      <c r="K288" s="123" t="s">
        <v>47</v>
      </c>
      <c r="M288" s="289" t="s">
        <v>81</v>
      </c>
      <c r="N288" s="290"/>
      <c r="O288" s="290"/>
      <c r="P288" s="290"/>
      <c r="Q288" s="290"/>
      <c r="R288" s="290"/>
      <c r="S288" s="115" t="s">
        <v>41</v>
      </c>
      <c r="T288" s="291" t="e">
        <f>IF(($L$1-(O271+O272+O273+O274))&gt;12,0,R268*1.5%)</f>
        <v>#REF!</v>
      </c>
      <c r="U288" s="291"/>
      <c r="V288" s="291"/>
      <c r="W288" s="123" t="s">
        <v>47</v>
      </c>
    </row>
    <row r="289" spans="1:24" ht="18.75" customHeight="1">
      <c r="A289" s="289" t="s">
        <v>82</v>
      </c>
      <c r="B289" s="290"/>
      <c r="C289" s="290"/>
      <c r="D289" s="290"/>
      <c r="E289" s="290"/>
      <c r="F289" s="290"/>
      <c r="G289" s="115" t="s">
        <v>41</v>
      </c>
      <c r="H289" s="291" t="e">
        <f>IF(($L$1-(C271+C272+C273+C274))&gt;12,0,F268*1%)</f>
        <v>#REF!</v>
      </c>
      <c r="I289" s="291"/>
      <c r="J289" s="291"/>
      <c r="K289" s="123" t="s">
        <v>47</v>
      </c>
      <c r="M289" s="289" t="s">
        <v>82</v>
      </c>
      <c r="N289" s="290"/>
      <c r="O289" s="290"/>
      <c r="P289" s="290"/>
      <c r="Q289" s="290"/>
      <c r="R289" s="290"/>
      <c r="S289" s="115" t="s">
        <v>41</v>
      </c>
      <c r="T289" s="291" t="e">
        <f>IF(($L$1-(O271+O272+O273+O274))&gt;12,0,R268*1%)</f>
        <v>#REF!</v>
      </c>
      <c r="U289" s="291"/>
      <c r="V289" s="291"/>
      <c r="W289" s="123" t="s">
        <v>47</v>
      </c>
    </row>
    <row r="290" spans="1:24" ht="18.75" customHeight="1">
      <c r="A290" s="289" t="s">
        <v>83</v>
      </c>
      <c r="B290" s="290"/>
      <c r="C290" s="290"/>
      <c r="D290" s="290"/>
      <c r="E290" s="290"/>
      <c r="F290" s="290"/>
      <c r="G290" s="115" t="s">
        <v>41</v>
      </c>
      <c r="H290" s="291">
        <v>0</v>
      </c>
      <c r="I290" s="291"/>
      <c r="J290" s="291"/>
      <c r="K290" s="123" t="s">
        <v>47</v>
      </c>
      <c r="M290" s="289" t="s">
        <v>83</v>
      </c>
      <c r="N290" s="290"/>
      <c r="O290" s="290"/>
      <c r="P290" s="290"/>
      <c r="Q290" s="290"/>
      <c r="R290" s="290"/>
      <c r="S290" s="115" t="s">
        <v>41</v>
      </c>
      <c r="T290" s="291">
        <v>0</v>
      </c>
      <c r="U290" s="291"/>
      <c r="V290" s="291"/>
      <c r="W290" s="123" t="s">
        <v>47</v>
      </c>
    </row>
    <row r="291" spans="1:24" ht="18.75" customHeight="1">
      <c r="A291" s="292" t="s">
        <v>84</v>
      </c>
      <c r="B291" s="293"/>
      <c r="C291" s="293"/>
      <c r="D291" s="293"/>
      <c r="E291" s="293"/>
      <c r="F291" s="293"/>
      <c r="G291" s="115" t="s">
        <v>41</v>
      </c>
      <c r="H291" s="294" t="e">
        <f>SUM(H287:J290)</f>
        <v>#REF!</v>
      </c>
      <c r="I291" s="294"/>
      <c r="J291" s="294"/>
      <c r="K291" s="123" t="s">
        <v>47</v>
      </c>
      <c r="M291" s="292" t="s">
        <v>84</v>
      </c>
      <c r="N291" s="293"/>
      <c r="O291" s="293"/>
      <c r="P291" s="293"/>
      <c r="Q291" s="293"/>
      <c r="R291" s="293"/>
      <c r="S291" s="115" t="s">
        <v>41</v>
      </c>
      <c r="T291" s="294" t="e">
        <f>SUM(T287:V290)</f>
        <v>#REF!</v>
      </c>
      <c r="U291" s="294"/>
      <c r="V291" s="294"/>
      <c r="W291" s="123" t="s">
        <v>47</v>
      </c>
    </row>
    <row r="292" spans="1:24" ht="18.75" customHeight="1">
      <c r="A292" s="289" t="s">
        <v>85</v>
      </c>
      <c r="B292" s="290"/>
      <c r="C292" s="290"/>
      <c r="D292" s="290"/>
      <c r="E292" s="290"/>
      <c r="F292" s="290"/>
      <c r="G292" s="115" t="s">
        <v>41</v>
      </c>
      <c r="H292" s="301" t="e">
        <f>ROUND(H284-H291,-2)</f>
        <v>#REF!</v>
      </c>
      <c r="I292" s="301"/>
      <c r="J292" s="301"/>
      <c r="K292" s="123" t="s">
        <v>47</v>
      </c>
      <c r="M292" s="289" t="s">
        <v>85</v>
      </c>
      <c r="N292" s="290"/>
      <c r="O292" s="290"/>
      <c r="P292" s="290"/>
      <c r="Q292" s="290"/>
      <c r="R292" s="290"/>
      <c r="S292" s="115" t="s">
        <v>41</v>
      </c>
      <c r="T292" s="301" t="e">
        <f>ROUND(T284-T291,-2)</f>
        <v>#REF!</v>
      </c>
      <c r="U292" s="301"/>
      <c r="V292" s="301"/>
      <c r="W292" s="123" t="s">
        <v>47</v>
      </c>
    </row>
    <row r="293" spans="1:24" ht="18.75" customHeight="1">
      <c r="A293" s="133"/>
      <c r="B293" s="134"/>
      <c r="C293" s="134"/>
      <c r="D293" s="134"/>
      <c r="E293" s="134"/>
      <c r="F293" s="134"/>
      <c r="G293" s="134"/>
      <c r="H293" s="134"/>
      <c r="I293" s="134"/>
      <c r="J293" s="134"/>
      <c r="K293" s="135"/>
      <c r="M293" s="133"/>
      <c r="N293" s="134"/>
      <c r="O293" s="134"/>
      <c r="P293" s="134"/>
      <c r="Q293" s="134"/>
      <c r="R293" s="134"/>
      <c r="S293" s="134"/>
      <c r="T293" s="134"/>
      <c r="U293" s="134"/>
      <c r="V293" s="134"/>
      <c r="W293" s="135"/>
    </row>
    <row r="294" spans="1:24" ht="18.75" customHeight="1">
      <c r="A294" s="136"/>
      <c r="B294" s="115"/>
      <c r="C294" s="115"/>
      <c r="D294" s="115"/>
      <c r="E294" s="115"/>
      <c r="F294" s="115"/>
      <c r="G294" s="115"/>
      <c r="H294" s="115"/>
      <c r="I294" s="298" t="s">
        <v>86</v>
      </c>
      <c r="J294" s="298"/>
      <c r="K294" s="302"/>
      <c r="M294" s="136"/>
      <c r="N294" s="115"/>
      <c r="O294" s="115"/>
      <c r="P294" s="115"/>
      <c r="Q294" s="115"/>
      <c r="R294" s="115"/>
      <c r="S294" s="115"/>
      <c r="T294" s="115"/>
      <c r="U294" s="298" t="s">
        <v>86</v>
      </c>
      <c r="V294" s="298"/>
      <c r="W294" s="302"/>
    </row>
    <row r="295" spans="1:24" ht="18.75" customHeight="1">
      <c r="A295" s="136"/>
      <c r="B295" s="298"/>
      <c r="C295" s="298"/>
      <c r="D295" s="298"/>
      <c r="E295" s="298"/>
      <c r="F295" s="115"/>
      <c r="G295" s="115"/>
      <c r="H295" s="115"/>
      <c r="I295" s="115"/>
      <c r="J295" s="115"/>
      <c r="K295" s="116"/>
      <c r="M295" s="136"/>
      <c r="N295" s="298"/>
      <c r="O295" s="298"/>
      <c r="P295" s="298"/>
      <c r="Q295" s="298"/>
      <c r="R295" s="115"/>
      <c r="S295" s="115"/>
      <c r="T295" s="115"/>
      <c r="U295" s="115"/>
      <c r="V295" s="115"/>
      <c r="W295" s="116"/>
    </row>
    <row r="296" spans="1:24" ht="18.75" customHeight="1" thickBot="1">
      <c r="A296" s="137"/>
      <c r="B296" s="138"/>
      <c r="C296" s="138"/>
      <c r="D296" s="138"/>
      <c r="E296" s="138"/>
      <c r="F296" s="138"/>
      <c r="G296" s="138"/>
      <c r="H296" s="138"/>
      <c r="I296" s="299" t="s">
        <v>87</v>
      </c>
      <c r="J296" s="299"/>
      <c r="K296" s="300"/>
      <c r="M296" s="137"/>
      <c r="N296" s="138"/>
      <c r="O296" s="138"/>
      <c r="P296" s="138"/>
      <c r="Q296" s="138"/>
      <c r="R296" s="138"/>
      <c r="S296" s="138"/>
      <c r="T296" s="138"/>
      <c r="U296" s="299" t="s">
        <v>87</v>
      </c>
      <c r="V296" s="299"/>
      <c r="W296" s="300"/>
    </row>
    <row r="298" spans="1:24" ht="18.75" customHeight="1" thickTop="1">
      <c r="A298" s="274" t="s">
        <v>35</v>
      </c>
      <c r="B298" s="275"/>
      <c r="C298" s="275"/>
      <c r="D298" s="275"/>
      <c r="E298" s="275"/>
      <c r="F298" s="275"/>
      <c r="G298" s="275"/>
      <c r="H298" s="275"/>
      <c r="I298" s="275"/>
      <c r="J298" s="275"/>
      <c r="K298" s="276"/>
      <c r="L298" s="111">
        <v>25</v>
      </c>
      <c r="M298" s="274" t="s">
        <v>35</v>
      </c>
      <c r="N298" s="275"/>
      <c r="O298" s="275"/>
      <c r="P298" s="275"/>
      <c r="Q298" s="275"/>
      <c r="R298" s="275"/>
      <c r="S298" s="275"/>
      <c r="T298" s="275"/>
      <c r="U298" s="275"/>
      <c r="V298" s="275"/>
      <c r="W298" s="276"/>
      <c r="X298" s="111">
        <v>25</v>
      </c>
    </row>
    <row r="299" spans="1:24" ht="18.75" customHeight="1">
      <c r="A299" s="112" t="s">
        <v>119</v>
      </c>
      <c r="B299" s="113"/>
      <c r="C299" s="113"/>
      <c r="D299" s="113"/>
      <c r="E299" s="113"/>
      <c r="F299" s="113"/>
      <c r="G299" s="113"/>
      <c r="H299" s="113"/>
      <c r="I299" s="113"/>
      <c r="J299" s="113"/>
      <c r="K299" s="114"/>
      <c r="M299" s="112" t="s">
        <v>120</v>
      </c>
      <c r="N299" s="113"/>
      <c r="O299" s="113"/>
      <c r="P299" s="113"/>
      <c r="Q299" s="113"/>
      <c r="R299" s="113"/>
      <c r="S299" s="113"/>
      <c r="T299" s="113"/>
      <c r="U299" s="113"/>
      <c r="V299" s="113"/>
      <c r="W299" s="114"/>
    </row>
    <row r="300" spans="1:24" ht="18.75" customHeight="1">
      <c r="A300" s="277" t="s">
        <v>39</v>
      </c>
      <c r="B300" s="278"/>
      <c r="C300" s="278"/>
      <c r="D300" s="278"/>
      <c r="E300" s="278"/>
      <c r="F300" s="278"/>
      <c r="G300" s="278"/>
      <c r="H300" s="278"/>
      <c r="I300" s="278"/>
      <c r="J300" s="278"/>
      <c r="K300" s="279"/>
      <c r="M300" s="277" t="s">
        <v>39</v>
      </c>
      <c r="N300" s="278"/>
      <c r="O300" s="278"/>
      <c r="P300" s="278"/>
      <c r="Q300" s="278"/>
      <c r="R300" s="278"/>
      <c r="S300" s="278"/>
      <c r="T300" s="278"/>
      <c r="U300" s="278"/>
      <c r="V300" s="278"/>
      <c r="W300" s="279"/>
    </row>
    <row r="301" spans="1:24" ht="18.75" customHeight="1">
      <c r="A301" s="269" t="s">
        <v>40</v>
      </c>
      <c r="B301" s="270"/>
      <c r="C301" s="270"/>
      <c r="D301" s="270"/>
      <c r="E301" s="115" t="s">
        <v>41</v>
      </c>
      <c r="F301" s="271" t="e">
        <f>'[9]Bang TH nop'!B30</f>
        <v>#REF!</v>
      </c>
      <c r="G301" s="270"/>
      <c r="H301" s="270"/>
      <c r="I301" s="270"/>
      <c r="J301" s="270"/>
      <c r="K301" s="273"/>
      <c r="M301" s="269" t="s">
        <v>40</v>
      </c>
      <c r="N301" s="270"/>
      <c r="O301" s="270"/>
      <c r="P301" s="270"/>
      <c r="Q301" s="115" t="s">
        <v>41</v>
      </c>
      <c r="R301" s="271" t="e">
        <f>'[9]Bang TH nop'!B32</f>
        <v>#REF!</v>
      </c>
      <c r="S301" s="270"/>
      <c r="T301" s="270"/>
      <c r="U301" s="270"/>
      <c r="V301" s="270"/>
      <c r="W301" s="273"/>
    </row>
    <row r="302" spans="1:24" ht="18.75" customHeight="1">
      <c r="A302" s="269" t="s">
        <v>43</v>
      </c>
      <c r="B302" s="270"/>
      <c r="C302" s="270"/>
      <c r="D302" s="270"/>
      <c r="E302" s="115" t="s">
        <v>41</v>
      </c>
      <c r="F302" s="271" t="e">
        <f>'[9]Bang TH nop'!C30</f>
        <v>#REF!</v>
      </c>
      <c r="G302" s="271"/>
      <c r="H302" s="271"/>
      <c r="I302" s="271"/>
      <c r="J302" s="271"/>
      <c r="K302" s="272"/>
      <c r="M302" s="269" t="s">
        <v>43</v>
      </c>
      <c r="N302" s="270"/>
      <c r="O302" s="270"/>
      <c r="P302" s="270"/>
      <c r="Q302" s="115" t="s">
        <v>41</v>
      </c>
      <c r="R302" s="271" t="e">
        <f>'[9]Bang TH nop'!C32</f>
        <v>#REF!</v>
      </c>
      <c r="S302" s="271"/>
      <c r="T302" s="271"/>
      <c r="U302" s="271"/>
      <c r="V302" s="271"/>
      <c r="W302" s="272"/>
    </row>
    <row r="303" spans="1:24" ht="18.75" customHeight="1">
      <c r="A303" s="269" t="s">
        <v>44</v>
      </c>
      <c r="B303" s="270"/>
      <c r="C303" s="270"/>
      <c r="D303" s="270"/>
      <c r="E303" s="115" t="s">
        <v>41</v>
      </c>
      <c r="F303" s="270" t="s">
        <v>116</v>
      </c>
      <c r="G303" s="270"/>
      <c r="H303" s="270"/>
      <c r="I303" s="270"/>
      <c r="J303" s="270"/>
      <c r="K303" s="273"/>
      <c r="M303" s="269" t="s">
        <v>44</v>
      </c>
      <c r="N303" s="270"/>
      <c r="O303" s="270"/>
      <c r="P303" s="270"/>
      <c r="Q303" s="115" t="s">
        <v>41</v>
      </c>
      <c r="R303" s="270" t="s">
        <v>116</v>
      </c>
      <c r="S303" s="270"/>
      <c r="T303" s="270"/>
      <c r="U303" s="270"/>
      <c r="V303" s="270"/>
      <c r="W303" s="273"/>
    </row>
    <row r="304" spans="1:24" ht="18.75" customHeight="1">
      <c r="A304" s="277" t="s">
        <v>45</v>
      </c>
      <c r="B304" s="278"/>
      <c r="C304" s="278"/>
      <c r="D304" s="278"/>
      <c r="E304" s="278"/>
      <c r="F304" s="278"/>
      <c r="G304" s="278"/>
      <c r="H304" s="278"/>
      <c r="I304" s="278"/>
      <c r="J304" s="278"/>
      <c r="K304" s="279"/>
      <c r="M304" s="277" t="s">
        <v>45</v>
      </c>
      <c r="N304" s="278"/>
      <c r="O304" s="278"/>
      <c r="P304" s="278"/>
      <c r="Q304" s="278"/>
      <c r="R304" s="278"/>
      <c r="S304" s="278"/>
      <c r="T304" s="278"/>
      <c r="U304" s="278"/>
      <c r="V304" s="278"/>
      <c r="W304" s="279"/>
    </row>
    <row r="305" spans="1:24" ht="18.75" customHeight="1">
      <c r="A305" s="269" t="s">
        <v>46</v>
      </c>
      <c r="B305" s="270"/>
      <c r="C305" s="270"/>
      <c r="D305" s="270"/>
      <c r="E305" s="115" t="s">
        <v>41</v>
      </c>
      <c r="F305" s="284">
        <v>2915400</v>
      </c>
      <c r="G305" s="284"/>
      <c r="H305" s="284"/>
      <c r="I305" s="284"/>
      <c r="J305" s="115" t="s">
        <v>47</v>
      </c>
      <c r="K305" s="116"/>
      <c r="M305" s="269" t="s">
        <v>46</v>
      </c>
      <c r="N305" s="270"/>
      <c r="O305" s="270"/>
      <c r="P305" s="270"/>
      <c r="Q305" s="115" t="s">
        <v>41</v>
      </c>
      <c r="R305" s="284">
        <v>2915400</v>
      </c>
      <c r="S305" s="284"/>
      <c r="T305" s="284"/>
      <c r="U305" s="284"/>
      <c r="V305" s="115" t="s">
        <v>47</v>
      </c>
      <c r="W305" s="116"/>
    </row>
    <row r="306" spans="1:24" ht="18.75" customHeight="1">
      <c r="A306" s="117" t="s">
        <v>48</v>
      </c>
      <c r="B306" s="115"/>
      <c r="C306" s="118"/>
      <c r="D306" s="119"/>
      <c r="E306" s="120"/>
      <c r="F306" s="120"/>
      <c r="G306" s="120"/>
      <c r="H306" s="115"/>
      <c r="I306" s="121" t="e">
        <f>'[9]LUONG T7'!F15</f>
        <v>#REF!</v>
      </c>
      <c r="J306" s="122"/>
      <c r="K306" s="123"/>
      <c r="M306" s="117" t="s">
        <v>48</v>
      </c>
      <c r="N306" s="115"/>
      <c r="O306" s="118"/>
      <c r="P306" s="119"/>
      <c r="Q306" s="120"/>
      <c r="R306" s="120"/>
      <c r="S306" s="120"/>
      <c r="T306" s="115"/>
      <c r="U306" s="121">
        <f>'[9]LUONG T7'!F17</f>
        <v>0</v>
      </c>
      <c r="V306" s="122"/>
      <c r="W306" s="123"/>
    </row>
    <row r="307" spans="1:24" ht="18.75" customHeight="1">
      <c r="A307" s="117" t="s">
        <v>49</v>
      </c>
      <c r="B307" s="115"/>
      <c r="C307" s="118"/>
      <c r="D307" s="119"/>
      <c r="E307" s="120"/>
      <c r="F307" s="120"/>
      <c r="G307" s="120"/>
      <c r="H307" s="115"/>
      <c r="I307" s="121">
        <f>I308/C308/8</f>
        <v>23076.923076923078</v>
      </c>
      <c r="J307" s="122"/>
      <c r="K307" s="123"/>
      <c r="M307" s="117" t="s">
        <v>49</v>
      </c>
      <c r="N307" s="115"/>
      <c r="O307" s="118"/>
      <c r="P307" s="119"/>
      <c r="Q307" s="120"/>
      <c r="R307" s="120"/>
      <c r="S307" s="120"/>
      <c r="T307" s="115"/>
      <c r="U307" s="121">
        <f>U308/O308/8</f>
        <v>19615.384615384617</v>
      </c>
      <c r="V307" s="122"/>
      <c r="W307" s="123"/>
    </row>
    <row r="308" spans="1:24" ht="18.75" customHeight="1">
      <c r="A308" s="117" t="s">
        <v>50</v>
      </c>
      <c r="B308" s="115" t="s">
        <v>41</v>
      </c>
      <c r="C308" s="118">
        <f>'[9]LUONG T7'!I14</f>
        <v>26</v>
      </c>
      <c r="D308" s="119" t="s">
        <v>51</v>
      </c>
      <c r="E308" s="282" t="s">
        <v>52</v>
      </c>
      <c r="F308" s="282"/>
      <c r="G308" s="282"/>
      <c r="H308" s="115" t="s">
        <v>41</v>
      </c>
      <c r="I308" s="283">
        <f>'[9]LUONG T7'!I15</f>
        <v>4800000</v>
      </c>
      <c r="J308" s="283"/>
      <c r="K308" s="123" t="s">
        <v>47</v>
      </c>
      <c r="L308" s="124">
        <f>F305/L298*C308</f>
        <v>3032016</v>
      </c>
      <c r="M308" s="117" t="s">
        <v>50</v>
      </c>
      <c r="N308" s="115" t="s">
        <v>41</v>
      </c>
      <c r="O308" s="118">
        <f>'[9]LUONG T7'!I16</f>
        <v>11</v>
      </c>
      <c r="P308" s="119" t="s">
        <v>51</v>
      </c>
      <c r="Q308" s="282" t="s">
        <v>52</v>
      </c>
      <c r="R308" s="282"/>
      <c r="S308" s="282"/>
      <c r="T308" s="115" t="s">
        <v>41</v>
      </c>
      <c r="U308" s="283">
        <f>'[9]LUONG T7'!I17</f>
        <v>1726153.8461538462</v>
      </c>
      <c r="V308" s="283"/>
      <c r="W308" s="123" t="s">
        <v>47</v>
      </c>
      <c r="X308" s="124">
        <f>R305/X298*O308</f>
        <v>1282776</v>
      </c>
    </row>
    <row r="309" spans="1:24" ht="18.75" customHeight="1">
      <c r="A309" s="117" t="s">
        <v>53</v>
      </c>
      <c r="B309" s="115" t="s">
        <v>41</v>
      </c>
      <c r="C309" s="118">
        <f>'[9]LUONG T7'!J14</f>
        <v>0</v>
      </c>
      <c r="D309" s="119" t="s">
        <v>51</v>
      </c>
      <c r="E309" s="270" t="s">
        <v>54</v>
      </c>
      <c r="F309" s="270"/>
      <c r="G309" s="270"/>
      <c r="H309" s="115" t="s">
        <v>41</v>
      </c>
      <c r="I309" s="281">
        <f>$F$8/$L$1*C309</f>
        <v>0</v>
      </c>
      <c r="J309" s="281"/>
      <c r="K309" s="123" t="s">
        <v>47</v>
      </c>
      <c r="L309" s="124"/>
      <c r="M309" s="117" t="s">
        <v>53</v>
      </c>
      <c r="N309" s="115" t="s">
        <v>41</v>
      </c>
      <c r="O309" s="118">
        <f>'[9]LUONG T7'!J16</f>
        <v>0</v>
      </c>
      <c r="P309" s="119" t="s">
        <v>51</v>
      </c>
      <c r="Q309" s="270" t="s">
        <v>54</v>
      </c>
      <c r="R309" s="270"/>
      <c r="S309" s="270"/>
      <c r="T309" s="115" t="s">
        <v>41</v>
      </c>
      <c r="U309" s="281">
        <f>$F$8/$L$1*O309</f>
        <v>0</v>
      </c>
      <c r="V309" s="281"/>
      <c r="W309" s="123" t="s">
        <v>47</v>
      </c>
      <c r="X309" s="124"/>
    </row>
    <row r="310" spans="1:24" ht="18.75" customHeight="1">
      <c r="A310" s="117" t="s">
        <v>55</v>
      </c>
      <c r="B310" s="115" t="s">
        <v>41</v>
      </c>
      <c r="C310" s="118">
        <f>'[9]LUONG T7'!K14</f>
        <v>0</v>
      </c>
      <c r="D310" s="119" t="s">
        <v>51</v>
      </c>
      <c r="E310" s="280" t="s">
        <v>56</v>
      </c>
      <c r="F310" s="280"/>
      <c r="G310" s="280"/>
      <c r="H310" s="115" t="s">
        <v>41</v>
      </c>
      <c r="I310" s="281">
        <f>$F$8/$L$1*C310</f>
        <v>0</v>
      </c>
      <c r="J310" s="281"/>
      <c r="K310" s="123" t="s">
        <v>47</v>
      </c>
      <c r="L310" s="124"/>
      <c r="M310" s="117" t="s">
        <v>55</v>
      </c>
      <c r="N310" s="115" t="s">
        <v>41</v>
      </c>
      <c r="O310" s="118">
        <f>'[9]LUONG T7'!K16</f>
        <v>0</v>
      </c>
      <c r="P310" s="119" t="s">
        <v>51</v>
      </c>
      <c r="Q310" s="280" t="s">
        <v>56</v>
      </c>
      <c r="R310" s="280"/>
      <c r="S310" s="280"/>
      <c r="T310" s="115" t="s">
        <v>41</v>
      </c>
      <c r="U310" s="281">
        <f>$F$8/$L$1*O310</f>
        <v>0</v>
      </c>
      <c r="V310" s="281"/>
      <c r="W310" s="123" t="s">
        <v>47</v>
      </c>
      <c r="X310" s="124"/>
    </row>
    <row r="311" spans="1:24" ht="18.75" customHeight="1">
      <c r="A311" s="117" t="s">
        <v>57</v>
      </c>
      <c r="B311" s="115" t="s">
        <v>41</v>
      </c>
      <c r="C311" s="118" t="e">
        <f>'[9]LUONG T7'!L14</f>
        <v>#REF!</v>
      </c>
      <c r="D311" s="119" t="s">
        <v>51</v>
      </c>
      <c r="E311" s="280" t="s">
        <v>58</v>
      </c>
      <c r="F311" s="280"/>
      <c r="G311" s="280"/>
      <c r="H311" s="115" t="s">
        <v>41</v>
      </c>
      <c r="I311" s="281" t="e">
        <f>$F$8/$L$1*C311</f>
        <v>#REF!</v>
      </c>
      <c r="J311" s="281"/>
      <c r="K311" s="123" t="s">
        <v>47</v>
      </c>
      <c r="L311" s="124"/>
      <c r="M311" s="117" t="s">
        <v>57</v>
      </c>
      <c r="N311" s="115" t="s">
        <v>41</v>
      </c>
      <c r="O311" s="118">
        <f>'[9]LUONG T7'!L16</f>
        <v>0</v>
      </c>
      <c r="P311" s="119" t="s">
        <v>51</v>
      </c>
      <c r="Q311" s="280" t="s">
        <v>58</v>
      </c>
      <c r="R311" s="280"/>
      <c r="S311" s="280"/>
      <c r="T311" s="115" t="s">
        <v>41</v>
      </c>
      <c r="U311" s="281">
        <f>$F$8/$L$1*O311</f>
        <v>0</v>
      </c>
      <c r="V311" s="281"/>
      <c r="W311" s="123" t="s">
        <v>47</v>
      </c>
      <c r="X311" s="124"/>
    </row>
    <row r="312" spans="1:24" ht="18.75" customHeight="1">
      <c r="A312" s="117" t="s">
        <v>59</v>
      </c>
      <c r="B312" s="115" t="s">
        <v>41</v>
      </c>
      <c r="C312" s="118">
        <f>'[9]LUONG T7'!Q14</f>
        <v>68</v>
      </c>
      <c r="D312" s="119" t="s">
        <v>60</v>
      </c>
      <c r="E312" s="270" t="s">
        <v>61</v>
      </c>
      <c r="F312" s="270"/>
      <c r="G312" s="270"/>
      <c r="H312" s="115" t="s">
        <v>41</v>
      </c>
      <c r="I312" s="281">
        <f>'[9]LUONG T7'!Q15</f>
        <v>2353846.153846154</v>
      </c>
      <c r="J312" s="281"/>
      <c r="K312" s="123" t="s">
        <v>47</v>
      </c>
      <c r="L312" s="124">
        <f>F305*C312/L298/8*1.5</f>
        <v>1486854</v>
      </c>
      <c r="M312" s="117" t="s">
        <v>59</v>
      </c>
      <c r="N312" s="115" t="s">
        <v>41</v>
      </c>
      <c r="O312" s="118">
        <f>'[9]LUONG T7'!Q16</f>
        <v>25</v>
      </c>
      <c r="P312" s="119" t="s">
        <v>60</v>
      </c>
      <c r="Q312" s="270" t="s">
        <v>61</v>
      </c>
      <c r="R312" s="270"/>
      <c r="S312" s="270"/>
      <c r="T312" s="115" t="s">
        <v>41</v>
      </c>
      <c r="U312" s="281">
        <f>'[9]LUONG T7'!Q17</f>
        <v>735576.92307692312</v>
      </c>
      <c r="V312" s="281"/>
      <c r="W312" s="123" t="s">
        <v>47</v>
      </c>
      <c r="X312" s="124">
        <f>R305*O312/X298/8*1.5</f>
        <v>546637.5</v>
      </c>
    </row>
    <row r="313" spans="1:24" ht="18.75" customHeight="1">
      <c r="A313" s="269" t="s">
        <v>62</v>
      </c>
      <c r="B313" s="270"/>
      <c r="C313" s="118"/>
      <c r="D313" s="119" t="s">
        <v>51</v>
      </c>
      <c r="E313" s="270" t="s">
        <v>63</v>
      </c>
      <c r="F313" s="270"/>
      <c r="G313" s="270"/>
      <c r="H313" s="125" t="s">
        <v>41</v>
      </c>
      <c r="I313" s="281"/>
      <c r="J313" s="281"/>
      <c r="K313" s="123" t="s">
        <v>47</v>
      </c>
      <c r="L313" s="124"/>
      <c r="M313" s="269" t="s">
        <v>62</v>
      </c>
      <c r="N313" s="270"/>
      <c r="O313" s="118"/>
      <c r="P313" s="119" t="s">
        <v>51</v>
      </c>
      <c r="Q313" s="270" t="s">
        <v>63</v>
      </c>
      <c r="R313" s="270"/>
      <c r="S313" s="270"/>
      <c r="T313" s="125" t="s">
        <v>41</v>
      </c>
      <c r="U313" s="281"/>
      <c r="V313" s="281"/>
      <c r="W313" s="123" t="s">
        <v>47</v>
      </c>
      <c r="X313" s="124"/>
    </row>
    <row r="314" spans="1:24" ht="18.75" customHeight="1">
      <c r="A314" s="117" t="s">
        <v>64</v>
      </c>
      <c r="B314" s="115" t="s">
        <v>41</v>
      </c>
      <c r="C314" s="118"/>
      <c r="D314" s="119" t="s">
        <v>51</v>
      </c>
      <c r="E314" s="270" t="s">
        <v>65</v>
      </c>
      <c r="F314" s="270"/>
      <c r="G314" s="270"/>
      <c r="H314" s="115" t="s">
        <v>41</v>
      </c>
      <c r="I314" s="281"/>
      <c r="J314" s="281"/>
      <c r="K314" s="123" t="s">
        <v>47</v>
      </c>
      <c r="L314" s="124"/>
      <c r="M314" s="117" t="s">
        <v>64</v>
      </c>
      <c r="N314" s="115" t="s">
        <v>41</v>
      </c>
      <c r="O314" s="118"/>
      <c r="P314" s="119" t="s">
        <v>51</v>
      </c>
      <c r="Q314" s="270" t="s">
        <v>65</v>
      </c>
      <c r="R314" s="270"/>
      <c r="S314" s="270"/>
      <c r="T314" s="115" t="s">
        <v>41</v>
      </c>
      <c r="U314" s="281"/>
      <c r="V314" s="281"/>
      <c r="W314" s="123" t="s">
        <v>47</v>
      </c>
      <c r="X314" s="124"/>
    </row>
    <row r="315" spans="1:24" ht="18.75" customHeight="1">
      <c r="A315" s="126" t="s">
        <v>66</v>
      </c>
      <c r="B315" s="115"/>
      <c r="C315" s="118">
        <f>'[9]LUONG T7'!M14</f>
        <v>0</v>
      </c>
      <c r="D315" s="119" t="s">
        <v>60</v>
      </c>
      <c r="E315" s="270" t="s">
        <v>67</v>
      </c>
      <c r="F315" s="270"/>
      <c r="G315" s="270"/>
      <c r="H315" s="115" t="s">
        <v>41</v>
      </c>
      <c r="I315" s="281">
        <f>$F$8*C315/8/$L$1</f>
        <v>0</v>
      </c>
      <c r="J315" s="281"/>
      <c r="K315" s="123" t="s">
        <v>47</v>
      </c>
      <c r="L315" s="124"/>
      <c r="M315" s="126" t="s">
        <v>66</v>
      </c>
      <c r="N315" s="115"/>
      <c r="O315" s="118">
        <f>'[9]LUONG T7'!M16</f>
        <v>0</v>
      </c>
      <c r="P315" s="119" t="s">
        <v>60</v>
      </c>
      <c r="Q315" s="270" t="s">
        <v>67</v>
      </c>
      <c r="R315" s="270"/>
      <c r="S315" s="270"/>
      <c r="T315" s="115" t="s">
        <v>41</v>
      </c>
      <c r="U315" s="281">
        <f>$F$8*O315/8/$L$1</f>
        <v>0</v>
      </c>
      <c r="V315" s="281"/>
      <c r="W315" s="123" t="s">
        <v>47</v>
      </c>
      <c r="X315" s="124"/>
    </row>
    <row r="316" spans="1:24" ht="18.75" customHeight="1">
      <c r="A316" s="117" t="s">
        <v>68</v>
      </c>
      <c r="B316" s="115" t="s">
        <v>41</v>
      </c>
      <c r="C316" s="118"/>
      <c r="D316" s="119" t="s">
        <v>60</v>
      </c>
      <c r="E316" s="270" t="s">
        <v>92</v>
      </c>
      <c r="F316" s="270"/>
      <c r="G316" s="270"/>
      <c r="H316" s="115" t="s">
        <v>41</v>
      </c>
      <c r="I316" s="283"/>
      <c r="J316" s="283"/>
      <c r="K316" s="123" t="s">
        <v>47</v>
      </c>
      <c r="L316" s="124"/>
      <c r="M316" s="117" t="s">
        <v>68</v>
      </c>
      <c r="N316" s="115" t="s">
        <v>41</v>
      </c>
      <c r="O316" s="118"/>
      <c r="P316" s="119" t="s">
        <v>60</v>
      </c>
      <c r="Q316" s="270" t="s">
        <v>92</v>
      </c>
      <c r="R316" s="270"/>
      <c r="S316" s="270"/>
      <c r="T316" s="115" t="s">
        <v>41</v>
      </c>
      <c r="U316" s="283"/>
      <c r="V316" s="283"/>
      <c r="W316" s="123" t="s">
        <v>47</v>
      </c>
      <c r="X316" s="124"/>
    </row>
    <row r="317" spans="1:24" ht="18.75" customHeight="1">
      <c r="A317" s="117" t="s">
        <v>70</v>
      </c>
      <c r="B317" s="115" t="s">
        <v>41</v>
      </c>
      <c r="C317" s="118"/>
      <c r="D317" s="119" t="s">
        <v>71</v>
      </c>
      <c r="E317" s="127" t="s">
        <v>72</v>
      </c>
      <c r="F317" s="127"/>
      <c r="G317" s="127"/>
      <c r="H317" s="115" t="s">
        <v>41</v>
      </c>
      <c r="I317" s="281"/>
      <c r="J317" s="281"/>
      <c r="K317" s="123" t="s">
        <v>47</v>
      </c>
      <c r="L317" s="124">
        <f>+IF(L308-I308&lt;0,0,L308-I308)+IF(L312-I312&lt;0,0,L312-I312)</f>
        <v>0</v>
      </c>
      <c r="M317" s="117" t="s">
        <v>70</v>
      </c>
      <c r="N317" s="115" t="s">
        <v>41</v>
      </c>
      <c r="O317" s="118"/>
      <c r="P317" s="119" t="s">
        <v>71</v>
      </c>
      <c r="Q317" s="127" t="s">
        <v>72</v>
      </c>
      <c r="R317" s="127"/>
      <c r="S317" s="127"/>
      <c r="T317" s="115" t="s">
        <v>41</v>
      </c>
      <c r="U317" s="281"/>
      <c r="V317" s="281"/>
      <c r="W317" s="123" t="s">
        <v>47</v>
      </c>
      <c r="X317" s="124">
        <f>+IF(X308-U308&lt;0,0,X308-U308)+IF(X312-U312&lt;0,0,X312-U312)</f>
        <v>0</v>
      </c>
    </row>
    <row r="318" spans="1:24" ht="18.75" customHeight="1">
      <c r="A318" s="128" t="s">
        <v>117</v>
      </c>
      <c r="B318" s="129"/>
      <c r="C318" s="118"/>
      <c r="D318" s="119" t="s">
        <v>51</v>
      </c>
      <c r="E318" s="270" t="s">
        <v>118</v>
      </c>
      <c r="F318" s="270"/>
      <c r="G318" s="270"/>
      <c r="H318" s="115" t="s">
        <v>41</v>
      </c>
      <c r="I318" s="281"/>
      <c r="J318" s="281"/>
      <c r="K318" s="123" t="s">
        <v>47</v>
      </c>
      <c r="L318" s="124"/>
      <c r="M318" s="128" t="s">
        <v>117</v>
      </c>
      <c r="N318" s="129"/>
      <c r="O318" s="118"/>
      <c r="P318" s="119" t="s">
        <v>51</v>
      </c>
      <c r="Q318" s="270" t="s">
        <v>118</v>
      </c>
      <c r="R318" s="270"/>
      <c r="S318" s="270"/>
      <c r="T318" s="115" t="s">
        <v>41</v>
      </c>
      <c r="U318" s="281"/>
      <c r="V318" s="281"/>
      <c r="W318" s="123" t="s">
        <v>47</v>
      </c>
      <c r="X318" s="124"/>
    </row>
    <row r="319" spans="1:24" ht="18.75" customHeight="1">
      <c r="A319" s="288" t="s">
        <v>75</v>
      </c>
      <c r="B319" s="282"/>
      <c r="C319" s="118"/>
      <c r="D319" s="119"/>
      <c r="E319" s="120"/>
      <c r="F319" s="120"/>
      <c r="G319" s="120"/>
      <c r="H319" s="115" t="s">
        <v>41</v>
      </c>
      <c r="I319" s="281">
        <f>'[9]LUONG T7'!P15</f>
        <v>260000</v>
      </c>
      <c r="J319" s="281"/>
      <c r="K319" s="123" t="s">
        <v>47</v>
      </c>
      <c r="L319" s="124"/>
      <c r="M319" s="288" t="s">
        <v>75</v>
      </c>
      <c r="N319" s="282"/>
      <c r="O319" s="118"/>
      <c r="P319" s="119"/>
      <c r="Q319" s="120"/>
      <c r="R319" s="120"/>
      <c r="S319" s="120"/>
      <c r="T319" s="115" t="s">
        <v>41</v>
      </c>
      <c r="U319" s="281">
        <f>'[9]LUONG T7'!P17</f>
        <v>110000</v>
      </c>
      <c r="V319" s="281"/>
      <c r="W319" s="123" t="s">
        <v>47</v>
      </c>
      <c r="X319" s="124"/>
    </row>
    <row r="320" spans="1:24" ht="18.75" customHeight="1">
      <c r="A320" s="117" t="s">
        <v>76</v>
      </c>
      <c r="B320" s="115" t="s">
        <v>41</v>
      </c>
      <c r="C320" s="118"/>
      <c r="D320" s="119"/>
      <c r="E320" s="120" t="s">
        <v>77</v>
      </c>
      <c r="F320" s="120"/>
      <c r="G320" s="120"/>
      <c r="H320" s="115" t="s">
        <v>41</v>
      </c>
      <c r="I320" s="281">
        <f>L317</f>
        <v>0</v>
      </c>
      <c r="J320" s="281"/>
      <c r="K320" s="123" t="s">
        <v>47</v>
      </c>
      <c r="L320" s="124"/>
      <c r="M320" s="117" t="s">
        <v>76</v>
      </c>
      <c r="N320" s="115" t="s">
        <v>41</v>
      </c>
      <c r="O320" s="118"/>
      <c r="P320" s="119"/>
      <c r="Q320" s="120" t="s">
        <v>77</v>
      </c>
      <c r="R320" s="120"/>
      <c r="S320" s="120"/>
      <c r="T320" s="115" t="s">
        <v>41</v>
      </c>
      <c r="U320" s="281">
        <f>X317</f>
        <v>0</v>
      </c>
      <c r="V320" s="281"/>
      <c r="W320" s="123" t="s">
        <v>47</v>
      </c>
      <c r="X320" s="124"/>
    </row>
    <row r="321" spans="1:24" ht="18.75" customHeight="1">
      <c r="A321" s="285" t="s">
        <v>78</v>
      </c>
      <c r="B321" s="286"/>
      <c r="C321" s="286"/>
      <c r="D321" s="286"/>
      <c r="E321" s="286"/>
      <c r="F321" s="286"/>
      <c r="G321" s="115" t="s">
        <v>41</v>
      </c>
      <c r="H321" s="287" t="e">
        <f>I308+I309+I310+I311+I312+I315+I319+I320</f>
        <v>#REF!</v>
      </c>
      <c r="I321" s="287"/>
      <c r="J321" s="287"/>
      <c r="K321" s="123" t="s">
        <v>47</v>
      </c>
      <c r="M321" s="285" t="s">
        <v>78</v>
      </c>
      <c r="N321" s="286"/>
      <c r="O321" s="286"/>
      <c r="P321" s="286"/>
      <c r="Q321" s="286"/>
      <c r="R321" s="286"/>
      <c r="S321" s="115" t="s">
        <v>41</v>
      </c>
      <c r="T321" s="287">
        <f>U308+U309+U310+U311+U312+U315+U319+U320</f>
        <v>2571730.7692307695</v>
      </c>
      <c r="U321" s="287"/>
      <c r="V321" s="287"/>
      <c r="W321" s="123" t="s">
        <v>47</v>
      </c>
    </row>
    <row r="322" spans="1:24" ht="18.75" customHeight="1">
      <c r="A322" s="130"/>
      <c r="B322" s="131"/>
      <c r="C322" s="131"/>
      <c r="D322" s="131"/>
      <c r="E322" s="131"/>
      <c r="F322" s="131"/>
      <c r="G322" s="131"/>
      <c r="H322" s="131"/>
      <c r="I322" s="131"/>
      <c r="J322" s="131"/>
      <c r="K322" s="132"/>
      <c r="M322" s="130"/>
      <c r="N322" s="131"/>
      <c r="O322" s="131"/>
      <c r="P322" s="131"/>
      <c r="Q322" s="131"/>
      <c r="R322" s="131"/>
      <c r="S322" s="131"/>
      <c r="T322" s="131"/>
      <c r="U322" s="131"/>
      <c r="V322" s="131"/>
      <c r="W322" s="132"/>
    </row>
    <row r="323" spans="1:24" ht="18.75" customHeight="1">
      <c r="A323" s="295" t="s">
        <v>79</v>
      </c>
      <c r="B323" s="296"/>
      <c r="C323" s="296"/>
      <c r="D323" s="296"/>
      <c r="E323" s="296"/>
      <c r="F323" s="296"/>
      <c r="G323" s="115"/>
      <c r="H323" s="115"/>
      <c r="I323" s="115"/>
      <c r="J323" s="115"/>
      <c r="K323" s="123"/>
      <c r="M323" s="295" t="s">
        <v>79</v>
      </c>
      <c r="N323" s="296"/>
      <c r="O323" s="296"/>
      <c r="P323" s="296"/>
      <c r="Q323" s="296"/>
      <c r="R323" s="296"/>
      <c r="S323" s="115"/>
      <c r="T323" s="115"/>
      <c r="U323" s="115"/>
      <c r="V323" s="115"/>
      <c r="W323" s="123"/>
    </row>
    <row r="324" spans="1:24" ht="18.75" customHeight="1">
      <c r="A324" s="289" t="s">
        <v>80</v>
      </c>
      <c r="B324" s="290"/>
      <c r="C324" s="290"/>
      <c r="D324" s="290"/>
      <c r="E324" s="290"/>
      <c r="F324" s="290"/>
      <c r="G324" s="115" t="s">
        <v>41</v>
      </c>
      <c r="H324" s="297" t="e">
        <f>IF(($L$1-(C308+C309+C310+C311))&gt;12,0,F305*8%)</f>
        <v>#REF!</v>
      </c>
      <c r="I324" s="297"/>
      <c r="J324" s="297"/>
      <c r="K324" s="123" t="s">
        <v>47</v>
      </c>
      <c r="M324" s="289" t="s">
        <v>80</v>
      </c>
      <c r="N324" s="290"/>
      <c r="O324" s="290"/>
      <c r="P324" s="290"/>
      <c r="Q324" s="290"/>
      <c r="R324" s="290"/>
      <c r="S324" s="115" t="s">
        <v>41</v>
      </c>
      <c r="T324" s="297">
        <f>IF(($L$1-(O308+O309+O310+O311))&gt;12,0,R305*8%)</f>
        <v>0</v>
      </c>
      <c r="U324" s="297"/>
      <c r="V324" s="297"/>
      <c r="W324" s="123" t="s">
        <v>47</v>
      </c>
    </row>
    <row r="325" spans="1:24" ht="18.75" customHeight="1">
      <c r="A325" s="289" t="s">
        <v>81</v>
      </c>
      <c r="B325" s="290"/>
      <c r="C325" s="290"/>
      <c r="D325" s="290"/>
      <c r="E325" s="290"/>
      <c r="F325" s="290"/>
      <c r="G325" s="115" t="s">
        <v>41</v>
      </c>
      <c r="H325" s="291" t="e">
        <f>IF(($L$1-(C308+C309+C310+C311))&gt;12,0,F305*1.5%)</f>
        <v>#REF!</v>
      </c>
      <c r="I325" s="291"/>
      <c r="J325" s="291"/>
      <c r="K325" s="123" t="s">
        <v>47</v>
      </c>
      <c r="M325" s="289" t="s">
        <v>81</v>
      </c>
      <c r="N325" s="290"/>
      <c r="O325" s="290"/>
      <c r="P325" s="290"/>
      <c r="Q325" s="290"/>
      <c r="R325" s="290"/>
      <c r="S325" s="115" t="s">
        <v>41</v>
      </c>
      <c r="T325" s="291">
        <f>IF(($L$1-(O308+O309+O310+O311))&gt;12,0,R305*1.5%)</f>
        <v>0</v>
      </c>
      <c r="U325" s="291"/>
      <c r="V325" s="291"/>
      <c r="W325" s="123" t="s">
        <v>47</v>
      </c>
    </row>
    <row r="326" spans="1:24" ht="18.75" customHeight="1">
      <c r="A326" s="289" t="s">
        <v>82</v>
      </c>
      <c r="B326" s="290"/>
      <c r="C326" s="290"/>
      <c r="D326" s="290"/>
      <c r="E326" s="290"/>
      <c r="F326" s="290"/>
      <c r="G326" s="115" t="s">
        <v>41</v>
      </c>
      <c r="H326" s="291" t="e">
        <f>IF(($L$1-(C308+C309+C310+C311))&gt;12,0,F305*1%)</f>
        <v>#REF!</v>
      </c>
      <c r="I326" s="291"/>
      <c r="J326" s="291"/>
      <c r="K326" s="123" t="s">
        <v>47</v>
      </c>
      <c r="M326" s="289" t="s">
        <v>82</v>
      </c>
      <c r="N326" s="290"/>
      <c r="O326" s="290"/>
      <c r="P326" s="290"/>
      <c r="Q326" s="290"/>
      <c r="R326" s="290"/>
      <c r="S326" s="115" t="s">
        <v>41</v>
      </c>
      <c r="T326" s="291">
        <f>IF(($L$1-(O308+O309+O310+O311))&gt;12,0,R305*1%)</f>
        <v>0</v>
      </c>
      <c r="U326" s="291"/>
      <c r="V326" s="291"/>
      <c r="W326" s="123" t="s">
        <v>47</v>
      </c>
    </row>
    <row r="327" spans="1:24" ht="18.75" customHeight="1">
      <c r="A327" s="289" t="s">
        <v>83</v>
      </c>
      <c r="B327" s="290"/>
      <c r="C327" s="290"/>
      <c r="D327" s="290"/>
      <c r="E327" s="290"/>
      <c r="F327" s="290"/>
      <c r="G327" s="115" t="s">
        <v>41</v>
      </c>
      <c r="H327" s="291">
        <v>0</v>
      </c>
      <c r="I327" s="291"/>
      <c r="J327" s="291"/>
      <c r="K327" s="123" t="s">
        <v>47</v>
      </c>
      <c r="M327" s="289" t="s">
        <v>83</v>
      </c>
      <c r="N327" s="290"/>
      <c r="O327" s="290"/>
      <c r="P327" s="290"/>
      <c r="Q327" s="290"/>
      <c r="R327" s="290"/>
      <c r="S327" s="115" t="s">
        <v>41</v>
      </c>
      <c r="T327" s="291">
        <v>0</v>
      </c>
      <c r="U327" s="291"/>
      <c r="V327" s="291"/>
      <c r="W327" s="123" t="s">
        <v>47</v>
      </c>
    </row>
    <row r="328" spans="1:24" ht="18.75" customHeight="1">
      <c r="A328" s="292" t="s">
        <v>84</v>
      </c>
      <c r="B328" s="293"/>
      <c r="C328" s="293"/>
      <c r="D328" s="293"/>
      <c r="E328" s="293"/>
      <c r="F328" s="293"/>
      <c r="G328" s="115" t="s">
        <v>41</v>
      </c>
      <c r="H328" s="294" t="e">
        <f>SUM(H324:J327)</f>
        <v>#REF!</v>
      </c>
      <c r="I328" s="294"/>
      <c r="J328" s="294"/>
      <c r="K328" s="123" t="s">
        <v>47</v>
      </c>
      <c r="M328" s="292" t="s">
        <v>84</v>
      </c>
      <c r="N328" s="293"/>
      <c r="O328" s="293"/>
      <c r="P328" s="293"/>
      <c r="Q328" s="293"/>
      <c r="R328" s="293"/>
      <c r="S328" s="115" t="s">
        <v>41</v>
      </c>
      <c r="T328" s="294">
        <f>SUM(T324:V327)</f>
        <v>0</v>
      </c>
      <c r="U328" s="294"/>
      <c r="V328" s="294"/>
      <c r="W328" s="123" t="s">
        <v>47</v>
      </c>
    </row>
    <row r="329" spans="1:24" ht="18.75" customHeight="1">
      <c r="A329" s="289" t="s">
        <v>85</v>
      </c>
      <c r="B329" s="290"/>
      <c r="C329" s="290"/>
      <c r="D329" s="290"/>
      <c r="E329" s="290"/>
      <c r="F329" s="290"/>
      <c r="G329" s="115" t="s">
        <v>41</v>
      </c>
      <c r="H329" s="301" t="e">
        <f>ROUND(H321-H328,-2)</f>
        <v>#REF!</v>
      </c>
      <c r="I329" s="301"/>
      <c r="J329" s="301"/>
      <c r="K329" s="123" t="s">
        <v>47</v>
      </c>
      <c r="M329" s="289" t="s">
        <v>85</v>
      </c>
      <c r="N329" s="290"/>
      <c r="O329" s="290"/>
      <c r="P329" s="290"/>
      <c r="Q329" s="290"/>
      <c r="R329" s="290"/>
      <c r="S329" s="115" t="s">
        <v>41</v>
      </c>
      <c r="T329" s="301">
        <f>ROUND(T321-T328,-2)</f>
        <v>2571700</v>
      </c>
      <c r="U329" s="301"/>
      <c r="V329" s="301"/>
      <c r="W329" s="123" t="s">
        <v>47</v>
      </c>
    </row>
    <row r="330" spans="1:24" ht="18.75" customHeight="1">
      <c r="A330" s="133"/>
      <c r="B330" s="134"/>
      <c r="C330" s="134"/>
      <c r="D330" s="134"/>
      <c r="E330" s="134"/>
      <c r="F330" s="134"/>
      <c r="G330" s="134"/>
      <c r="H330" s="134"/>
      <c r="I330" s="134"/>
      <c r="J330" s="134"/>
      <c r="K330" s="135"/>
      <c r="M330" s="133"/>
      <c r="N330" s="134"/>
      <c r="O330" s="134"/>
      <c r="P330" s="134"/>
      <c r="Q330" s="134"/>
      <c r="R330" s="134"/>
      <c r="S330" s="134"/>
      <c r="T330" s="134"/>
      <c r="U330" s="134"/>
      <c r="V330" s="134"/>
      <c r="W330" s="135"/>
    </row>
    <row r="331" spans="1:24" ht="18.75" customHeight="1">
      <c r="A331" s="136"/>
      <c r="B331" s="115"/>
      <c r="C331" s="115"/>
      <c r="D331" s="115"/>
      <c r="E331" s="115"/>
      <c r="F331" s="115"/>
      <c r="G331" s="115"/>
      <c r="H331" s="115"/>
      <c r="I331" s="298" t="s">
        <v>86</v>
      </c>
      <c r="J331" s="298"/>
      <c r="K331" s="302"/>
      <c r="M331" s="136"/>
      <c r="N331" s="115"/>
      <c r="O331" s="115"/>
      <c r="P331" s="115"/>
      <c r="Q331" s="115"/>
      <c r="R331" s="115"/>
      <c r="S331" s="115"/>
      <c r="T331" s="115"/>
      <c r="U331" s="298" t="s">
        <v>86</v>
      </c>
      <c r="V331" s="298"/>
      <c r="W331" s="302"/>
    </row>
    <row r="332" spans="1:24" ht="18.75" customHeight="1">
      <c r="A332" s="136"/>
      <c r="B332" s="298"/>
      <c r="C332" s="298"/>
      <c r="D332" s="298"/>
      <c r="E332" s="298"/>
      <c r="F332" s="115"/>
      <c r="G332" s="115"/>
      <c r="H332" s="115"/>
      <c r="I332" s="115"/>
      <c r="J332" s="115"/>
      <c r="K332" s="116"/>
      <c r="M332" s="136"/>
      <c r="N332" s="298"/>
      <c r="O332" s="298"/>
      <c r="P332" s="298"/>
      <c r="Q332" s="298"/>
      <c r="R332" s="115"/>
      <c r="S332" s="115"/>
      <c r="T332" s="115"/>
      <c r="U332" s="115"/>
      <c r="V332" s="115"/>
      <c r="W332" s="116"/>
    </row>
    <row r="333" spans="1:24" ht="18.75" customHeight="1" thickBot="1">
      <c r="A333" s="137"/>
      <c r="B333" s="138"/>
      <c r="C333" s="138"/>
      <c r="D333" s="138"/>
      <c r="E333" s="138"/>
      <c r="F333" s="138"/>
      <c r="G333" s="138"/>
      <c r="H333" s="138"/>
      <c r="I333" s="299" t="s">
        <v>87</v>
      </c>
      <c r="J333" s="299"/>
      <c r="K333" s="300"/>
      <c r="M333" s="137"/>
      <c r="N333" s="138"/>
      <c r="O333" s="138"/>
      <c r="P333" s="138"/>
      <c r="Q333" s="138"/>
      <c r="R333" s="138"/>
      <c r="S333" s="138"/>
      <c r="T333" s="138"/>
      <c r="U333" s="299" t="s">
        <v>87</v>
      </c>
      <c r="V333" s="299"/>
      <c r="W333" s="300"/>
    </row>
    <row r="335" spans="1:24" ht="18.75" customHeight="1" thickTop="1">
      <c r="A335" s="274" t="s">
        <v>35</v>
      </c>
      <c r="B335" s="275"/>
      <c r="C335" s="275"/>
      <c r="D335" s="275"/>
      <c r="E335" s="275"/>
      <c r="F335" s="275"/>
      <c r="G335" s="275"/>
      <c r="H335" s="275"/>
      <c r="I335" s="275"/>
      <c r="J335" s="275"/>
      <c r="K335" s="276"/>
      <c r="L335" s="111">
        <v>25</v>
      </c>
      <c r="M335" s="274" t="s">
        <v>35</v>
      </c>
      <c r="N335" s="275"/>
      <c r="O335" s="275"/>
      <c r="P335" s="275"/>
      <c r="Q335" s="275"/>
      <c r="R335" s="275"/>
      <c r="S335" s="275"/>
      <c r="T335" s="275"/>
      <c r="U335" s="275"/>
      <c r="V335" s="275"/>
      <c r="W335" s="276"/>
      <c r="X335" s="111">
        <v>25</v>
      </c>
    </row>
    <row r="336" spans="1:24" ht="18.75" customHeight="1">
      <c r="A336" s="112" t="s">
        <v>121</v>
      </c>
      <c r="B336" s="113"/>
      <c r="C336" s="113"/>
      <c r="D336" s="113"/>
      <c r="E336" s="113"/>
      <c r="F336" s="113"/>
      <c r="G336" s="113"/>
      <c r="H336" s="113"/>
      <c r="I336" s="113"/>
      <c r="J336" s="113"/>
      <c r="K336" s="114"/>
      <c r="M336" s="112" t="s">
        <v>122</v>
      </c>
      <c r="N336" s="113"/>
      <c r="O336" s="113"/>
      <c r="P336" s="113"/>
      <c r="Q336" s="113"/>
      <c r="R336" s="113"/>
      <c r="S336" s="113"/>
      <c r="T336" s="113"/>
      <c r="U336" s="113"/>
      <c r="V336" s="113"/>
      <c r="W336" s="114"/>
    </row>
    <row r="337" spans="1:24" ht="18.75" customHeight="1">
      <c r="A337" s="277" t="s">
        <v>39</v>
      </c>
      <c r="B337" s="278"/>
      <c r="C337" s="278"/>
      <c r="D337" s="278"/>
      <c r="E337" s="278"/>
      <c r="F337" s="278"/>
      <c r="G337" s="278"/>
      <c r="H337" s="278"/>
      <c r="I337" s="278"/>
      <c r="J337" s="278"/>
      <c r="K337" s="279"/>
      <c r="M337" s="277" t="s">
        <v>39</v>
      </c>
      <c r="N337" s="278"/>
      <c r="O337" s="278"/>
      <c r="P337" s="278"/>
      <c r="Q337" s="278"/>
      <c r="R337" s="278"/>
      <c r="S337" s="278"/>
      <c r="T337" s="278"/>
      <c r="U337" s="278"/>
      <c r="V337" s="278"/>
      <c r="W337" s="279"/>
    </row>
    <row r="338" spans="1:24" ht="18.75" customHeight="1">
      <c r="A338" s="269" t="s">
        <v>40</v>
      </c>
      <c r="B338" s="270"/>
      <c r="C338" s="270"/>
      <c r="D338" s="270"/>
      <c r="E338" s="115" t="s">
        <v>41</v>
      </c>
      <c r="F338" s="271" t="e">
        <f>'[9]Bang TH nop'!B34</f>
        <v>#REF!</v>
      </c>
      <c r="G338" s="270"/>
      <c r="H338" s="270"/>
      <c r="I338" s="270"/>
      <c r="J338" s="270"/>
      <c r="K338" s="273"/>
      <c r="M338" s="269" t="s">
        <v>40</v>
      </c>
      <c r="N338" s="270"/>
      <c r="O338" s="270"/>
      <c r="P338" s="270"/>
      <c r="Q338" s="115" t="s">
        <v>41</v>
      </c>
      <c r="R338" s="271" t="e">
        <f>'[9]Bang TH nop'!B36</f>
        <v>#REF!</v>
      </c>
      <c r="S338" s="270"/>
      <c r="T338" s="270"/>
      <c r="U338" s="270"/>
      <c r="V338" s="270"/>
      <c r="W338" s="273"/>
    </row>
    <row r="339" spans="1:24" ht="18.75" customHeight="1">
      <c r="A339" s="269" t="s">
        <v>43</v>
      </c>
      <c r="B339" s="270"/>
      <c r="C339" s="270"/>
      <c r="D339" s="270"/>
      <c r="E339" s="115" t="s">
        <v>41</v>
      </c>
      <c r="F339" s="271" t="e">
        <f>'[9]Bang TH nop'!C34</f>
        <v>#REF!</v>
      </c>
      <c r="G339" s="271"/>
      <c r="H339" s="271"/>
      <c r="I339" s="271"/>
      <c r="J339" s="271"/>
      <c r="K339" s="272"/>
      <c r="M339" s="269" t="s">
        <v>43</v>
      </c>
      <c r="N339" s="270"/>
      <c r="O339" s="270"/>
      <c r="P339" s="270"/>
      <c r="Q339" s="115" t="s">
        <v>41</v>
      </c>
      <c r="R339" s="271" t="e">
        <f>'[9]Bang TH nop'!C36</f>
        <v>#REF!</v>
      </c>
      <c r="S339" s="271"/>
      <c r="T339" s="271"/>
      <c r="U339" s="271"/>
      <c r="V339" s="271"/>
      <c r="W339" s="272"/>
    </row>
    <row r="340" spans="1:24" ht="18.75" customHeight="1">
      <c r="A340" s="269" t="s">
        <v>44</v>
      </c>
      <c r="B340" s="270"/>
      <c r="C340" s="270"/>
      <c r="D340" s="270"/>
      <c r="E340" s="115" t="s">
        <v>41</v>
      </c>
      <c r="F340" s="270" t="s">
        <v>116</v>
      </c>
      <c r="G340" s="270"/>
      <c r="H340" s="270"/>
      <c r="I340" s="270"/>
      <c r="J340" s="270"/>
      <c r="K340" s="273"/>
      <c r="M340" s="269" t="s">
        <v>44</v>
      </c>
      <c r="N340" s="270"/>
      <c r="O340" s="270"/>
      <c r="P340" s="270"/>
      <c r="Q340" s="115" t="s">
        <v>41</v>
      </c>
      <c r="R340" s="270" t="s">
        <v>116</v>
      </c>
      <c r="S340" s="270"/>
      <c r="T340" s="270"/>
      <c r="U340" s="270"/>
      <c r="V340" s="270"/>
      <c r="W340" s="273"/>
    </row>
    <row r="341" spans="1:24" ht="18.75" customHeight="1">
      <c r="A341" s="277" t="s">
        <v>45</v>
      </c>
      <c r="B341" s="278"/>
      <c r="C341" s="278"/>
      <c r="D341" s="278"/>
      <c r="E341" s="278"/>
      <c r="F341" s="278"/>
      <c r="G341" s="278"/>
      <c r="H341" s="278"/>
      <c r="I341" s="278"/>
      <c r="J341" s="278"/>
      <c r="K341" s="279"/>
      <c r="M341" s="277" t="s">
        <v>45</v>
      </c>
      <c r="N341" s="278"/>
      <c r="O341" s="278"/>
      <c r="P341" s="278"/>
      <c r="Q341" s="278"/>
      <c r="R341" s="278"/>
      <c r="S341" s="278"/>
      <c r="T341" s="278"/>
      <c r="U341" s="278"/>
      <c r="V341" s="278"/>
      <c r="W341" s="279"/>
    </row>
    <row r="342" spans="1:24" ht="18.75" customHeight="1">
      <c r="A342" s="269" t="s">
        <v>46</v>
      </c>
      <c r="B342" s="270"/>
      <c r="C342" s="270"/>
      <c r="D342" s="270"/>
      <c r="E342" s="115" t="s">
        <v>41</v>
      </c>
      <c r="F342" s="284">
        <v>2915400</v>
      </c>
      <c r="G342" s="284"/>
      <c r="H342" s="284"/>
      <c r="I342" s="284"/>
      <c r="J342" s="115" t="s">
        <v>47</v>
      </c>
      <c r="K342" s="116"/>
      <c r="M342" s="269" t="s">
        <v>46</v>
      </c>
      <c r="N342" s="270"/>
      <c r="O342" s="270"/>
      <c r="P342" s="270"/>
      <c r="Q342" s="115" t="s">
        <v>41</v>
      </c>
      <c r="R342" s="284">
        <v>2915400</v>
      </c>
      <c r="S342" s="284"/>
      <c r="T342" s="284"/>
      <c r="U342" s="284"/>
      <c r="V342" s="115" t="s">
        <v>47</v>
      </c>
      <c r="W342" s="116"/>
    </row>
    <row r="343" spans="1:24" ht="18.75" customHeight="1">
      <c r="A343" s="117" t="s">
        <v>48</v>
      </c>
      <c r="B343" s="115"/>
      <c r="C343" s="118"/>
      <c r="D343" s="119"/>
      <c r="E343" s="120"/>
      <c r="F343" s="120"/>
      <c r="G343" s="120"/>
      <c r="H343" s="115"/>
      <c r="I343" s="121" t="e">
        <f>'[9]LUONG T7'!F19</f>
        <v>#REF!</v>
      </c>
      <c r="J343" s="122"/>
      <c r="K343" s="123"/>
      <c r="M343" s="117" t="s">
        <v>48</v>
      </c>
      <c r="N343" s="115"/>
      <c r="O343" s="118"/>
      <c r="P343" s="119"/>
      <c r="Q343" s="120"/>
      <c r="R343" s="120"/>
      <c r="S343" s="120"/>
      <c r="T343" s="115"/>
      <c r="U343" s="121" t="e">
        <f>'[9]LUONG T7'!F21</f>
        <v>#REF!</v>
      </c>
      <c r="V343" s="122"/>
      <c r="W343" s="123"/>
    </row>
    <row r="344" spans="1:24" ht="18.75" customHeight="1">
      <c r="A344" s="117" t="s">
        <v>49</v>
      </c>
      <c r="B344" s="115"/>
      <c r="C344" s="118"/>
      <c r="D344" s="119"/>
      <c r="E344" s="120"/>
      <c r="F344" s="120"/>
      <c r="G344" s="120"/>
      <c r="H344" s="115"/>
      <c r="I344" s="121" t="e">
        <f>I345/C345/8</f>
        <v>#REF!</v>
      </c>
      <c r="J344" s="122"/>
      <c r="K344" s="123"/>
      <c r="M344" s="117" t="s">
        <v>49</v>
      </c>
      <c r="N344" s="115"/>
      <c r="O344" s="118"/>
      <c r="P344" s="119"/>
      <c r="Q344" s="120"/>
      <c r="R344" s="120"/>
      <c r="S344" s="120"/>
      <c r="T344" s="115"/>
      <c r="U344" s="121" t="e">
        <f>U345/O345/8</f>
        <v>#REF!</v>
      </c>
      <c r="V344" s="122"/>
      <c r="W344" s="123"/>
    </row>
    <row r="345" spans="1:24" ht="18.75" customHeight="1">
      <c r="A345" s="117" t="s">
        <v>50</v>
      </c>
      <c r="B345" s="115" t="s">
        <v>41</v>
      </c>
      <c r="C345" s="118" t="e">
        <f>'[9]LUONG T7'!I18</f>
        <v>#REF!</v>
      </c>
      <c r="D345" s="119" t="s">
        <v>51</v>
      </c>
      <c r="E345" s="282" t="s">
        <v>52</v>
      </c>
      <c r="F345" s="282"/>
      <c r="G345" s="282"/>
      <c r="H345" s="115" t="s">
        <v>41</v>
      </c>
      <c r="I345" s="283" t="e">
        <f>'[9]LUONG T7'!I19</f>
        <v>#REF!</v>
      </c>
      <c r="J345" s="283"/>
      <c r="K345" s="123" t="s">
        <v>47</v>
      </c>
      <c r="L345" s="124" t="e">
        <f>F342/L335*C345</f>
        <v>#REF!</v>
      </c>
      <c r="M345" s="117" t="s">
        <v>50</v>
      </c>
      <c r="N345" s="115" t="s">
        <v>41</v>
      </c>
      <c r="O345" s="118" t="e">
        <f>'[9]LUONG T7'!I20</f>
        <v>#REF!</v>
      </c>
      <c r="P345" s="119" t="s">
        <v>51</v>
      </c>
      <c r="Q345" s="282" t="s">
        <v>52</v>
      </c>
      <c r="R345" s="282"/>
      <c r="S345" s="282"/>
      <c r="T345" s="115" t="s">
        <v>41</v>
      </c>
      <c r="U345" s="283" t="e">
        <f>'[9]LUONG T7'!I21</f>
        <v>#REF!</v>
      </c>
      <c r="V345" s="283"/>
      <c r="W345" s="123" t="s">
        <v>47</v>
      </c>
      <c r="X345" s="124" t="e">
        <f>R342/X335*O345</f>
        <v>#REF!</v>
      </c>
    </row>
    <row r="346" spans="1:24" ht="18.75" customHeight="1">
      <c r="A346" s="117" t="s">
        <v>53</v>
      </c>
      <c r="B346" s="115" t="s">
        <v>41</v>
      </c>
      <c r="C346" s="118" t="e">
        <f>'[9]LUONG T7'!J18</f>
        <v>#REF!</v>
      </c>
      <c r="D346" s="119" t="s">
        <v>51</v>
      </c>
      <c r="E346" s="270" t="s">
        <v>54</v>
      </c>
      <c r="F346" s="270"/>
      <c r="G346" s="270"/>
      <c r="H346" s="115" t="s">
        <v>41</v>
      </c>
      <c r="I346" s="281" t="e">
        <f>$F$8/$L$1*C346</f>
        <v>#REF!</v>
      </c>
      <c r="J346" s="281"/>
      <c r="K346" s="123" t="s">
        <v>47</v>
      </c>
      <c r="L346" s="124"/>
      <c r="M346" s="117" t="s">
        <v>53</v>
      </c>
      <c r="N346" s="115" t="s">
        <v>41</v>
      </c>
      <c r="O346" s="118" t="e">
        <f>'[9]LUONG T7'!J20</f>
        <v>#REF!</v>
      </c>
      <c r="P346" s="119" t="s">
        <v>51</v>
      </c>
      <c r="Q346" s="270" t="s">
        <v>54</v>
      </c>
      <c r="R346" s="270"/>
      <c r="S346" s="270"/>
      <c r="T346" s="115" t="s">
        <v>41</v>
      </c>
      <c r="U346" s="281" t="e">
        <f>$F$8/$L$1*O346</f>
        <v>#REF!</v>
      </c>
      <c r="V346" s="281"/>
      <c r="W346" s="123" t="s">
        <v>47</v>
      </c>
      <c r="X346" s="124"/>
    </row>
    <row r="347" spans="1:24" ht="18.75" customHeight="1">
      <c r="A347" s="117" t="s">
        <v>55</v>
      </c>
      <c r="B347" s="115" t="s">
        <v>41</v>
      </c>
      <c r="C347" s="118" t="e">
        <f>'[9]LUONG T7'!K18</f>
        <v>#REF!</v>
      </c>
      <c r="D347" s="119" t="s">
        <v>51</v>
      </c>
      <c r="E347" s="280" t="s">
        <v>56</v>
      </c>
      <c r="F347" s="280"/>
      <c r="G347" s="280"/>
      <c r="H347" s="115" t="s">
        <v>41</v>
      </c>
      <c r="I347" s="281" t="e">
        <f>$F$8/$L$1*C347</f>
        <v>#REF!</v>
      </c>
      <c r="J347" s="281"/>
      <c r="K347" s="123" t="s">
        <v>47</v>
      </c>
      <c r="L347" s="124"/>
      <c r="M347" s="117" t="s">
        <v>55</v>
      </c>
      <c r="N347" s="115" t="s">
        <v>41</v>
      </c>
      <c r="O347" s="118" t="e">
        <f>'[9]LUONG T7'!K20</f>
        <v>#REF!</v>
      </c>
      <c r="P347" s="119" t="s">
        <v>51</v>
      </c>
      <c r="Q347" s="280" t="s">
        <v>56</v>
      </c>
      <c r="R347" s="280"/>
      <c r="S347" s="280"/>
      <c r="T347" s="115" t="s">
        <v>41</v>
      </c>
      <c r="U347" s="281" t="e">
        <f>$F$8/$L$1*O347</f>
        <v>#REF!</v>
      </c>
      <c r="V347" s="281"/>
      <c r="W347" s="123" t="s">
        <v>47</v>
      </c>
      <c r="X347" s="124"/>
    </row>
    <row r="348" spans="1:24" ht="18.75" customHeight="1">
      <c r="A348" s="117" t="s">
        <v>57</v>
      </c>
      <c r="B348" s="115" t="s">
        <v>41</v>
      </c>
      <c r="C348" s="118" t="e">
        <f>'[9]LUONG T7'!L18</f>
        <v>#REF!</v>
      </c>
      <c r="D348" s="119" t="s">
        <v>51</v>
      </c>
      <c r="E348" s="280" t="s">
        <v>58</v>
      </c>
      <c r="F348" s="280"/>
      <c r="G348" s="280"/>
      <c r="H348" s="115" t="s">
        <v>41</v>
      </c>
      <c r="I348" s="281" t="e">
        <f>$F$8/$L$1*C348</f>
        <v>#REF!</v>
      </c>
      <c r="J348" s="281"/>
      <c r="K348" s="123" t="s">
        <v>47</v>
      </c>
      <c r="L348" s="124"/>
      <c r="M348" s="117" t="s">
        <v>57</v>
      </c>
      <c r="N348" s="115" t="s">
        <v>41</v>
      </c>
      <c r="O348" s="118" t="e">
        <f>'[9]LUONG T7'!L20</f>
        <v>#REF!</v>
      </c>
      <c r="P348" s="119" t="s">
        <v>51</v>
      </c>
      <c r="Q348" s="280" t="s">
        <v>58</v>
      </c>
      <c r="R348" s="280"/>
      <c r="S348" s="280"/>
      <c r="T348" s="115" t="s">
        <v>41</v>
      </c>
      <c r="U348" s="281" t="e">
        <f>$F$8/$L$1*O348</f>
        <v>#REF!</v>
      </c>
      <c r="V348" s="281"/>
      <c r="W348" s="123" t="s">
        <v>47</v>
      </c>
      <c r="X348" s="124"/>
    </row>
    <row r="349" spans="1:24" ht="18.75" customHeight="1">
      <c r="A349" s="117" t="s">
        <v>59</v>
      </c>
      <c r="B349" s="115" t="s">
        <v>41</v>
      </c>
      <c r="C349" s="118" t="e">
        <f>'[9]LUONG T7'!Q18</f>
        <v>#REF!</v>
      </c>
      <c r="D349" s="119" t="s">
        <v>60</v>
      </c>
      <c r="E349" s="270" t="s">
        <v>61</v>
      </c>
      <c r="F349" s="270"/>
      <c r="G349" s="270"/>
      <c r="H349" s="115" t="s">
        <v>41</v>
      </c>
      <c r="I349" s="281" t="e">
        <f>'[9]LUONG T7'!Q19</f>
        <v>#REF!</v>
      </c>
      <c r="J349" s="281"/>
      <c r="K349" s="123" t="s">
        <v>47</v>
      </c>
      <c r="L349" s="124" t="e">
        <f>F342*C349/L335/8*1.5</f>
        <v>#REF!</v>
      </c>
      <c r="M349" s="117" t="s">
        <v>59</v>
      </c>
      <c r="N349" s="115" t="s">
        <v>41</v>
      </c>
      <c r="O349" s="118" t="e">
        <f>'[9]LUONG T7'!Q20</f>
        <v>#REF!</v>
      </c>
      <c r="P349" s="119" t="s">
        <v>60</v>
      </c>
      <c r="Q349" s="270" t="s">
        <v>61</v>
      </c>
      <c r="R349" s="270"/>
      <c r="S349" s="270"/>
      <c r="T349" s="115" t="s">
        <v>41</v>
      </c>
      <c r="U349" s="281" t="e">
        <f>'[9]LUONG T7'!Q21</f>
        <v>#REF!</v>
      </c>
      <c r="V349" s="281"/>
      <c r="W349" s="123" t="s">
        <v>47</v>
      </c>
      <c r="X349" s="124" t="e">
        <f>R342*O349/X335/8*1.5</f>
        <v>#REF!</v>
      </c>
    </row>
    <row r="350" spans="1:24" ht="18.75" customHeight="1">
      <c r="A350" s="269" t="s">
        <v>62</v>
      </c>
      <c r="B350" s="270"/>
      <c r="C350" s="118"/>
      <c r="D350" s="119" t="s">
        <v>51</v>
      </c>
      <c r="E350" s="270" t="s">
        <v>63</v>
      </c>
      <c r="F350" s="270"/>
      <c r="G350" s="270"/>
      <c r="H350" s="125" t="s">
        <v>41</v>
      </c>
      <c r="I350" s="281"/>
      <c r="J350" s="281"/>
      <c r="K350" s="123" t="s">
        <v>47</v>
      </c>
      <c r="L350" s="124"/>
      <c r="M350" s="269" t="s">
        <v>62</v>
      </c>
      <c r="N350" s="270"/>
      <c r="O350" s="118"/>
      <c r="P350" s="119" t="s">
        <v>51</v>
      </c>
      <c r="Q350" s="270" t="s">
        <v>63</v>
      </c>
      <c r="R350" s="270"/>
      <c r="S350" s="270"/>
      <c r="T350" s="125" t="s">
        <v>41</v>
      </c>
      <c r="U350" s="281"/>
      <c r="V350" s="281"/>
      <c r="W350" s="123" t="s">
        <v>47</v>
      </c>
      <c r="X350" s="124"/>
    </row>
    <row r="351" spans="1:24" ht="18.75" customHeight="1">
      <c r="A351" s="117" t="s">
        <v>64</v>
      </c>
      <c r="B351" s="115" t="s">
        <v>41</v>
      </c>
      <c r="C351" s="118"/>
      <c r="D351" s="119" t="s">
        <v>51</v>
      </c>
      <c r="E351" s="270" t="s">
        <v>65</v>
      </c>
      <c r="F351" s="270"/>
      <c r="G351" s="270"/>
      <c r="H351" s="115" t="s">
        <v>41</v>
      </c>
      <c r="I351" s="281"/>
      <c r="J351" s="281"/>
      <c r="K351" s="123" t="s">
        <v>47</v>
      </c>
      <c r="L351" s="124"/>
      <c r="M351" s="117" t="s">
        <v>64</v>
      </c>
      <c r="N351" s="115" t="s">
        <v>41</v>
      </c>
      <c r="O351" s="118"/>
      <c r="P351" s="119" t="s">
        <v>51</v>
      </c>
      <c r="Q351" s="270" t="s">
        <v>65</v>
      </c>
      <c r="R351" s="270"/>
      <c r="S351" s="270"/>
      <c r="T351" s="115" t="s">
        <v>41</v>
      </c>
      <c r="U351" s="281"/>
      <c r="V351" s="281"/>
      <c r="W351" s="123" t="s">
        <v>47</v>
      </c>
      <c r="X351" s="124"/>
    </row>
    <row r="352" spans="1:24" ht="18.75" customHeight="1">
      <c r="A352" s="126" t="s">
        <v>66</v>
      </c>
      <c r="B352" s="115"/>
      <c r="C352" s="118" t="e">
        <f>'[9]LUONG T7'!M18</f>
        <v>#REF!</v>
      </c>
      <c r="D352" s="119" t="s">
        <v>60</v>
      </c>
      <c r="E352" s="270" t="s">
        <v>67</v>
      </c>
      <c r="F352" s="270"/>
      <c r="G352" s="270"/>
      <c r="H352" s="115" t="s">
        <v>41</v>
      </c>
      <c r="I352" s="281" t="e">
        <f>$F$8*C352/8/$L$1</f>
        <v>#REF!</v>
      </c>
      <c r="J352" s="281"/>
      <c r="K352" s="123" t="s">
        <v>47</v>
      </c>
      <c r="L352" s="124"/>
      <c r="M352" s="126" t="s">
        <v>66</v>
      </c>
      <c r="N352" s="115"/>
      <c r="O352" s="118" t="e">
        <f>'[9]LUONG T7'!M20</f>
        <v>#REF!</v>
      </c>
      <c r="P352" s="119" t="s">
        <v>60</v>
      </c>
      <c r="Q352" s="270" t="s">
        <v>67</v>
      </c>
      <c r="R352" s="270"/>
      <c r="S352" s="270"/>
      <c r="T352" s="115" t="s">
        <v>41</v>
      </c>
      <c r="U352" s="281" t="e">
        <f>$F$8*O352/8/$L$1</f>
        <v>#REF!</v>
      </c>
      <c r="V352" s="281"/>
      <c r="W352" s="123" t="s">
        <v>47</v>
      </c>
      <c r="X352" s="124"/>
    </row>
    <row r="353" spans="1:24" ht="18.75" customHeight="1">
      <c r="A353" s="117" t="s">
        <v>68</v>
      </c>
      <c r="B353" s="115" t="s">
        <v>41</v>
      </c>
      <c r="C353" s="118"/>
      <c r="D353" s="119" t="s">
        <v>60</v>
      </c>
      <c r="E353" s="270" t="s">
        <v>92</v>
      </c>
      <c r="F353" s="270"/>
      <c r="G353" s="270"/>
      <c r="H353" s="115" t="s">
        <v>41</v>
      </c>
      <c r="I353" s="283"/>
      <c r="J353" s="283"/>
      <c r="K353" s="123" t="s">
        <v>47</v>
      </c>
      <c r="L353" s="124"/>
      <c r="M353" s="117" t="s">
        <v>68</v>
      </c>
      <c r="N353" s="115" t="s">
        <v>41</v>
      </c>
      <c r="O353" s="118"/>
      <c r="P353" s="119" t="s">
        <v>60</v>
      </c>
      <c r="Q353" s="270" t="s">
        <v>92</v>
      </c>
      <c r="R353" s="270"/>
      <c r="S353" s="270"/>
      <c r="T353" s="115" t="s">
        <v>41</v>
      </c>
      <c r="U353" s="283"/>
      <c r="V353" s="283"/>
      <c r="W353" s="123" t="s">
        <v>47</v>
      </c>
      <c r="X353" s="124"/>
    </row>
    <row r="354" spans="1:24" ht="18.75" customHeight="1">
      <c r="A354" s="117" t="s">
        <v>70</v>
      </c>
      <c r="B354" s="115" t="s">
        <v>41</v>
      </c>
      <c r="C354" s="118"/>
      <c r="D354" s="119" t="s">
        <v>71</v>
      </c>
      <c r="E354" s="127" t="s">
        <v>72</v>
      </c>
      <c r="F354" s="127"/>
      <c r="G354" s="127"/>
      <c r="H354" s="115" t="s">
        <v>41</v>
      </c>
      <c r="I354" s="281"/>
      <c r="J354" s="281"/>
      <c r="K354" s="123" t="s">
        <v>47</v>
      </c>
      <c r="L354" s="124" t="e">
        <f>+IF(L345-I345&lt;0,0,L345-I345)+IF(L349-I349&lt;0,0,L349-I349)</f>
        <v>#REF!</v>
      </c>
      <c r="M354" s="117" t="s">
        <v>70</v>
      </c>
      <c r="N354" s="115" t="s">
        <v>41</v>
      </c>
      <c r="O354" s="118"/>
      <c r="P354" s="119" t="s">
        <v>71</v>
      </c>
      <c r="Q354" s="127" t="s">
        <v>72</v>
      </c>
      <c r="R354" s="127"/>
      <c r="S354" s="127"/>
      <c r="T354" s="115" t="s">
        <v>41</v>
      </c>
      <c r="U354" s="281"/>
      <c r="V354" s="281"/>
      <c r="W354" s="123" t="s">
        <v>47</v>
      </c>
      <c r="X354" s="124" t="e">
        <f>+IF(X345-U345&lt;0,0,X345-U345)+IF(X349-U349&lt;0,0,X349-U349)</f>
        <v>#REF!</v>
      </c>
    </row>
    <row r="355" spans="1:24" ht="18.75" customHeight="1">
      <c r="A355" s="128" t="s">
        <v>117</v>
      </c>
      <c r="B355" s="129"/>
      <c r="C355" s="118"/>
      <c r="D355" s="119" t="s">
        <v>51</v>
      </c>
      <c r="E355" s="270" t="s">
        <v>118</v>
      </c>
      <c r="F355" s="270"/>
      <c r="G355" s="270"/>
      <c r="H355" s="115" t="s">
        <v>41</v>
      </c>
      <c r="I355" s="281"/>
      <c r="J355" s="281"/>
      <c r="K355" s="123" t="s">
        <v>47</v>
      </c>
      <c r="L355" s="124"/>
      <c r="M355" s="128" t="s">
        <v>117</v>
      </c>
      <c r="N355" s="129"/>
      <c r="O355" s="118"/>
      <c r="P355" s="119" t="s">
        <v>51</v>
      </c>
      <c r="Q355" s="270" t="s">
        <v>118</v>
      </c>
      <c r="R355" s="270"/>
      <c r="S355" s="270"/>
      <c r="T355" s="115" t="s">
        <v>41</v>
      </c>
      <c r="U355" s="281"/>
      <c r="V355" s="281"/>
      <c r="W355" s="123" t="s">
        <v>47</v>
      </c>
      <c r="X355" s="124"/>
    </row>
    <row r="356" spans="1:24" ht="18.75" customHeight="1">
      <c r="A356" s="288" t="s">
        <v>75</v>
      </c>
      <c r="B356" s="282"/>
      <c r="C356" s="118"/>
      <c r="D356" s="119"/>
      <c r="E356" s="120"/>
      <c r="F356" s="120"/>
      <c r="G356" s="120"/>
      <c r="H356" s="115" t="s">
        <v>41</v>
      </c>
      <c r="I356" s="281" t="e">
        <f>'[9]LUONG T7'!P19</f>
        <v>#REF!</v>
      </c>
      <c r="J356" s="281"/>
      <c r="K356" s="123" t="s">
        <v>47</v>
      </c>
      <c r="L356" s="124"/>
      <c r="M356" s="288" t="s">
        <v>75</v>
      </c>
      <c r="N356" s="282"/>
      <c r="O356" s="118"/>
      <c r="P356" s="119"/>
      <c r="Q356" s="120"/>
      <c r="R356" s="120"/>
      <c r="S356" s="120"/>
      <c r="T356" s="115" t="s">
        <v>41</v>
      </c>
      <c r="U356" s="281" t="e">
        <f>'[9]LUONG T7'!P21</f>
        <v>#REF!</v>
      </c>
      <c r="V356" s="281"/>
      <c r="W356" s="123" t="s">
        <v>47</v>
      </c>
      <c r="X356" s="124"/>
    </row>
    <row r="357" spans="1:24" ht="18.75" customHeight="1">
      <c r="A357" s="117" t="s">
        <v>76</v>
      </c>
      <c r="B357" s="115" t="s">
        <v>41</v>
      </c>
      <c r="C357" s="118"/>
      <c r="D357" s="119"/>
      <c r="E357" s="120" t="s">
        <v>77</v>
      </c>
      <c r="F357" s="120"/>
      <c r="G357" s="120"/>
      <c r="H357" s="115" t="s">
        <v>41</v>
      </c>
      <c r="I357" s="281" t="e">
        <f>L354</f>
        <v>#REF!</v>
      </c>
      <c r="J357" s="281"/>
      <c r="K357" s="123" t="s">
        <v>47</v>
      </c>
      <c r="L357" s="124"/>
      <c r="M357" s="117" t="s">
        <v>76</v>
      </c>
      <c r="N357" s="115" t="s">
        <v>41</v>
      </c>
      <c r="O357" s="118"/>
      <c r="P357" s="119"/>
      <c r="Q357" s="120" t="s">
        <v>77</v>
      </c>
      <c r="R357" s="120"/>
      <c r="S357" s="120"/>
      <c r="T357" s="115" t="s">
        <v>41</v>
      </c>
      <c r="U357" s="281" t="e">
        <f>X354</f>
        <v>#REF!</v>
      </c>
      <c r="V357" s="281"/>
      <c r="W357" s="123" t="s">
        <v>47</v>
      </c>
      <c r="X357" s="124"/>
    </row>
    <row r="358" spans="1:24" ht="18.75" customHeight="1">
      <c r="A358" s="285" t="s">
        <v>78</v>
      </c>
      <c r="B358" s="286"/>
      <c r="C358" s="286"/>
      <c r="D358" s="286"/>
      <c r="E358" s="286"/>
      <c r="F358" s="286"/>
      <c r="G358" s="115" t="s">
        <v>41</v>
      </c>
      <c r="H358" s="287" t="e">
        <f>I345+I346+I347+I348+I349+I352+I356+I357</f>
        <v>#REF!</v>
      </c>
      <c r="I358" s="287"/>
      <c r="J358" s="287"/>
      <c r="K358" s="123" t="s">
        <v>47</v>
      </c>
      <c r="M358" s="285" t="s">
        <v>78</v>
      </c>
      <c r="N358" s="286"/>
      <c r="O358" s="286"/>
      <c r="P358" s="286"/>
      <c r="Q358" s="286"/>
      <c r="R358" s="286"/>
      <c r="S358" s="115" t="s">
        <v>41</v>
      </c>
      <c r="T358" s="287" t="e">
        <f>U345+U346+U347+U348+U349+U352+U356+U357</f>
        <v>#REF!</v>
      </c>
      <c r="U358" s="287"/>
      <c r="V358" s="287"/>
      <c r="W358" s="123" t="s">
        <v>47</v>
      </c>
    </row>
    <row r="359" spans="1:24" ht="18.75" customHeight="1">
      <c r="A359" s="130"/>
      <c r="B359" s="131"/>
      <c r="C359" s="131"/>
      <c r="D359" s="131"/>
      <c r="E359" s="131"/>
      <c r="F359" s="131"/>
      <c r="G359" s="131"/>
      <c r="H359" s="131"/>
      <c r="I359" s="131"/>
      <c r="J359" s="131"/>
      <c r="K359" s="132"/>
      <c r="M359" s="130"/>
      <c r="N359" s="131"/>
      <c r="O359" s="131"/>
      <c r="P359" s="131"/>
      <c r="Q359" s="131"/>
      <c r="R359" s="131"/>
      <c r="S359" s="131"/>
      <c r="T359" s="131"/>
      <c r="U359" s="131"/>
      <c r="V359" s="131"/>
      <c r="W359" s="132"/>
    </row>
    <row r="360" spans="1:24" ht="18.75" customHeight="1">
      <c r="A360" s="295" t="s">
        <v>79</v>
      </c>
      <c r="B360" s="296"/>
      <c r="C360" s="296"/>
      <c r="D360" s="296"/>
      <c r="E360" s="296"/>
      <c r="F360" s="296"/>
      <c r="G360" s="115"/>
      <c r="H360" s="115"/>
      <c r="I360" s="115"/>
      <c r="J360" s="115"/>
      <c r="K360" s="123"/>
      <c r="M360" s="295" t="s">
        <v>79</v>
      </c>
      <c r="N360" s="296"/>
      <c r="O360" s="296"/>
      <c r="P360" s="296"/>
      <c r="Q360" s="296"/>
      <c r="R360" s="296"/>
      <c r="S360" s="115"/>
      <c r="T360" s="115"/>
      <c r="U360" s="115"/>
      <c r="V360" s="115"/>
      <c r="W360" s="123"/>
    </row>
    <row r="361" spans="1:24" ht="18.75" customHeight="1">
      <c r="A361" s="289" t="s">
        <v>80</v>
      </c>
      <c r="B361" s="290"/>
      <c r="C361" s="290"/>
      <c r="D361" s="290"/>
      <c r="E361" s="290"/>
      <c r="F361" s="290"/>
      <c r="G361" s="115" t="s">
        <v>41</v>
      </c>
      <c r="H361" s="297" t="e">
        <f>IF(($L$1-(C345+C346+C347+C348))&gt;12,0,F342*8%)</f>
        <v>#REF!</v>
      </c>
      <c r="I361" s="297"/>
      <c r="J361" s="297"/>
      <c r="K361" s="123" t="s">
        <v>47</v>
      </c>
      <c r="M361" s="289" t="s">
        <v>80</v>
      </c>
      <c r="N361" s="290"/>
      <c r="O361" s="290"/>
      <c r="P361" s="290"/>
      <c r="Q361" s="290"/>
      <c r="R361" s="290"/>
      <c r="S361" s="115" t="s">
        <v>41</v>
      </c>
      <c r="T361" s="297" t="e">
        <f>IF(($L$1-(O345+O346+O347+O348))&gt;12,0,R342*8%)</f>
        <v>#REF!</v>
      </c>
      <c r="U361" s="297"/>
      <c r="V361" s="297"/>
      <c r="W361" s="123" t="s">
        <v>47</v>
      </c>
    </row>
    <row r="362" spans="1:24" ht="18.75" customHeight="1">
      <c r="A362" s="289" t="s">
        <v>81</v>
      </c>
      <c r="B362" s="290"/>
      <c r="C362" s="290"/>
      <c r="D362" s="290"/>
      <c r="E362" s="290"/>
      <c r="F362" s="290"/>
      <c r="G362" s="115" t="s">
        <v>41</v>
      </c>
      <c r="H362" s="291" t="e">
        <f>IF(($L$1-(C345+C346+C347+C348))&gt;12,0,F342*1.5%)</f>
        <v>#REF!</v>
      </c>
      <c r="I362" s="291"/>
      <c r="J362" s="291"/>
      <c r="K362" s="123" t="s">
        <v>47</v>
      </c>
      <c r="M362" s="289" t="s">
        <v>81</v>
      </c>
      <c r="N362" s="290"/>
      <c r="O362" s="290"/>
      <c r="P362" s="290"/>
      <c r="Q362" s="290"/>
      <c r="R362" s="290"/>
      <c r="S362" s="115" t="s">
        <v>41</v>
      </c>
      <c r="T362" s="291" t="e">
        <f>IF(($L$1-(O345+O346+O347+O348))&gt;12,0,R342*1.5%)</f>
        <v>#REF!</v>
      </c>
      <c r="U362" s="291"/>
      <c r="V362" s="291"/>
      <c r="W362" s="123" t="s">
        <v>47</v>
      </c>
    </row>
    <row r="363" spans="1:24" ht="18.75" customHeight="1">
      <c r="A363" s="289" t="s">
        <v>82</v>
      </c>
      <c r="B363" s="290"/>
      <c r="C363" s="290"/>
      <c r="D363" s="290"/>
      <c r="E363" s="290"/>
      <c r="F363" s="290"/>
      <c r="G363" s="115" t="s">
        <v>41</v>
      </c>
      <c r="H363" s="291" t="e">
        <f>IF(($L$1-(C345+C346+C347+C348))&gt;12,0,F342*1%)</f>
        <v>#REF!</v>
      </c>
      <c r="I363" s="291"/>
      <c r="J363" s="291"/>
      <c r="K363" s="123" t="s">
        <v>47</v>
      </c>
      <c r="M363" s="289" t="s">
        <v>82</v>
      </c>
      <c r="N363" s="290"/>
      <c r="O363" s="290"/>
      <c r="P363" s="290"/>
      <c r="Q363" s="290"/>
      <c r="R363" s="290"/>
      <c r="S363" s="115" t="s">
        <v>41</v>
      </c>
      <c r="T363" s="291" t="e">
        <f>IF(($L$1-(O345+O346+O347+O348))&gt;12,0,R342*1%)</f>
        <v>#REF!</v>
      </c>
      <c r="U363" s="291"/>
      <c r="V363" s="291"/>
      <c r="W363" s="123" t="s">
        <v>47</v>
      </c>
    </row>
    <row r="364" spans="1:24" ht="18.75" customHeight="1">
      <c r="A364" s="289" t="s">
        <v>83</v>
      </c>
      <c r="B364" s="290"/>
      <c r="C364" s="290"/>
      <c r="D364" s="290"/>
      <c r="E364" s="290"/>
      <c r="F364" s="290"/>
      <c r="G364" s="115" t="s">
        <v>41</v>
      </c>
      <c r="H364" s="291">
        <v>0</v>
      </c>
      <c r="I364" s="291"/>
      <c r="J364" s="291"/>
      <c r="K364" s="123" t="s">
        <v>47</v>
      </c>
      <c r="M364" s="289" t="s">
        <v>83</v>
      </c>
      <c r="N364" s="290"/>
      <c r="O364" s="290"/>
      <c r="P364" s="290"/>
      <c r="Q364" s="290"/>
      <c r="R364" s="290"/>
      <c r="S364" s="115" t="s">
        <v>41</v>
      </c>
      <c r="T364" s="291">
        <v>0</v>
      </c>
      <c r="U364" s="291"/>
      <c r="V364" s="291"/>
      <c r="W364" s="123" t="s">
        <v>47</v>
      </c>
    </row>
    <row r="365" spans="1:24" ht="18.75" customHeight="1">
      <c r="A365" s="292" t="s">
        <v>84</v>
      </c>
      <c r="B365" s="293"/>
      <c r="C365" s="293"/>
      <c r="D365" s="293"/>
      <c r="E365" s="293"/>
      <c r="F365" s="293"/>
      <c r="G365" s="115" t="s">
        <v>41</v>
      </c>
      <c r="H365" s="294" t="e">
        <f>SUM(H361:J364)</f>
        <v>#REF!</v>
      </c>
      <c r="I365" s="294"/>
      <c r="J365" s="294"/>
      <c r="K365" s="123" t="s">
        <v>47</v>
      </c>
      <c r="M365" s="292" t="s">
        <v>84</v>
      </c>
      <c r="N365" s="293"/>
      <c r="O365" s="293"/>
      <c r="P365" s="293"/>
      <c r="Q365" s="293"/>
      <c r="R365" s="293"/>
      <c r="S365" s="115" t="s">
        <v>41</v>
      </c>
      <c r="T365" s="294" t="e">
        <f>SUM(T361:V364)</f>
        <v>#REF!</v>
      </c>
      <c r="U365" s="294"/>
      <c r="V365" s="294"/>
      <c r="W365" s="123" t="s">
        <v>47</v>
      </c>
    </row>
    <row r="366" spans="1:24" ht="18.75" customHeight="1">
      <c r="A366" s="289" t="s">
        <v>85</v>
      </c>
      <c r="B366" s="290"/>
      <c r="C366" s="290"/>
      <c r="D366" s="290"/>
      <c r="E366" s="290"/>
      <c r="F366" s="290"/>
      <c r="G366" s="115" t="s">
        <v>41</v>
      </c>
      <c r="H366" s="301" t="e">
        <f>ROUND(H358-H365,-2)</f>
        <v>#REF!</v>
      </c>
      <c r="I366" s="301"/>
      <c r="J366" s="301"/>
      <c r="K366" s="123" t="s">
        <v>47</v>
      </c>
      <c r="M366" s="289" t="s">
        <v>85</v>
      </c>
      <c r="N366" s="290"/>
      <c r="O366" s="290"/>
      <c r="P366" s="290"/>
      <c r="Q366" s="290"/>
      <c r="R366" s="290"/>
      <c r="S366" s="115" t="s">
        <v>41</v>
      </c>
      <c r="T366" s="301" t="e">
        <f>ROUND(T358-T365,-2)</f>
        <v>#REF!</v>
      </c>
      <c r="U366" s="301"/>
      <c r="V366" s="301"/>
      <c r="W366" s="123" t="s">
        <v>47</v>
      </c>
    </row>
    <row r="367" spans="1:24" ht="18.75" customHeight="1">
      <c r="A367" s="133"/>
      <c r="B367" s="134"/>
      <c r="C367" s="134"/>
      <c r="D367" s="134"/>
      <c r="E367" s="134"/>
      <c r="F367" s="134"/>
      <c r="G367" s="134"/>
      <c r="H367" s="134"/>
      <c r="I367" s="134"/>
      <c r="J367" s="134"/>
      <c r="K367" s="135"/>
      <c r="M367" s="133"/>
      <c r="N367" s="134"/>
      <c r="O367" s="134"/>
      <c r="P367" s="134"/>
      <c r="Q367" s="134"/>
      <c r="R367" s="134"/>
      <c r="S367" s="134"/>
      <c r="T367" s="134"/>
      <c r="U367" s="134"/>
      <c r="V367" s="134"/>
      <c r="W367" s="135"/>
    </row>
    <row r="368" spans="1:24" ht="18.75" customHeight="1">
      <c r="A368" s="136"/>
      <c r="B368" s="115"/>
      <c r="C368" s="115"/>
      <c r="D368" s="115"/>
      <c r="E368" s="115"/>
      <c r="F368" s="115"/>
      <c r="G368" s="115"/>
      <c r="H368" s="115"/>
      <c r="I368" s="298" t="s">
        <v>86</v>
      </c>
      <c r="J368" s="298"/>
      <c r="K368" s="302"/>
      <c r="M368" s="136"/>
      <c r="N368" s="115"/>
      <c r="O368" s="115"/>
      <c r="P368" s="115"/>
      <c r="Q368" s="115"/>
      <c r="R368" s="115"/>
      <c r="S368" s="115"/>
      <c r="T368" s="115"/>
      <c r="U368" s="298" t="s">
        <v>86</v>
      </c>
      <c r="V368" s="298"/>
      <c r="W368" s="302"/>
    </row>
    <row r="369" spans="1:24" ht="18.75" customHeight="1">
      <c r="A369" s="136"/>
      <c r="B369" s="298"/>
      <c r="C369" s="298"/>
      <c r="D369" s="298"/>
      <c r="E369" s="298"/>
      <c r="F369" s="115"/>
      <c r="G369" s="115"/>
      <c r="H369" s="115"/>
      <c r="I369" s="115"/>
      <c r="J369" s="115"/>
      <c r="K369" s="116"/>
      <c r="M369" s="136"/>
      <c r="N369" s="298"/>
      <c r="O369" s="298"/>
      <c r="P369" s="298"/>
      <c r="Q369" s="298"/>
      <c r="R369" s="115"/>
      <c r="S369" s="115"/>
      <c r="T369" s="115"/>
      <c r="U369" s="115"/>
      <c r="V369" s="115"/>
      <c r="W369" s="116"/>
    </row>
    <row r="370" spans="1:24" ht="18.75" customHeight="1" thickBot="1">
      <c r="A370" s="137"/>
      <c r="B370" s="138"/>
      <c r="C370" s="138"/>
      <c r="D370" s="138"/>
      <c r="E370" s="138"/>
      <c r="F370" s="138"/>
      <c r="G370" s="138"/>
      <c r="H370" s="138"/>
      <c r="I370" s="299" t="s">
        <v>87</v>
      </c>
      <c r="J370" s="299"/>
      <c r="K370" s="300"/>
      <c r="M370" s="137"/>
      <c r="N370" s="138"/>
      <c r="O370" s="138"/>
      <c r="P370" s="138"/>
      <c r="Q370" s="138"/>
      <c r="R370" s="138"/>
      <c r="S370" s="138"/>
      <c r="T370" s="138"/>
      <c r="U370" s="299" t="s">
        <v>87</v>
      </c>
      <c r="V370" s="299"/>
      <c r="W370" s="300"/>
    </row>
    <row r="372" spans="1:24" ht="18.75" customHeight="1" thickTop="1">
      <c r="A372" s="274" t="s">
        <v>35</v>
      </c>
      <c r="B372" s="275"/>
      <c r="C372" s="275"/>
      <c r="D372" s="275"/>
      <c r="E372" s="275"/>
      <c r="F372" s="275"/>
      <c r="G372" s="275"/>
      <c r="H372" s="275"/>
      <c r="I372" s="275"/>
      <c r="J372" s="275"/>
      <c r="K372" s="276"/>
      <c r="L372" s="111">
        <v>25</v>
      </c>
      <c r="M372" s="274" t="s">
        <v>35</v>
      </c>
      <c r="N372" s="275"/>
      <c r="O372" s="275"/>
      <c r="P372" s="275"/>
      <c r="Q372" s="275"/>
      <c r="R372" s="275"/>
      <c r="S372" s="275"/>
      <c r="T372" s="275"/>
      <c r="U372" s="275"/>
      <c r="V372" s="275"/>
      <c r="W372" s="276"/>
      <c r="X372" s="111">
        <v>25</v>
      </c>
    </row>
    <row r="373" spans="1:24" ht="18.75" customHeight="1">
      <c r="A373" s="112" t="s">
        <v>123</v>
      </c>
      <c r="B373" s="113"/>
      <c r="C373" s="113"/>
      <c r="D373" s="113"/>
      <c r="E373" s="113"/>
      <c r="F373" s="113"/>
      <c r="G373" s="113"/>
      <c r="H373" s="113"/>
      <c r="I373" s="113"/>
      <c r="J373" s="113"/>
      <c r="K373" s="114"/>
      <c r="M373" s="112" t="s">
        <v>124</v>
      </c>
      <c r="N373" s="113"/>
      <c r="O373" s="113"/>
      <c r="P373" s="113"/>
      <c r="Q373" s="113"/>
      <c r="R373" s="113"/>
      <c r="S373" s="113"/>
      <c r="T373" s="113"/>
      <c r="U373" s="113"/>
      <c r="V373" s="113"/>
      <c r="W373" s="114"/>
    </row>
    <row r="374" spans="1:24" ht="18.75" customHeight="1">
      <c r="A374" s="277" t="s">
        <v>39</v>
      </c>
      <c r="B374" s="278"/>
      <c r="C374" s="278"/>
      <c r="D374" s="278"/>
      <c r="E374" s="278"/>
      <c r="F374" s="278"/>
      <c r="G374" s="278"/>
      <c r="H374" s="278"/>
      <c r="I374" s="278"/>
      <c r="J374" s="278"/>
      <c r="K374" s="279"/>
      <c r="M374" s="277" t="s">
        <v>39</v>
      </c>
      <c r="N374" s="278"/>
      <c r="O374" s="278"/>
      <c r="P374" s="278"/>
      <c r="Q374" s="278"/>
      <c r="R374" s="278"/>
      <c r="S374" s="278"/>
      <c r="T374" s="278"/>
      <c r="U374" s="278"/>
      <c r="V374" s="278"/>
      <c r="W374" s="279"/>
    </row>
    <row r="375" spans="1:24" ht="18.75" customHeight="1">
      <c r="A375" s="269" t="s">
        <v>40</v>
      </c>
      <c r="B375" s="270"/>
      <c r="C375" s="270"/>
      <c r="D375" s="270"/>
      <c r="E375" s="115" t="s">
        <v>41</v>
      </c>
      <c r="F375" s="271" t="e">
        <f>'[9]Bang TH nop'!B38</f>
        <v>#REF!</v>
      </c>
      <c r="G375" s="270"/>
      <c r="H375" s="270"/>
      <c r="I375" s="270"/>
      <c r="J375" s="270"/>
      <c r="K375" s="273"/>
      <c r="M375" s="269" t="s">
        <v>40</v>
      </c>
      <c r="N375" s="270"/>
      <c r="O375" s="270"/>
      <c r="P375" s="270"/>
      <c r="Q375" s="115" t="s">
        <v>41</v>
      </c>
      <c r="R375" s="271" t="e">
        <f>'[9]Bang TH nop'!B40</f>
        <v>#REF!</v>
      </c>
      <c r="S375" s="270"/>
      <c r="T375" s="270"/>
      <c r="U375" s="270"/>
      <c r="V375" s="270"/>
      <c r="W375" s="273"/>
    </row>
    <row r="376" spans="1:24" ht="18.75" customHeight="1">
      <c r="A376" s="269" t="s">
        <v>43</v>
      </c>
      <c r="B376" s="270"/>
      <c r="C376" s="270"/>
      <c r="D376" s="270"/>
      <c r="E376" s="115" t="s">
        <v>41</v>
      </c>
      <c r="F376" s="271" t="e">
        <f>'[9]Bang TH nop'!C38</f>
        <v>#REF!</v>
      </c>
      <c r="G376" s="271"/>
      <c r="H376" s="271"/>
      <c r="I376" s="271"/>
      <c r="J376" s="271"/>
      <c r="K376" s="272"/>
      <c r="M376" s="269" t="s">
        <v>43</v>
      </c>
      <c r="N376" s="270"/>
      <c r="O376" s="270"/>
      <c r="P376" s="270"/>
      <c r="Q376" s="115" t="s">
        <v>41</v>
      </c>
      <c r="R376" s="271" t="e">
        <f>'[9]Bang TH nop'!C40</f>
        <v>#REF!</v>
      </c>
      <c r="S376" s="271"/>
      <c r="T376" s="271"/>
      <c r="U376" s="271"/>
      <c r="V376" s="271"/>
      <c r="W376" s="272"/>
    </row>
    <row r="377" spans="1:24" ht="18.75" customHeight="1">
      <c r="A377" s="269" t="s">
        <v>44</v>
      </c>
      <c r="B377" s="270"/>
      <c r="C377" s="270"/>
      <c r="D377" s="270"/>
      <c r="E377" s="115" t="s">
        <v>41</v>
      </c>
      <c r="F377" s="270" t="s">
        <v>116</v>
      </c>
      <c r="G377" s="270"/>
      <c r="H377" s="270"/>
      <c r="I377" s="270"/>
      <c r="J377" s="270"/>
      <c r="K377" s="273"/>
      <c r="M377" s="269" t="s">
        <v>44</v>
      </c>
      <c r="N377" s="270"/>
      <c r="O377" s="270"/>
      <c r="P377" s="270"/>
      <c r="Q377" s="115" t="s">
        <v>41</v>
      </c>
      <c r="R377" s="270" t="s">
        <v>116</v>
      </c>
      <c r="S377" s="270"/>
      <c r="T377" s="270"/>
      <c r="U377" s="270"/>
      <c r="V377" s="270"/>
      <c r="W377" s="273"/>
    </row>
    <row r="378" spans="1:24" ht="18.75" customHeight="1">
      <c r="A378" s="277" t="s">
        <v>45</v>
      </c>
      <c r="B378" s="278"/>
      <c r="C378" s="278"/>
      <c r="D378" s="278"/>
      <c r="E378" s="278"/>
      <c r="F378" s="278"/>
      <c r="G378" s="278"/>
      <c r="H378" s="278"/>
      <c r="I378" s="278"/>
      <c r="J378" s="278"/>
      <c r="K378" s="279"/>
      <c r="M378" s="277" t="s">
        <v>45</v>
      </c>
      <c r="N378" s="278"/>
      <c r="O378" s="278"/>
      <c r="P378" s="278"/>
      <c r="Q378" s="278"/>
      <c r="R378" s="278"/>
      <c r="S378" s="278"/>
      <c r="T378" s="278"/>
      <c r="U378" s="278"/>
      <c r="V378" s="278"/>
      <c r="W378" s="279"/>
    </row>
    <row r="379" spans="1:24" ht="18.75" customHeight="1">
      <c r="A379" s="269" t="s">
        <v>46</v>
      </c>
      <c r="B379" s="270"/>
      <c r="C379" s="270"/>
      <c r="D379" s="270"/>
      <c r="E379" s="115" t="s">
        <v>41</v>
      </c>
      <c r="F379" s="284">
        <v>2915400</v>
      </c>
      <c r="G379" s="284"/>
      <c r="H379" s="284"/>
      <c r="I379" s="284"/>
      <c r="J379" s="115" t="s">
        <v>47</v>
      </c>
      <c r="K379" s="116"/>
      <c r="M379" s="269" t="s">
        <v>46</v>
      </c>
      <c r="N379" s="270"/>
      <c r="O379" s="270"/>
      <c r="P379" s="270"/>
      <c r="Q379" s="115" t="s">
        <v>41</v>
      </c>
      <c r="R379" s="284">
        <v>2915400</v>
      </c>
      <c r="S379" s="284"/>
      <c r="T379" s="284"/>
      <c r="U379" s="284"/>
      <c r="V379" s="115" t="s">
        <v>47</v>
      </c>
      <c r="W379" s="116"/>
    </row>
    <row r="380" spans="1:24" ht="18.75" customHeight="1">
      <c r="A380" s="117" t="s">
        <v>48</v>
      </c>
      <c r="B380" s="115"/>
      <c r="C380" s="118"/>
      <c r="D380" s="119"/>
      <c r="E380" s="120"/>
      <c r="F380" s="120"/>
      <c r="G380" s="120"/>
      <c r="H380" s="115"/>
      <c r="I380" s="121" t="e">
        <f>'[9]LUONG T7'!F23</f>
        <v>#REF!</v>
      </c>
      <c r="J380" s="122"/>
      <c r="K380" s="123"/>
      <c r="M380" s="117" t="s">
        <v>48</v>
      </c>
      <c r="N380" s="115"/>
      <c r="O380" s="118"/>
      <c r="P380" s="119"/>
      <c r="Q380" s="120"/>
      <c r="R380" s="120"/>
      <c r="S380" s="120"/>
      <c r="T380" s="115"/>
      <c r="U380" s="121" t="e">
        <f>'[9]LUONG T7'!F25</f>
        <v>#REF!</v>
      </c>
      <c r="V380" s="122"/>
      <c r="W380" s="123"/>
    </row>
    <row r="381" spans="1:24" ht="18.75" customHeight="1">
      <c r="A381" s="117" t="s">
        <v>49</v>
      </c>
      <c r="B381" s="115"/>
      <c r="C381" s="118"/>
      <c r="D381" s="119"/>
      <c r="E381" s="120"/>
      <c r="F381" s="120"/>
      <c r="G381" s="120"/>
      <c r="H381" s="115"/>
      <c r="I381" s="121" t="e">
        <f>I382/C382/8</f>
        <v>#REF!</v>
      </c>
      <c r="J381" s="122"/>
      <c r="K381" s="123"/>
      <c r="M381" s="117" t="s">
        <v>49</v>
      </c>
      <c r="N381" s="115"/>
      <c r="O381" s="118"/>
      <c r="P381" s="119"/>
      <c r="Q381" s="120"/>
      <c r="R381" s="120"/>
      <c r="S381" s="120"/>
      <c r="T381" s="115"/>
      <c r="U381" s="121" t="e">
        <f>U382/O382/8</f>
        <v>#REF!</v>
      </c>
      <c r="V381" s="122"/>
      <c r="W381" s="123"/>
    </row>
    <row r="382" spans="1:24" ht="18.75" customHeight="1">
      <c r="A382" s="117" t="s">
        <v>50</v>
      </c>
      <c r="B382" s="115" t="s">
        <v>41</v>
      </c>
      <c r="C382" s="118" t="e">
        <f>'[9]LUONG T7'!I22</f>
        <v>#REF!</v>
      </c>
      <c r="D382" s="119" t="s">
        <v>51</v>
      </c>
      <c r="E382" s="282" t="s">
        <v>52</v>
      </c>
      <c r="F382" s="282"/>
      <c r="G382" s="282"/>
      <c r="H382" s="115" t="s">
        <v>41</v>
      </c>
      <c r="I382" s="283" t="e">
        <f>'[9]LUONG T7'!I23</f>
        <v>#REF!</v>
      </c>
      <c r="J382" s="283"/>
      <c r="K382" s="123" t="s">
        <v>47</v>
      </c>
      <c r="L382" s="124" t="e">
        <f>F379/L372*C382</f>
        <v>#REF!</v>
      </c>
      <c r="M382" s="117" t="s">
        <v>50</v>
      </c>
      <c r="N382" s="115" t="s">
        <v>41</v>
      </c>
      <c r="O382" s="118" t="e">
        <f>'[9]LUONG T7'!I24</f>
        <v>#REF!</v>
      </c>
      <c r="P382" s="119" t="s">
        <v>51</v>
      </c>
      <c r="Q382" s="282" t="s">
        <v>52</v>
      </c>
      <c r="R382" s="282"/>
      <c r="S382" s="282"/>
      <c r="T382" s="115" t="s">
        <v>41</v>
      </c>
      <c r="U382" s="283" t="e">
        <f>'[9]LUONG T7'!I25</f>
        <v>#REF!</v>
      </c>
      <c r="V382" s="283"/>
      <c r="W382" s="123" t="s">
        <v>47</v>
      </c>
      <c r="X382" s="124" t="e">
        <f>R379/X372*O382</f>
        <v>#REF!</v>
      </c>
    </row>
    <row r="383" spans="1:24" ht="18.75" customHeight="1">
      <c r="A383" s="117" t="s">
        <v>53</v>
      </c>
      <c r="B383" s="115" t="s">
        <v>41</v>
      </c>
      <c r="C383" s="118" t="e">
        <f>'[9]LUONG T7'!J22</f>
        <v>#REF!</v>
      </c>
      <c r="D383" s="119" t="s">
        <v>51</v>
      </c>
      <c r="E383" s="270" t="s">
        <v>54</v>
      </c>
      <c r="F383" s="270"/>
      <c r="G383" s="270"/>
      <c r="H383" s="115" t="s">
        <v>41</v>
      </c>
      <c r="I383" s="281" t="e">
        <f>$F$8/$L$1*C383</f>
        <v>#REF!</v>
      </c>
      <c r="J383" s="281"/>
      <c r="K383" s="123" t="s">
        <v>47</v>
      </c>
      <c r="L383" s="124"/>
      <c r="M383" s="117" t="s">
        <v>53</v>
      </c>
      <c r="N383" s="115" t="s">
        <v>41</v>
      </c>
      <c r="O383" s="118" t="e">
        <f>'[9]LUONG T7'!J24</f>
        <v>#REF!</v>
      </c>
      <c r="P383" s="119" t="s">
        <v>51</v>
      </c>
      <c r="Q383" s="270" t="s">
        <v>54</v>
      </c>
      <c r="R383" s="270"/>
      <c r="S383" s="270"/>
      <c r="T383" s="115" t="s">
        <v>41</v>
      </c>
      <c r="U383" s="281" t="e">
        <f>$F$8/$L$1*O383</f>
        <v>#REF!</v>
      </c>
      <c r="V383" s="281"/>
      <c r="W383" s="123" t="s">
        <v>47</v>
      </c>
      <c r="X383" s="124"/>
    </row>
    <row r="384" spans="1:24" ht="18.75" customHeight="1">
      <c r="A384" s="117" t="s">
        <v>55</v>
      </c>
      <c r="B384" s="115" t="s">
        <v>41</v>
      </c>
      <c r="C384" s="118" t="e">
        <f>'[9]LUONG T7'!K22</f>
        <v>#REF!</v>
      </c>
      <c r="D384" s="119" t="s">
        <v>51</v>
      </c>
      <c r="E384" s="280" t="s">
        <v>56</v>
      </c>
      <c r="F384" s="280"/>
      <c r="G384" s="280"/>
      <c r="H384" s="115" t="s">
        <v>41</v>
      </c>
      <c r="I384" s="281" t="e">
        <f>$F$8/$L$1*C384</f>
        <v>#REF!</v>
      </c>
      <c r="J384" s="281"/>
      <c r="K384" s="123" t="s">
        <v>47</v>
      </c>
      <c r="L384" s="124"/>
      <c r="M384" s="117" t="s">
        <v>55</v>
      </c>
      <c r="N384" s="115" t="s">
        <v>41</v>
      </c>
      <c r="O384" s="118" t="e">
        <f>'[9]LUONG T7'!K24</f>
        <v>#REF!</v>
      </c>
      <c r="P384" s="119" t="s">
        <v>51</v>
      </c>
      <c r="Q384" s="280" t="s">
        <v>56</v>
      </c>
      <c r="R384" s="280"/>
      <c r="S384" s="280"/>
      <c r="T384" s="115" t="s">
        <v>41</v>
      </c>
      <c r="U384" s="281" t="e">
        <f>$F$8/$L$1*O384</f>
        <v>#REF!</v>
      </c>
      <c r="V384" s="281"/>
      <c r="W384" s="123" t="s">
        <v>47</v>
      </c>
      <c r="X384" s="124"/>
    </row>
    <row r="385" spans="1:24" ht="18.75" customHeight="1">
      <c r="A385" s="117" t="s">
        <v>57</v>
      </c>
      <c r="B385" s="115" t="s">
        <v>41</v>
      </c>
      <c r="C385" s="118" t="e">
        <f>'[9]LUONG T7'!L22</f>
        <v>#REF!</v>
      </c>
      <c r="D385" s="119" t="s">
        <v>51</v>
      </c>
      <c r="E385" s="280" t="s">
        <v>58</v>
      </c>
      <c r="F385" s="280"/>
      <c r="G385" s="280"/>
      <c r="H385" s="115" t="s">
        <v>41</v>
      </c>
      <c r="I385" s="281" t="e">
        <f>$F$8/$L$1*C385</f>
        <v>#REF!</v>
      </c>
      <c r="J385" s="281"/>
      <c r="K385" s="123" t="s">
        <v>47</v>
      </c>
      <c r="L385" s="124"/>
      <c r="M385" s="117" t="s">
        <v>57</v>
      </c>
      <c r="N385" s="115" t="s">
        <v>41</v>
      </c>
      <c r="O385" s="118" t="e">
        <f>'[9]LUONG T7'!L24</f>
        <v>#REF!</v>
      </c>
      <c r="P385" s="119" t="s">
        <v>51</v>
      </c>
      <c r="Q385" s="280" t="s">
        <v>58</v>
      </c>
      <c r="R385" s="280"/>
      <c r="S385" s="280"/>
      <c r="T385" s="115" t="s">
        <v>41</v>
      </c>
      <c r="U385" s="281" t="e">
        <f>$F$8/$L$1*O385</f>
        <v>#REF!</v>
      </c>
      <c r="V385" s="281"/>
      <c r="W385" s="123" t="s">
        <v>47</v>
      </c>
      <c r="X385" s="124"/>
    </row>
    <row r="386" spans="1:24" ht="18.75" customHeight="1">
      <c r="A386" s="117" t="s">
        <v>59</v>
      </c>
      <c r="B386" s="115" t="s">
        <v>41</v>
      </c>
      <c r="C386" s="118" t="e">
        <f>'[9]LUONG T7'!Q22</f>
        <v>#REF!</v>
      </c>
      <c r="D386" s="119" t="s">
        <v>60</v>
      </c>
      <c r="E386" s="270" t="s">
        <v>61</v>
      </c>
      <c r="F386" s="270"/>
      <c r="G386" s="270"/>
      <c r="H386" s="115" t="s">
        <v>41</v>
      </c>
      <c r="I386" s="281" t="e">
        <f>'[9]LUONG T7'!Q23</f>
        <v>#REF!</v>
      </c>
      <c r="J386" s="281"/>
      <c r="K386" s="123" t="s">
        <v>47</v>
      </c>
      <c r="L386" s="124" t="e">
        <f>F379*C386/L372/8*1.5</f>
        <v>#REF!</v>
      </c>
      <c r="M386" s="117" t="s">
        <v>59</v>
      </c>
      <c r="N386" s="115" t="s">
        <v>41</v>
      </c>
      <c r="O386" s="118" t="e">
        <f>'[9]LUONG T7'!Q24</f>
        <v>#REF!</v>
      </c>
      <c r="P386" s="119" t="s">
        <v>60</v>
      </c>
      <c r="Q386" s="270" t="s">
        <v>61</v>
      </c>
      <c r="R386" s="270"/>
      <c r="S386" s="270"/>
      <c r="T386" s="115" t="s">
        <v>41</v>
      </c>
      <c r="U386" s="281" t="e">
        <f>'[9]LUONG T7'!Q25</f>
        <v>#REF!</v>
      </c>
      <c r="V386" s="281"/>
      <c r="W386" s="123" t="s">
        <v>47</v>
      </c>
      <c r="X386" s="124" t="e">
        <f>R379*O386/X372/8*1.5</f>
        <v>#REF!</v>
      </c>
    </row>
    <row r="387" spans="1:24" ht="18.75" customHeight="1">
      <c r="A387" s="269" t="s">
        <v>62</v>
      </c>
      <c r="B387" s="270"/>
      <c r="C387" s="118"/>
      <c r="D387" s="119" t="s">
        <v>51</v>
      </c>
      <c r="E387" s="270" t="s">
        <v>63</v>
      </c>
      <c r="F387" s="270"/>
      <c r="G387" s="270"/>
      <c r="H387" s="125" t="s">
        <v>41</v>
      </c>
      <c r="I387" s="281"/>
      <c r="J387" s="281"/>
      <c r="K387" s="123" t="s">
        <v>47</v>
      </c>
      <c r="L387" s="124"/>
      <c r="M387" s="269" t="s">
        <v>62</v>
      </c>
      <c r="N387" s="270"/>
      <c r="O387" s="118"/>
      <c r="P387" s="119" t="s">
        <v>51</v>
      </c>
      <c r="Q387" s="270" t="s">
        <v>63</v>
      </c>
      <c r="R387" s="270"/>
      <c r="S387" s="270"/>
      <c r="T387" s="125" t="s">
        <v>41</v>
      </c>
      <c r="U387" s="281"/>
      <c r="V387" s="281"/>
      <c r="W387" s="123" t="s">
        <v>47</v>
      </c>
      <c r="X387" s="124"/>
    </row>
    <row r="388" spans="1:24" ht="18.75" customHeight="1">
      <c r="A388" s="117" t="s">
        <v>64</v>
      </c>
      <c r="B388" s="115" t="s">
        <v>41</v>
      </c>
      <c r="C388" s="118"/>
      <c r="D388" s="119" t="s">
        <v>51</v>
      </c>
      <c r="E388" s="270" t="s">
        <v>65</v>
      </c>
      <c r="F388" s="270"/>
      <c r="G388" s="270"/>
      <c r="H388" s="115" t="s">
        <v>41</v>
      </c>
      <c r="I388" s="281"/>
      <c r="J388" s="281"/>
      <c r="K388" s="123" t="s">
        <v>47</v>
      </c>
      <c r="L388" s="124"/>
      <c r="M388" s="117" t="s">
        <v>64</v>
      </c>
      <c r="N388" s="115" t="s">
        <v>41</v>
      </c>
      <c r="O388" s="118"/>
      <c r="P388" s="119" t="s">
        <v>51</v>
      </c>
      <c r="Q388" s="270" t="s">
        <v>65</v>
      </c>
      <c r="R388" s="270"/>
      <c r="S388" s="270"/>
      <c r="T388" s="115" t="s">
        <v>41</v>
      </c>
      <c r="U388" s="281"/>
      <c r="V388" s="281"/>
      <c r="W388" s="123" t="s">
        <v>47</v>
      </c>
      <c r="X388" s="124"/>
    </row>
    <row r="389" spans="1:24" ht="18.75" customHeight="1">
      <c r="A389" s="126" t="s">
        <v>66</v>
      </c>
      <c r="B389" s="115"/>
      <c r="C389" s="118" t="e">
        <f>'[9]LUONG T7'!M22</f>
        <v>#REF!</v>
      </c>
      <c r="D389" s="119" t="s">
        <v>60</v>
      </c>
      <c r="E389" s="270" t="s">
        <v>67</v>
      </c>
      <c r="F389" s="270"/>
      <c r="G389" s="270"/>
      <c r="H389" s="115" t="s">
        <v>41</v>
      </c>
      <c r="I389" s="281" t="e">
        <f>$F$8*C389/8/$L$1</f>
        <v>#REF!</v>
      </c>
      <c r="J389" s="281"/>
      <c r="K389" s="123" t="s">
        <v>47</v>
      </c>
      <c r="L389" s="124"/>
      <c r="M389" s="126" t="s">
        <v>66</v>
      </c>
      <c r="N389" s="115"/>
      <c r="O389" s="118" t="e">
        <f>'[9]LUONG T7'!M24</f>
        <v>#REF!</v>
      </c>
      <c r="P389" s="119" t="s">
        <v>60</v>
      </c>
      <c r="Q389" s="270" t="s">
        <v>67</v>
      </c>
      <c r="R389" s="270"/>
      <c r="S389" s="270"/>
      <c r="T389" s="115" t="s">
        <v>41</v>
      </c>
      <c r="U389" s="281" t="e">
        <f>$F$8*O389/8/$L$1</f>
        <v>#REF!</v>
      </c>
      <c r="V389" s="281"/>
      <c r="W389" s="123" t="s">
        <v>47</v>
      </c>
      <c r="X389" s="124"/>
    </row>
    <row r="390" spans="1:24" ht="18.75" customHeight="1">
      <c r="A390" s="117" t="s">
        <v>68</v>
      </c>
      <c r="B390" s="115" t="s">
        <v>41</v>
      </c>
      <c r="C390" s="118"/>
      <c r="D390" s="119" t="s">
        <v>60</v>
      </c>
      <c r="E390" s="270" t="s">
        <v>92</v>
      </c>
      <c r="F390" s="270"/>
      <c r="G390" s="270"/>
      <c r="H390" s="115" t="s">
        <v>41</v>
      </c>
      <c r="I390" s="283"/>
      <c r="J390" s="283"/>
      <c r="K390" s="123" t="s">
        <v>47</v>
      </c>
      <c r="L390" s="124"/>
      <c r="M390" s="117" t="s">
        <v>68</v>
      </c>
      <c r="N390" s="115" t="s">
        <v>41</v>
      </c>
      <c r="O390" s="118"/>
      <c r="P390" s="119" t="s">
        <v>60</v>
      </c>
      <c r="Q390" s="270" t="s">
        <v>92</v>
      </c>
      <c r="R390" s="270"/>
      <c r="S390" s="270"/>
      <c r="T390" s="115" t="s">
        <v>41</v>
      </c>
      <c r="U390" s="283"/>
      <c r="V390" s="283"/>
      <c r="W390" s="123" t="s">
        <v>47</v>
      </c>
      <c r="X390" s="124"/>
    </row>
    <row r="391" spans="1:24" ht="18.75" customHeight="1">
      <c r="A391" s="117" t="s">
        <v>70</v>
      </c>
      <c r="B391" s="115" t="s">
        <v>41</v>
      </c>
      <c r="C391" s="118"/>
      <c r="D391" s="119" t="s">
        <v>71</v>
      </c>
      <c r="E391" s="127" t="s">
        <v>72</v>
      </c>
      <c r="F391" s="127"/>
      <c r="G391" s="127"/>
      <c r="H391" s="115" t="s">
        <v>41</v>
      </c>
      <c r="I391" s="281"/>
      <c r="J391" s="281"/>
      <c r="K391" s="123" t="s">
        <v>47</v>
      </c>
      <c r="L391" s="124" t="e">
        <f>+IF(L382-I382&lt;0,0,L382-I382)+IF(L386-I386&lt;0,0,L386-I386)</f>
        <v>#REF!</v>
      </c>
      <c r="M391" s="117" t="s">
        <v>70</v>
      </c>
      <c r="N391" s="115" t="s">
        <v>41</v>
      </c>
      <c r="O391" s="118"/>
      <c r="P391" s="119" t="s">
        <v>71</v>
      </c>
      <c r="Q391" s="127" t="s">
        <v>72</v>
      </c>
      <c r="R391" s="127"/>
      <c r="S391" s="127"/>
      <c r="T391" s="115" t="s">
        <v>41</v>
      </c>
      <c r="U391" s="281"/>
      <c r="V391" s="281"/>
      <c r="W391" s="123" t="s">
        <v>47</v>
      </c>
      <c r="X391" s="124" t="e">
        <f>+IF(X382-U382&lt;0,0,X382-U382)+IF(X386-U386&lt;0,0,X386-U386)</f>
        <v>#REF!</v>
      </c>
    </row>
    <row r="392" spans="1:24" ht="18.75" customHeight="1">
      <c r="A392" s="128" t="s">
        <v>117</v>
      </c>
      <c r="B392" s="129"/>
      <c r="C392" s="118"/>
      <c r="D392" s="119" t="s">
        <v>51</v>
      </c>
      <c r="E392" s="270" t="s">
        <v>118</v>
      </c>
      <c r="F392" s="270"/>
      <c r="G392" s="270"/>
      <c r="H392" s="115" t="s">
        <v>41</v>
      </c>
      <c r="I392" s="281"/>
      <c r="J392" s="281"/>
      <c r="K392" s="123" t="s">
        <v>47</v>
      </c>
      <c r="L392" s="124"/>
      <c r="M392" s="128" t="s">
        <v>117</v>
      </c>
      <c r="N392" s="129"/>
      <c r="O392" s="118"/>
      <c r="P392" s="119" t="s">
        <v>51</v>
      </c>
      <c r="Q392" s="270" t="s">
        <v>118</v>
      </c>
      <c r="R392" s="270"/>
      <c r="S392" s="270"/>
      <c r="T392" s="115" t="s">
        <v>41</v>
      </c>
      <c r="U392" s="281"/>
      <c r="V392" s="281"/>
      <c r="W392" s="123" t="s">
        <v>47</v>
      </c>
      <c r="X392" s="124"/>
    </row>
    <row r="393" spans="1:24" ht="18.75" customHeight="1">
      <c r="A393" s="288" t="s">
        <v>75</v>
      </c>
      <c r="B393" s="282"/>
      <c r="C393" s="118"/>
      <c r="D393" s="119"/>
      <c r="E393" s="120"/>
      <c r="F393" s="120"/>
      <c r="G393" s="120"/>
      <c r="H393" s="115" t="s">
        <v>41</v>
      </c>
      <c r="I393" s="281" t="e">
        <f>'[9]LUONG T7'!P23</f>
        <v>#REF!</v>
      </c>
      <c r="J393" s="281"/>
      <c r="K393" s="123" t="s">
        <v>47</v>
      </c>
      <c r="L393" s="124"/>
      <c r="M393" s="288" t="s">
        <v>75</v>
      </c>
      <c r="N393" s="282"/>
      <c r="O393" s="118"/>
      <c r="P393" s="119"/>
      <c r="Q393" s="120"/>
      <c r="R393" s="120"/>
      <c r="S393" s="120"/>
      <c r="T393" s="115" t="s">
        <v>41</v>
      </c>
      <c r="U393" s="281" t="e">
        <f>'[9]LUONG T7'!P25</f>
        <v>#REF!</v>
      </c>
      <c r="V393" s="281"/>
      <c r="W393" s="123" t="s">
        <v>47</v>
      </c>
      <c r="X393" s="124"/>
    </row>
    <row r="394" spans="1:24" ht="18.75" customHeight="1">
      <c r="A394" s="117" t="s">
        <v>76</v>
      </c>
      <c r="B394" s="115" t="s">
        <v>41</v>
      </c>
      <c r="C394" s="118"/>
      <c r="D394" s="119"/>
      <c r="E394" s="120" t="s">
        <v>77</v>
      </c>
      <c r="F394" s="120"/>
      <c r="G394" s="120"/>
      <c r="H394" s="115" t="s">
        <v>41</v>
      </c>
      <c r="I394" s="281" t="e">
        <f>L391</f>
        <v>#REF!</v>
      </c>
      <c r="J394" s="281"/>
      <c r="K394" s="123" t="s">
        <v>47</v>
      </c>
      <c r="L394" s="124"/>
      <c r="M394" s="117" t="s">
        <v>76</v>
      </c>
      <c r="N394" s="115" t="s">
        <v>41</v>
      </c>
      <c r="O394" s="118"/>
      <c r="P394" s="119"/>
      <c r="Q394" s="120" t="s">
        <v>77</v>
      </c>
      <c r="R394" s="120"/>
      <c r="S394" s="120"/>
      <c r="T394" s="115" t="s">
        <v>41</v>
      </c>
      <c r="U394" s="281" t="e">
        <f>X391</f>
        <v>#REF!</v>
      </c>
      <c r="V394" s="281"/>
      <c r="W394" s="123" t="s">
        <v>47</v>
      </c>
      <c r="X394" s="124"/>
    </row>
    <row r="395" spans="1:24" ht="18.75" customHeight="1">
      <c r="A395" s="285" t="s">
        <v>78</v>
      </c>
      <c r="B395" s="286"/>
      <c r="C395" s="286"/>
      <c r="D395" s="286"/>
      <c r="E395" s="286"/>
      <c r="F395" s="286"/>
      <c r="G395" s="115" t="s">
        <v>41</v>
      </c>
      <c r="H395" s="287" t="e">
        <f>I382+I383+I384+I385+I386+I389+I393+I394</f>
        <v>#REF!</v>
      </c>
      <c r="I395" s="287"/>
      <c r="J395" s="287"/>
      <c r="K395" s="123" t="s">
        <v>47</v>
      </c>
      <c r="M395" s="285" t="s">
        <v>78</v>
      </c>
      <c r="N395" s="286"/>
      <c r="O395" s="286"/>
      <c r="P395" s="286"/>
      <c r="Q395" s="286"/>
      <c r="R395" s="286"/>
      <c r="S395" s="115" t="s">
        <v>41</v>
      </c>
      <c r="T395" s="287" t="e">
        <f>U382+U383+U384+U385+U386+U389+U393+U394</f>
        <v>#REF!</v>
      </c>
      <c r="U395" s="287"/>
      <c r="V395" s="287"/>
      <c r="W395" s="123" t="s">
        <v>47</v>
      </c>
    </row>
    <row r="396" spans="1:24" ht="18.75" customHeight="1">
      <c r="A396" s="130"/>
      <c r="B396" s="131"/>
      <c r="C396" s="131"/>
      <c r="D396" s="131"/>
      <c r="E396" s="131"/>
      <c r="F396" s="131"/>
      <c r="G396" s="131"/>
      <c r="H396" s="131"/>
      <c r="I396" s="131"/>
      <c r="J396" s="131"/>
      <c r="K396" s="132"/>
      <c r="M396" s="130"/>
      <c r="N396" s="131"/>
      <c r="O396" s="131"/>
      <c r="P396" s="131"/>
      <c r="Q396" s="131"/>
      <c r="R396" s="131"/>
      <c r="S396" s="131"/>
      <c r="T396" s="131"/>
      <c r="U396" s="131"/>
      <c r="V396" s="131"/>
      <c r="W396" s="132"/>
    </row>
    <row r="397" spans="1:24" ht="18.75" customHeight="1">
      <c r="A397" s="295" t="s">
        <v>79</v>
      </c>
      <c r="B397" s="296"/>
      <c r="C397" s="296"/>
      <c r="D397" s="296"/>
      <c r="E397" s="296"/>
      <c r="F397" s="296"/>
      <c r="G397" s="115"/>
      <c r="H397" s="115"/>
      <c r="I397" s="115"/>
      <c r="J397" s="115"/>
      <c r="K397" s="123"/>
      <c r="M397" s="295" t="s">
        <v>79</v>
      </c>
      <c r="N397" s="296"/>
      <c r="O397" s="296"/>
      <c r="P397" s="296"/>
      <c r="Q397" s="296"/>
      <c r="R397" s="296"/>
      <c r="S397" s="115"/>
      <c r="T397" s="115"/>
      <c r="U397" s="115"/>
      <c r="V397" s="115"/>
      <c r="W397" s="123"/>
    </row>
    <row r="398" spans="1:24" ht="18.75" customHeight="1">
      <c r="A398" s="289" t="s">
        <v>80</v>
      </c>
      <c r="B398" s="290"/>
      <c r="C398" s="290"/>
      <c r="D398" s="290"/>
      <c r="E398" s="290"/>
      <c r="F398" s="290"/>
      <c r="G398" s="115" t="s">
        <v>41</v>
      </c>
      <c r="H398" s="297" t="e">
        <f>IF(($L$1-(C382+C383+C384+C385))&gt;12,0,F379*8%)</f>
        <v>#REF!</v>
      </c>
      <c r="I398" s="297"/>
      <c r="J398" s="297"/>
      <c r="K398" s="123" t="s">
        <v>47</v>
      </c>
      <c r="M398" s="289" t="s">
        <v>80</v>
      </c>
      <c r="N398" s="290"/>
      <c r="O398" s="290"/>
      <c r="P398" s="290"/>
      <c r="Q398" s="290"/>
      <c r="R398" s="290"/>
      <c r="S398" s="115" t="s">
        <v>41</v>
      </c>
      <c r="T398" s="297" t="e">
        <f>IF(($L$1-(O382+O383+O384+O385))&gt;12,0,R379*8%)</f>
        <v>#REF!</v>
      </c>
      <c r="U398" s="297"/>
      <c r="V398" s="297"/>
      <c r="W398" s="123" t="s">
        <v>47</v>
      </c>
    </row>
    <row r="399" spans="1:24" ht="18.75" customHeight="1">
      <c r="A399" s="289" t="s">
        <v>81</v>
      </c>
      <c r="B399" s="290"/>
      <c r="C399" s="290"/>
      <c r="D399" s="290"/>
      <c r="E399" s="290"/>
      <c r="F399" s="290"/>
      <c r="G399" s="115" t="s">
        <v>41</v>
      </c>
      <c r="H399" s="291" t="e">
        <f>IF(($L$1-(C382+C383+C384+C385))&gt;12,0,F379*1.5%)</f>
        <v>#REF!</v>
      </c>
      <c r="I399" s="291"/>
      <c r="J399" s="291"/>
      <c r="K399" s="123" t="s">
        <v>47</v>
      </c>
      <c r="M399" s="289" t="s">
        <v>81</v>
      </c>
      <c r="N399" s="290"/>
      <c r="O399" s="290"/>
      <c r="P399" s="290"/>
      <c r="Q399" s="290"/>
      <c r="R399" s="290"/>
      <c r="S399" s="115" t="s">
        <v>41</v>
      </c>
      <c r="T399" s="291" t="e">
        <f>IF(($L$1-(O382+O383+O384+O385))&gt;12,0,R379*1.5%)</f>
        <v>#REF!</v>
      </c>
      <c r="U399" s="291"/>
      <c r="V399" s="291"/>
      <c r="W399" s="123" t="s">
        <v>47</v>
      </c>
    </row>
    <row r="400" spans="1:24" ht="18.75" customHeight="1">
      <c r="A400" s="289" t="s">
        <v>82</v>
      </c>
      <c r="B400" s="290"/>
      <c r="C400" s="290"/>
      <c r="D400" s="290"/>
      <c r="E400" s="290"/>
      <c r="F400" s="290"/>
      <c r="G400" s="115" t="s">
        <v>41</v>
      </c>
      <c r="H400" s="291" t="e">
        <f>IF(($L$1-(C382+C383+C384+C385))&gt;12,0,F379*1%)</f>
        <v>#REF!</v>
      </c>
      <c r="I400" s="291"/>
      <c r="J400" s="291"/>
      <c r="K400" s="123" t="s">
        <v>47</v>
      </c>
      <c r="M400" s="289" t="s">
        <v>82</v>
      </c>
      <c r="N400" s="290"/>
      <c r="O400" s="290"/>
      <c r="P400" s="290"/>
      <c r="Q400" s="290"/>
      <c r="R400" s="290"/>
      <c r="S400" s="115" t="s">
        <v>41</v>
      </c>
      <c r="T400" s="291" t="e">
        <f>IF(($L$1-(O382+O383+O384+O385))&gt;12,0,R379*1%)</f>
        <v>#REF!</v>
      </c>
      <c r="U400" s="291"/>
      <c r="V400" s="291"/>
      <c r="W400" s="123" t="s">
        <v>47</v>
      </c>
    </row>
    <row r="401" spans="1:24" ht="18.75" customHeight="1">
      <c r="A401" s="289" t="s">
        <v>83</v>
      </c>
      <c r="B401" s="290"/>
      <c r="C401" s="290"/>
      <c r="D401" s="290"/>
      <c r="E401" s="290"/>
      <c r="F401" s="290"/>
      <c r="G401" s="115" t="s">
        <v>41</v>
      </c>
      <c r="H401" s="291">
        <v>0</v>
      </c>
      <c r="I401" s="291"/>
      <c r="J401" s="291"/>
      <c r="K401" s="123" t="s">
        <v>47</v>
      </c>
      <c r="M401" s="289" t="s">
        <v>83</v>
      </c>
      <c r="N401" s="290"/>
      <c r="O401" s="290"/>
      <c r="P401" s="290"/>
      <c r="Q401" s="290"/>
      <c r="R401" s="290"/>
      <c r="S401" s="115" t="s">
        <v>41</v>
      </c>
      <c r="T401" s="291">
        <v>0</v>
      </c>
      <c r="U401" s="291"/>
      <c r="V401" s="291"/>
      <c r="W401" s="123" t="s">
        <v>47</v>
      </c>
    </row>
    <row r="402" spans="1:24" ht="18.75" customHeight="1">
      <c r="A402" s="292" t="s">
        <v>84</v>
      </c>
      <c r="B402" s="293"/>
      <c r="C402" s="293"/>
      <c r="D402" s="293"/>
      <c r="E402" s="293"/>
      <c r="F402" s="293"/>
      <c r="G402" s="115" t="s">
        <v>41</v>
      </c>
      <c r="H402" s="294" t="e">
        <f>SUM(H398:J401)</f>
        <v>#REF!</v>
      </c>
      <c r="I402" s="294"/>
      <c r="J402" s="294"/>
      <c r="K402" s="123" t="s">
        <v>47</v>
      </c>
      <c r="M402" s="292" t="s">
        <v>84</v>
      </c>
      <c r="N402" s="293"/>
      <c r="O402" s="293"/>
      <c r="P402" s="293"/>
      <c r="Q402" s="293"/>
      <c r="R402" s="293"/>
      <c r="S402" s="115" t="s">
        <v>41</v>
      </c>
      <c r="T402" s="294" t="e">
        <f>SUM(T398:V401)</f>
        <v>#REF!</v>
      </c>
      <c r="U402" s="294"/>
      <c r="V402" s="294"/>
      <c r="W402" s="123" t="s">
        <v>47</v>
      </c>
    </row>
    <row r="403" spans="1:24" ht="18.75" customHeight="1">
      <c r="A403" s="289" t="s">
        <v>85</v>
      </c>
      <c r="B403" s="290"/>
      <c r="C403" s="290"/>
      <c r="D403" s="290"/>
      <c r="E403" s="290"/>
      <c r="F403" s="290"/>
      <c r="G403" s="115" t="s">
        <v>41</v>
      </c>
      <c r="H403" s="301" t="e">
        <f>ROUND(H395-H402,-2)</f>
        <v>#REF!</v>
      </c>
      <c r="I403" s="301"/>
      <c r="J403" s="301"/>
      <c r="K403" s="123" t="s">
        <v>47</v>
      </c>
      <c r="M403" s="289" t="s">
        <v>85</v>
      </c>
      <c r="N403" s="290"/>
      <c r="O403" s="290"/>
      <c r="P403" s="290"/>
      <c r="Q403" s="290"/>
      <c r="R403" s="290"/>
      <c r="S403" s="115" t="s">
        <v>41</v>
      </c>
      <c r="T403" s="301" t="e">
        <f>ROUND(T395-T402,-2)</f>
        <v>#REF!</v>
      </c>
      <c r="U403" s="301"/>
      <c r="V403" s="301"/>
      <c r="W403" s="123" t="s">
        <v>47</v>
      </c>
    </row>
    <row r="404" spans="1:24" ht="18.75" customHeight="1">
      <c r="A404" s="133"/>
      <c r="B404" s="134"/>
      <c r="C404" s="134"/>
      <c r="D404" s="134"/>
      <c r="E404" s="134"/>
      <c r="F404" s="134"/>
      <c r="G404" s="134"/>
      <c r="H404" s="134"/>
      <c r="I404" s="134"/>
      <c r="J404" s="134"/>
      <c r="K404" s="135"/>
      <c r="M404" s="133"/>
      <c r="N404" s="134"/>
      <c r="O404" s="134"/>
      <c r="P404" s="134"/>
      <c r="Q404" s="134"/>
      <c r="R404" s="134"/>
      <c r="S404" s="134"/>
      <c r="T404" s="134"/>
      <c r="U404" s="134"/>
      <c r="V404" s="134"/>
      <c r="W404" s="135"/>
    </row>
    <row r="405" spans="1:24" ht="18.75" customHeight="1">
      <c r="A405" s="136"/>
      <c r="B405" s="115"/>
      <c r="C405" s="115"/>
      <c r="D405" s="115"/>
      <c r="E405" s="115"/>
      <c r="F405" s="115"/>
      <c r="G405" s="115"/>
      <c r="H405" s="115"/>
      <c r="I405" s="298" t="s">
        <v>86</v>
      </c>
      <c r="J405" s="298"/>
      <c r="K405" s="302"/>
      <c r="M405" s="136"/>
      <c r="N405" s="115"/>
      <c r="O405" s="115"/>
      <c r="P405" s="115"/>
      <c r="Q405" s="115"/>
      <c r="R405" s="115"/>
      <c r="S405" s="115"/>
      <c r="T405" s="115"/>
      <c r="U405" s="298" t="s">
        <v>86</v>
      </c>
      <c r="V405" s="298"/>
      <c r="W405" s="302"/>
    </row>
    <row r="406" spans="1:24" ht="18.75" customHeight="1">
      <c r="A406" s="136"/>
      <c r="B406" s="298"/>
      <c r="C406" s="298"/>
      <c r="D406" s="298"/>
      <c r="E406" s="298"/>
      <c r="F406" s="115"/>
      <c r="G406" s="115"/>
      <c r="H406" s="115"/>
      <c r="I406" s="115"/>
      <c r="J406" s="115"/>
      <c r="K406" s="116"/>
      <c r="M406" s="136"/>
      <c r="N406" s="298"/>
      <c r="O406" s="298"/>
      <c r="P406" s="298"/>
      <c r="Q406" s="298"/>
      <c r="R406" s="115"/>
      <c r="S406" s="115"/>
      <c r="T406" s="115"/>
      <c r="U406" s="115"/>
      <c r="V406" s="115"/>
      <c r="W406" s="116"/>
    </row>
    <row r="407" spans="1:24" ht="18.75" customHeight="1" thickBot="1">
      <c r="A407" s="137"/>
      <c r="B407" s="138"/>
      <c r="C407" s="138"/>
      <c r="D407" s="138"/>
      <c r="E407" s="138"/>
      <c r="F407" s="138"/>
      <c r="G407" s="138"/>
      <c r="H407" s="138"/>
      <c r="I407" s="299" t="s">
        <v>87</v>
      </c>
      <c r="J407" s="299"/>
      <c r="K407" s="300"/>
      <c r="M407" s="137"/>
      <c r="N407" s="138"/>
      <c r="O407" s="138"/>
      <c r="P407" s="138"/>
      <c r="Q407" s="138"/>
      <c r="R407" s="138"/>
      <c r="S407" s="138"/>
      <c r="T407" s="138"/>
      <c r="U407" s="299" t="s">
        <v>87</v>
      </c>
      <c r="V407" s="299"/>
      <c r="W407" s="300"/>
    </row>
    <row r="408" spans="1:24" ht="18.75" customHeight="1" thickTop="1" thickBot="1">
      <c r="A408" s="136"/>
      <c r="B408" s="115"/>
      <c r="C408" s="115"/>
      <c r="D408" s="115"/>
      <c r="E408" s="115"/>
      <c r="F408" s="115"/>
      <c r="G408" s="115"/>
      <c r="H408" s="115"/>
      <c r="I408" s="139"/>
      <c r="J408" s="139"/>
      <c r="K408" s="139"/>
      <c r="M408" s="136"/>
      <c r="N408" s="115"/>
      <c r="O408" s="115"/>
      <c r="P408" s="115"/>
      <c r="Q408" s="115"/>
      <c r="R408" s="115"/>
      <c r="S408" s="115"/>
      <c r="T408" s="115"/>
      <c r="U408" s="139"/>
      <c r="V408" s="139"/>
      <c r="W408" s="139"/>
    </row>
    <row r="409" spans="1:24" ht="18.75" customHeight="1" thickTop="1">
      <c r="A409" s="274" t="s">
        <v>35</v>
      </c>
      <c r="B409" s="275"/>
      <c r="C409" s="275"/>
      <c r="D409" s="275"/>
      <c r="E409" s="275"/>
      <c r="F409" s="275"/>
      <c r="G409" s="275"/>
      <c r="H409" s="275"/>
      <c r="I409" s="275"/>
      <c r="J409" s="275"/>
      <c r="K409" s="276"/>
      <c r="L409" s="111">
        <v>25</v>
      </c>
      <c r="M409" s="274" t="s">
        <v>35</v>
      </c>
      <c r="N409" s="275"/>
      <c r="O409" s="275"/>
      <c r="P409" s="275"/>
      <c r="Q409" s="275"/>
      <c r="R409" s="275"/>
      <c r="S409" s="275"/>
      <c r="T409" s="275"/>
      <c r="U409" s="275"/>
      <c r="V409" s="275"/>
      <c r="W409" s="276"/>
      <c r="X409" s="111">
        <v>25</v>
      </c>
    </row>
    <row r="410" spans="1:24" ht="18.75" customHeight="1">
      <c r="A410" s="112" t="s">
        <v>125</v>
      </c>
      <c r="B410" s="113"/>
      <c r="C410" s="113"/>
      <c r="D410" s="113"/>
      <c r="E410" s="113"/>
      <c r="F410" s="113"/>
      <c r="G410" s="113"/>
      <c r="H410" s="113"/>
      <c r="I410" s="113"/>
      <c r="J410" s="113"/>
      <c r="K410" s="114"/>
      <c r="M410" s="112" t="s">
        <v>126</v>
      </c>
      <c r="N410" s="113"/>
      <c r="O410" s="113"/>
      <c r="P410" s="113"/>
      <c r="Q410" s="113"/>
      <c r="R410" s="113"/>
      <c r="S410" s="113"/>
      <c r="T410" s="113"/>
      <c r="U410" s="113"/>
      <c r="V410" s="113"/>
      <c r="W410" s="114"/>
    </row>
    <row r="411" spans="1:24" ht="18.75" customHeight="1">
      <c r="A411" s="277" t="s">
        <v>39</v>
      </c>
      <c r="B411" s="278"/>
      <c r="C411" s="278"/>
      <c r="D411" s="278"/>
      <c r="E411" s="278"/>
      <c r="F411" s="278"/>
      <c r="G411" s="278"/>
      <c r="H411" s="278"/>
      <c r="I411" s="278"/>
      <c r="J411" s="278"/>
      <c r="K411" s="279"/>
      <c r="M411" s="277" t="s">
        <v>39</v>
      </c>
      <c r="N411" s="278"/>
      <c r="O411" s="278"/>
      <c r="P411" s="278"/>
      <c r="Q411" s="278"/>
      <c r="R411" s="278"/>
      <c r="S411" s="278"/>
      <c r="T411" s="278"/>
      <c r="U411" s="278"/>
      <c r="V411" s="278"/>
      <c r="W411" s="279"/>
    </row>
    <row r="412" spans="1:24" ht="18.75" customHeight="1">
      <c r="A412" s="269" t="s">
        <v>40</v>
      </c>
      <c r="B412" s="270"/>
      <c r="C412" s="270"/>
      <c r="D412" s="270"/>
      <c r="E412" s="115" t="s">
        <v>41</v>
      </c>
      <c r="F412" s="271" t="e">
        <f>'[9]Bang TH nop'!B42</f>
        <v>#REF!</v>
      </c>
      <c r="G412" s="270"/>
      <c r="H412" s="270"/>
      <c r="I412" s="270"/>
      <c r="J412" s="270"/>
      <c r="K412" s="273"/>
      <c r="M412" s="269" t="s">
        <v>40</v>
      </c>
      <c r="N412" s="270"/>
      <c r="O412" s="270"/>
      <c r="P412" s="270"/>
      <c r="Q412" s="115" t="s">
        <v>41</v>
      </c>
      <c r="R412" s="271" t="e">
        <f>'[9]Bang TH nop'!B44</f>
        <v>#REF!</v>
      </c>
      <c r="S412" s="270"/>
      <c r="T412" s="270"/>
      <c r="U412" s="270"/>
      <c r="V412" s="270"/>
      <c r="W412" s="273"/>
    </row>
    <row r="413" spans="1:24" ht="18.75" customHeight="1">
      <c r="A413" s="269" t="s">
        <v>43</v>
      </c>
      <c r="B413" s="270"/>
      <c r="C413" s="270"/>
      <c r="D413" s="270"/>
      <c r="E413" s="115" t="s">
        <v>41</v>
      </c>
      <c r="F413" s="271" t="e">
        <f>'[9]Bang TH nop'!C42</f>
        <v>#REF!</v>
      </c>
      <c r="G413" s="271"/>
      <c r="H413" s="271"/>
      <c r="I413" s="271"/>
      <c r="J413" s="271"/>
      <c r="K413" s="272"/>
      <c r="M413" s="269" t="s">
        <v>43</v>
      </c>
      <c r="N413" s="270"/>
      <c r="O413" s="270"/>
      <c r="P413" s="270"/>
      <c r="Q413" s="115" t="s">
        <v>41</v>
      </c>
      <c r="R413" s="271" t="e">
        <f>'[9]Bang TH nop'!C44</f>
        <v>#REF!</v>
      </c>
      <c r="S413" s="271"/>
      <c r="T413" s="271"/>
      <c r="U413" s="271"/>
      <c r="V413" s="271"/>
      <c r="W413" s="272"/>
    </row>
    <row r="414" spans="1:24" ht="18.75" customHeight="1">
      <c r="A414" s="269" t="s">
        <v>44</v>
      </c>
      <c r="B414" s="270"/>
      <c r="C414" s="270"/>
      <c r="D414" s="270"/>
      <c r="E414" s="115" t="s">
        <v>41</v>
      </c>
      <c r="F414" s="270" t="s">
        <v>116</v>
      </c>
      <c r="G414" s="270"/>
      <c r="H414" s="270"/>
      <c r="I414" s="270"/>
      <c r="J414" s="270"/>
      <c r="K414" s="273"/>
      <c r="M414" s="269" t="s">
        <v>44</v>
      </c>
      <c r="N414" s="270"/>
      <c r="O414" s="270"/>
      <c r="P414" s="270"/>
      <c r="Q414" s="115" t="s">
        <v>41</v>
      </c>
      <c r="R414" s="270" t="s">
        <v>116</v>
      </c>
      <c r="S414" s="270"/>
      <c r="T414" s="270"/>
      <c r="U414" s="270"/>
      <c r="V414" s="270"/>
      <c r="W414" s="273"/>
    </row>
    <row r="415" spans="1:24" ht="18.75" customHeight="1">
      <c r="A415" s="277" t="s">
        <v>45</v>
      </c>
      <c r="B415" s="278"/>
      <c r="C415" s="278"/>
      <c r="D415" s="278"/>
      <c r="E415" s="278"/>
      <c r="F415" s="278"/>
      <c r="G415" s="278"/>
      <c r="H415" s="278"/>
      <c r="I415" s="278"/>
      <c r="J415" s="278"/>
      <c r="K415" s="279"/>
      <c r="M415" s="277" t="s">
        <v>45</v>
      </c>
      <c r="N415" s="278"/>
      <c r="O415" s="278"/>
      <c r="P415" s="278"/>
      <c r="Q415" s="278"/>
      <c r="R415" s="278"/>
      <c r="S415" s="278"/>
      <c r="T415" s="278"/>
      <c r="U415" s="278"/>
      <c r="V415" s="278"/>
      <c r="W415" s="279"/>
    </row>
    <row r="416" spans="1:24" ht="18.75" customHeight="1">
      <c r="A416" s="269" t="s">
        <v>46</v>
      </c>
      <c r="B416" s="270"/>
      <c r="C416" s="270"/>
      <c r="D416" s="270"/>
      <c r="E416" s="115" t="s">
        <v>41</v>
      </c>
      <c r="F416" s="284">
        <v>2915400</v>
      </c>
      <c r="G416" s="284"/>
      <c r="H416" s="284"/>
      <c r="I416" s="284"/>
      <c r="J416" s="115" t="s">
        <v>47</v>
      </c>
      <c r="K416" s="116"/>
      <c r="M416" s="269" t="s">
        <v>46</v>
      </c>
      <c r="N416" s="270"/>
      <c r="O416" s="270"/>
      <c r="P416" s="270"/>
      <c r="Q416" s="115" t="s">
        <v>41</v>
      </c>
      <c r="R416" s="284">
        <v>2915400</v>
      </c>
      <c r="S416" s="284"/>
      <c r="T416" s="284"/>
      <c r="U416" s="284"/>
      <c r="V416" s="115" t="s">
        <v>47</v>
      </c>
      <c r="W416" s="116"/>
    </row>
    <row r="417" spans="1:24" ht="18.75" customHeight="1">
      <c r="A417" s="117" t="s">
        <v>48</v>
      </c>
      <c r="B417" s="115"/>
      <c r="C417" s="118"/>
      <c r="D417" s="119"/>
      <c r="E417" s="120"/>
      <c r="F417" s="120"/>
      <c r="G417" s="120"/>
      <c r="H417" s="115"/>
      <c r="I417" s="121" t="e">
        <f>'[9]LUONG T7'!F27</f>
        <v>#REF!</v>
      </c>
      <c r="J417" s="122"/>
      <c r="K417" s="123"/>
      <c r="M417" s="117" t="s">
        <v>48</v>
      </c>
      <c r="N417" s="115"/>
      <c r="O417" s="118"/>
      <c r="P417" s="119"/>
      <c r="Q417" s="120"/>
      <c r="R417" s="120"/>
      <c r="S417" s="120"/>
      <c r="T417" s="115"/>
      <c r="U417" s="121" t="e">
        <f>'[9]LUONG T7'!F29</f>
        <v>#REF!</v>
      </c>
      <c r="V417" s="122"/>
      <c r="W417" s="123"/>
    </row>
    <row r="418" spans="1:24" ht="18.75" customHeight="1">
      <c r="A418" s="117" t="s">
        <v>49</v>
      </c>
      <c r="B418" s="115"/>
      <c r="C418" s="118"/>
      <c r="D418" s="119"/>
      <c r="E418" s="120"/>
      <c r="F418" s="120"/>
      <c r="G418" s="120"/>
      <c r="H418" s="115"/>
      <c r="I418" s="121" t="e">
        <f>I419/C419/8</f>
        <v>#REF!</v>
      </c>
      <c r="J418" s="122"/>
      <c r="K418" s="123"/>
      <c r="M418" s="117" t="s">
        <v>49</v>
      </c>
      <c r="N418" s="115"/>
      <c r="O418" s="118"/>
      <c r="P418" s="119"/>
      <c r="Q418" s="120"/>
      <c r="R418" s="120"/>
      <c r="S418" s="120"/>
      <c r="T418" s="115"/>
      <c r="U418" s="121" t="e">
        <f>U419/O419/8</f>
        <v>#REF!</v>
      </c>
      <c r="V418" s="122"/>
      <c r="W418" s="123"/>
    </row>
    <row r="419" spans="1:24" ht="18.75" customHeight="1">
      <c r="A419" s="117" t="s">
        <v>50</v>
      </c>
      <c r="B419" s="115" t="s">
        <v>41</v>
      </c>
      <c r="C419" s="118" t="e">
        <f>'[9]LUONG T7'!I26</f>
        <v>#REF!</v>
      </c>
      <c r="D419" s="119" t="s">
        <v>51</v>
      </c>
      <c r="E419" s="282" t="s">
        <v>52</v>
      </c>
      <c r="F419" s="282"/>
      <c r="G419" s="282"/>
      <c r="H419" s="115" t="s">
        <v>41</v>
      </c>
      <c r="I419" s="283" t="e">
        <f>'[9]LUONG T7'!I27</f>
        <v>#REF!</v>
      </c>
      <c r="J419" s="283"/>
      <c r="K419" s="123" t="s">
        <v>47</v>
      </c>
      <c r="L419" s="124" t="e">
        <f>F416/L409*C419</f>
        <v>#REF!</v>
      </c>
      <c r="M419" s="117" t="s">
        <v>50</v>
      </c>
      <c r="N419" s="115" t="s">
        <v>41</v>
      </c>
      <c r="O419" s="118" t="e">
        <f>'[9]LUONG T7'!I28</f>
        <v>#REF!</v>
      </c>
      <c r="P419" s="119" t="s">
        <v>51</v>
      </c>
      <c r="Q419" s="282" t="s">
        <v>52</v>
      </c>
      <c r="R419" s="282"/>
      <c r="S419" s="282"/>
      <c r="T419" s="115" t="s">
        <v>41</v>
      </c>
      <c r="U419" s="283" t="e">
        <f>'[9]LUONG T7'!I29</f>
        <v>#REF!</v>
      </c>
      <c r="V419" s="283"/>
      <c r="W419" s="123" t="s">
        <v>47</v>
      </c>
      <c r="X419" s="124" t="e">
        <f>R416/X409*O419</f>
        <v>#REF!</v>
      </c>
    </row>
    <row r="420" spans="1:24" ht="18.75" customHeight="1">
      <c r="A420" s="117" t="s">
        <v>53</v>
      </c>
      <c r="B420" s="115" t="s">
        <v>41</v>
      </c>
      <c r="C420" s="118" t="e">
        <f>'[9]LUONG T7'!J26</f>
        <v>#REF!</v>
      </c>
      <c r="D420" s="119" t="s">
        <v>51</v>
      </c>
      <c r="E420" s="270" t="s">
        <v>54</v>
      </c>
      <c r="F420" s="270"/>
      <c r="G420" s="270"/>
      <c r="H420" s="115" t="s">
        <v>41</v>
      </c>
      <c r="I420" s="281" t="e">
        <f>$F$8/$L$1*C420</f>
        <v>#REF!</v>
      </c>
      <c r="J420" s="281"/>
      <c r="K420" s="123" t="s">
        <v>47</v>
      </c>
      <c r="L420" s="124"/>
      <c r="M420" s="117" t="s">
        <v>53</v>
      </c>
      <c r="N420" s="115" t="s">
        <v>41</v>
      </c>
      <c r="O420" s="118" t="e">
        <f>'[9]LUONG T7'!J28</f>
        <v>#REF!</v>
      </c>
      <c r="P420" s="119" t="s">
        <v>51</v>
      </c>
      <c r="Q420" s="270" t="s">
        <v>54</v>
      </c>
      <c r="R420" s="270"/>
      <c r="S420" s="270"/>
      <c r="T420" s="115" t="s">
        <v>41</v>
      </c>
      <c r="U420" s="281" t="e">
        <f>$F$8/$L$1*O420</f>
        <v>#REF!</v>
      </c>
      <c r="V420" s="281"/>
      <c r="W420" s="123" t="s">
        <v>47</v>
      </c>
      <c r="X420" s="124"/>
    </row>
    <row r="421" spans="1:24" ht="18.75" customHeight="1">
      <c r="A421" s="117" t="s">
        <v>55</v>
      </c>
      <c r="B421" s="115" t="s">
        <v>41</v>
      </c>
      <c r="C421" s="118" t="e">
        <f>'[9]LUONG T7'!K26</f>
        <v>#REF!</v>
      </c>
      <c r="D421" s="119" t="s">
        <v>51</v>
      </c>
      <c r="E421" s="280" t="s">
        <v>56</v>
      </c>
      <c r="F421" s="280"/>
      <c r="G421" s="280"/>
      <c r="H421" s="115" t="s">
        <v>41</v>
      </c>
      <c r="I421" s="281" t="e">
        <f>$F$8/$L$1*C421</f>
        <v>#REF!</v>
      </c>
      <c r="J421" s="281"/>
      <c r="K421" s="123" t="s">
        <v>47</v>
      </c>
      <c r="L421" s="124"/>
      <c r="M421" s="117" t="s">
        <v>55</v>
      </c>
      <c r="N421" s="115" t="s">
        <v>41</v>
      </c>
      <c r="O421" s="118" t="e">
        <f>'[9]LUONG T7'!K28</f>
        <v>#REF!</v>
      </c>
      <c r="P421" s="119" t="s">
        <v>51</v>
      </c>
      <c r="Q421" s="280" t="s">
        <v>56</v>
      </c>
      <c r="R421" s="280"/>
      <c r="S421" s="280"/>
      <c r="T421" s="115" t="s">
        <v>41</v>
      </c>
      <c r="U421" s="281" t="e">
        <f>$F$8/$L$1*O421</f>
        <v>#REF!</v>
      </c>
      <c r="V421" s="281"/>
      <c r="W421" s="123" t="s">
        <v>47</v>
      </c>
      <c r="X421" s="124"/>
    </row>
    <row r="422" spans="1:24" ht="18.75" customHeight="1">
      <c r="A422" s="117" t="s">
        <v>57</v>
      </c>
      <c r="B422" s="115" t="s">
        <v>41</v>
      </c>
      <c r="C422" s="118" t="e">
        <f>'[9]LUONG T7'!L26</f>
        <v>#REF!</v>
      </c>
      <c r="D422" s="119" t="s">
        <v>51</v>
      </c>
      <c r="E422" s="280" t="s">
        <v>58</v>
      </c>
      <c r="F422" s="280"/>
      <c r="G422" s="280"/>
      <c r="H422" s="115" t="s">
        <v>41</v>
      </c>
      <c r="I422" s="281" t="e">
        <f>$F$8/$L$1*C422</f>
        <v>#REF!</v>
      </c>
      <c r="J422" s="281"/>
      <c r="K422" s="123" t="s">
        <v>47</v>
      </c>
      <c r="L422" s="124"/>
      <c r="M422" s="117" t="s">
        <v>57</v>
      </c>
      <c r="N422" s="115" t="s">
        <v>41</v>
      </c>
      <c r="O422" s="118" t="e">
        <f>'[9]LUONG T7'!L28</f>
        <v>#REF!</v>
      </c>
      <c r="P422" s="119" t="s">
        <v>51</v>
      </c>
      <c r="Q422" s="280" t="s">
        <v>58</v>
      </c>
      <c r="R422" s="280"/>
      <c r="S422" s="280"/>
      <c r="T422" s="115" t="s">
        <v>41</v>
      </c>
      <c r="U422" s="281" t="e">
        <f>$F$8/$L$1*O422</f>
        <v>#REF!</v>
      </c>
      <c r="V422" s="281"/>
      <c r="W422" s="123" t="s">
        <v>47</v>
      </c>
      <c r="X422" s="124"/>
    </row>
    <row r="423" spans="1:24" ht="18.75" customHeight="1">
      <c r="A423" s="117" t="s">
        <v>59</v>
      </c>
      <c r="B423" s="115" t="s">
        <v>41</v>
      </c>
      <c r="C423" s="118" t="e">
        <f>'[9]LUONG T7'!Q26</f>
        <v>#REF!</v>
      </c>
      <c r="D423" s="119" t="s">
        <v>60</v>
      </c>
      <c r="E423" s="270" t="s">
        <v>61</v>
      </c>
      <c r="F423" s="270"/>
      <c r="G423" s="270"/>
      <c r="H423" s="115" t="s">
        <v>41</v>
      </c>
      <c r="I423" s="281" t="e">
        <f>'[9]LUONG T7'!Q27</f>
        <v>#REF!</v>
      </c>
      <c r="J423" s="281"/>
      <c r="K423" s="123" t="s">
        <v>47</v>
      </c>
      <c r="L423" s="124" t="e">
        <f>F416*C423/L409/8*1.5</f>
        <v>#REF!</v>
      </c>
      <c r="M423" s="117" t="s">
        <v>59</v>
      </c>
      <c r="N423" s="115" t="s">
        <v>41</v>
      </c>
      <c r="O423" s="118" t="e">
        <f>'[9]LUONG T7'!Q28</f>
        <v>#REF!</v>
      </c>
      <c r="P423" s="119" t="s">
        <v>60</v>
      </c>
      <c r="Q423" s="270" t="s">
        <v>61</v>
      </c>
      <c r="R423" s="270"/>
      <c r="S423" s="270"/>
      <c r="T423" s="115" t="s">
        <v>41</v>
      </c>
      <c r="U423" s="281" t="e">
        <f>'[9]LUONG T7'!Q29</f>
        <v>#REF!</v>
      </c>
      <c r="V423" s="281"/>
      <c r="W423" s="123" t="s">
        <v>47</v>
      </c>
      <c r="X423" s="124" t="e">
        <f>R416*O423/X409/8*1.5</f>
        <v>#REF!</v>
      </c>
    </row>
    <row r="424" spans="1:24" ht="18.75" customHeight="1">
      <c r="A424" s="269" t="s">
        <v>62</v>
      </c>
      <c r="B424" s="270"/>
      <c r="C424" s="118"/>
      <c r="D424" s="119" t="s">
        <v>51</v>
      </c>
      <c r="E424" s="270" t="s">
        <v>63</v>
      </c>
      <c r="F424" s="270"/>
      <c r="G424" s="270"/>
      <c r="H424" s="125" t="s">
        <v>41</v>
      </c>
      <c r="I424" s="281"/>
      <c r="J424" s="281"/>
      <c r="K424" s="123" t="s">
        <v>47</v>
      </c>
      <c r="L424" s="124"/>
      <c r="M424" s="269" t="s">
        <v>62</v>
      </c>
      <c r="N424" s="270"/>
      <c r="O424" s="118"/>
      <c r="P424" s="119" t="s">
        <v>51</v>
      </c>
      <c r="Q424" s="270" t="s">
        <v>63</v>
      </c>
      <c r="R424" s="270"/>
      <c r="S424" s="270"/>
      <c r="T424" s="125" t="s">
        <v>41</v>
      </c>
      <c r="U424" s="281"/>
      <c r="V424" s="281"/>
      <c r="W424" s="123" t="s">
        <v>47</v>
      </c>
      <c r="X424" s="124"/>
    </row>
    <row r="425" spans="1:24" ht="18.75" customHeight="1">
      <c r="A425" s="117" t="s">
        <v>64</v>
      </c>
      <c r="B425" s="115" t="s">
        <v>41</v>
      </c>
      <c r="C425" s="118"/>
      <c r="D425" s="119" t="s">
        <v>51</v>
      </c>
      <c r="E425" s="270" t="s">
        <v>65</v>
      </c>
      <c r="F425" s="270"/>
      <c r="G425" s="270"/>
      <c r="H425" s="115" t="s">
        <v>41</v>
      </c>
      <c r="I425" s="281"/>
      <c r="J425" s="281"/>
      <c r="K425" s="123" t="s">
        <v>47</v>
      </c>
      <c r="L425" s="124"/>
      <c r="M425" s="117" t="s">
        <v>64</v>
      </c>
      <c r="N425" s="115" t="s">
        <v>41</v>
      </c>
      <c r="O425" s="118"/>
      <c r="P425" s="119" t="s">
        <v>51</v>
      </c>
      <c r="Q425" s="270" t="s">
        <v>65</v>
      </c>
      <c r="R425" s="270"/>
      <c r="S425" s="270"/>
      <c r="T425" s="115" t="s">
        <v>41</v>
      </c>
      <c r="U425" s="281"/>
      <c r="V425" s="281"/>
      <c r="W425" s="123" t="s">
        <v>47</v>
      </c>
      <c r="X425" s="124"/>
    </row>
    <row r="426" spans="1:24" ht="18.75" customHeight="1">
      <c r="A426" s="126" t="s">
        <v>66</v>
      </c>
      <c r="B426" s="115"/>
      <c r="C426" s="118" t="e">
        <f>'[9]LUONG T7'!M26</f>
        <v>#REF!</v>
      </c>
      <c r="D426" s="119" t="s">
        <v>60</v>
      </c>
      <c r="E426" s="270" t="s">
        <v>67</v>
      </c>
      <c r="F426" s="270"/>
      <c r="G426" s="270"/>
      <c r="H426" s="115" t="s">
        <v>41</v>
      </c>
      <c r="I426" s="281" t="e">
        <f>$F$8*C426/8/$L$1</f>
        <v>#REF!</v>
      </c>
      <c r="J426" s="281"/>
      <c r="K426" s="123" t="s">
        <v>47</v>
      </c>
      <c r="L426" s="124"/>
      <c r="M426" s="126" t="s">
        <v>66</v>
      </c>
      <c r="N426" s="115"/>
      <c r="O426" s="118" t="e">
        <f>'[9]LUONG T7'!M28</f>
        <v>#REF!</v>
      </c>
      <c r="P426" s="119" t="s">
        <v>60</v>
      </c>
      <c r="Q426" s="270" t="s">
        <v>67</v>
      </c>
      <c r="R426" s="270"/>
      <c r="S426" s="270"/>
      <c r="T426" s="115" t="s">
        <v>41</v>
      </c>
      <c r="U426" s="281" t="e">
        <f>$F$8*O426/8/$L$1</f>
        <v>#REF!</v>
      </c>
      <c r="V426" s="281"/>
      <c r="W426" s="123" t="s">
        <v>47</v>
      </c>
      <c r="X426" s="124"/>
    </row>
    <row r="427" spans="1:24" ht="18.75" customHeight="1">
      <c r="A427" s="117" t="s">
        <v>68</v>
      </c>
      <c r="B427" s="115" t="s">
        <v>41</v>
      </c>
      <c r="C427" s="118"/>
      <c r="D427" s="119" t="s">
        <v>60</v>
      </c>
      <c r="E427" s="270" t="s">
        <v>92</v>
      </c>
      <c r="F427" s="270"/>
      <c r="G427" s="270"/>
      <c r="H427" s="115" t="s">
        <v>41</v>
      </c>
      <c r="I427" s="283"/>
      <c r="J427" s="283"/>
      <c r="K427" s="123" t="s">
        <v>47</v>
      </c>
      <c r="L427" s="124"/>
      <c r="M427" s="117" t="s">
        <v>68</v>
      </c>
      <c r="N427" s="115" t="s">
        <v>41</v>
      </c>
      <c r="O427" s="118"/>
      <c r="P427" s="119" t="s">
        <v>60</v>
      </c>
      <c r="Q427" s="270" t="s">
        <v>92</v>
      </c>
      <c r="R427" s="270"/>
      <c r="S427" s="270"/>
      <c r="T427" s="115" t="s">
        <v>41</v>
      </c>
      <c r="U427" s="283"/>
      <c r="V427" s="283"/>
      <c r="W427" s="123" t="s">
        <v>47</v>
      </c>
      <c r="X427" s="124"/>
    </row>
    <row r="428" spans="1:24" ht="18.75" customHeight="1">
      <c r="A428" s="117" t="s">
        <v>70</v>
      </c>
      <c r="B428" s="115" t="s">
        <v>41</v>
      </c>
      <c r="C428" s="118"/>
      <c r="D428" s="119" t="s">
        <v>71</v>
      </c>
      <c r="E428" s="127" t="s">
        <v>72</v>
      </c>
      <c r="F428" s="127"/>
      <c r="G428" s="127"/>
      <c r="H428" s="115" t="s">
        <v>41</v>
      </c>
      <c r="I428" s="281"/>
      <c r="J428" s="281"/>
      <c r="K428" s="123" t="s">
        <v>47</v>
      </c>
      <c r="L428" s="124" t="e">
        <f>+IF(L419-I419&lt;0,0,L419-I419)+IF(L423-I423&lt;0,0,L423-I423)</f>
        <v>#REF!</v>
      </c>
      <c r="M428" s="117" t="s">
        <v>70</v>
      </c>
      <c r="N428" s="115" t="s">
        <v>41</v>
      </c>
      <c r="O428" s="118"/>
      <c r="P428" s="119" t="s">
        <v>71</v>
      </c>
      <c r="Q428" s="127" t="s">
        <v>72</v>
      </c>
      <c r="R428" s="127"/>
      <c r="S428" s="127"/>
      <c r="T428" s="115" t="s">
        <v>41</v>
      </c>
      <c r="U428" s="281"/>
      <c r="V428" s="281"/>
      <c r="W428" s="123" t="s">
        <v>47</v>
      </c>
      <c r="X428" s="124" t="e">
        <f>+IF(X419-U419&lt;0,0,X419-U419)+IF(X423-U423&lt;0,0,X423-U423)</f>
        <v>#REF!</v>
      </c>
    </row>
    <row r="429" spans="1:24" ht="18.75" customHeight="1">
      <c r="A429" s="128" t="s">
        <v>117</v>
      </c>
      <c r="B429" s="129"/>
      <c r="C429" s="118"/>
      <c r="D429" s="119" t="s">
        <v>51</v>
      </c>
      <c r="E429" s="270" t="s">
        <v>118</v>
      </c>
      <c r="F429" s="270"/>
      <c r="G429" s="270"/>
      <c r="H429" s="115" t="s">
        <v>41</v>
      </c>
      <c r="I429" s="281"/>
      <c r="J429" s="281"/>
      <c r="K429" s="123" t="s">
        <v>47</v>
      </c>
      <c r="L429" s="124"/>
      <c r="M429" s="128" t="s">
        <v>117</v>
      </c>
      <c r="N429" s="129"/>
      <c r="O429" s="118"/>
      <c r="P429" s="119" t="s">
        <v>51</v>
      </c>
      <c r="Q429" s="270" t="s">
        <v>118</v>
      </c>
      <c r="R429" s="270"/>
      <c r="S429" s="270"/>
      <c r="T429" s="115" t="s">
        <v>41</v>
      </c>
      <c r="U429" s="281"/>
      <c r="V429" s="281"/>
      <c r="W429" s="123" t="s">
        <v>47</v>
      </c>
      <c r="X429" s="124"/>
    </row>
    <row r="430" spans="1:24" ht="18.75" customHeight="1">
      <c r="A430" s="288" t="s">
        <v>75</v>
      </c>
      <c r="B430" s="282"/>
      <c r="C430" s="118"/>
      <c r="D430" s="119"/>
      <c r="E430" s="120"/>
      <c r="F430" s="120"/>
      <c r="G430" s="120"/>
      <c r="H430" s="115" t="s">
        <v>41</v>
      </c>
      <c r="I430" s="281" t="e">
        <f>'[9]LUONG T7'!P27</f>
        <v>#REF!</v>
      </c>
      <c r="J430" s="281"/>
      <c r="K430" s="123" t="s">
        <v>47</v>
      </c>
      <c r="L430" s="124"/>
      <c r="M430" s="288" t="s">
        <v>75</v>
      </c>
      <c r="N430" s="282"/>
      <c r="O430" s="118"/>
      <c r="P430" s="119"/>
      <c r="Q430" s="120"/>
      <c r="R430" s="120"/>
      <c r="S430" s="120"/>
      <c r="T430" s="115" t="s">
        <v>41</v>
      </c>
      <c r="U430" s="281" t="e">
        <f>'[9]LUONG T7'!P29</f>
        <v>#REF!</v>
      </c>
      <c r="V430" s="281"/>
      <c r="W430" s="123" t="s">
        <v>47</v>
      </c>
      <c r="X430" s="124"/>
    </row>
    <row r="431" spans="1:24" ht="18.75" customHeight="1">
      <c r="A431" s="117" t="s">
        <v>76</v>
      </c>
      <c r="B431" s="115" t="s">
        <v>41</v>
      </c>
      <c r="C431" s="118"/>
      <c r="D431" s="119"/>
      <c r="E431" s="120" t="s">
        <v>77</v>
      </c>
      <c r="F431" s="120"/>
      <c r="G431" s="120"/>
      <c r="H431" s="115" t="s">
        <v>41</v>
      </c>
      <c r="I431" s="281" t="e">
        <f>L428</f>
        <v>#REF!</v>
      </c>
      <c r="J431" s="281"/>
      <c r="K431" s="123" t="s">
        <v>47</v>
      </c>
      <c r="L431" s="124"/>
      <c r="M431" s="117" t="s">
        <v>76</v>
      </c>
      <c r="N431" s="115" t="s">
        <v>41</v>
      </c>
      <c r="O431" s="118"/>
      <c r="P431" s="119"/>
      <c r="Q431" s="120" t="s">
        <v>77</v>
      </c>
      <c r="R431" s="120"/>
      <c r="S431" s="120"/>
      <c r="T431" s="115" t="s">
        <v>41</v>
      </c>
      <c r="U431" s="281" t="e">
        <f>X428</f>
        <v>#REF!</v>
      </c>
      <c r="V431" s="281"/>
      <c r="W431" s="123" t="s">
        <v>47</v>
      </c>
      <c r="X431" s="124"/>
    </row>
    <row r="432" spans="1:24" ht="18.75" customHeight="1">
      <c r="A432" s="285" t="s">
        <v>78</v>
      </c>
      <c r="B432" s="286"/>
      <c r="C432" s="286"/>
      <c r="D432" s="286"/>
      <c r="E432" s="286"/>
      <c r="F432" s="286"/>
      <c r="G432" s="115" t="s">
        <v>41</v>
      </c>
      <c r="H432" s="287" t="e">
        <f>I419+I420+I421+I422+I423+I426+I430+I431</f>
        <v>#REF!</v>
      </c>
      <c r="I432" s="287"/>
      <c r="J432" s="287"/>
      <c r="K432" s="123" t="s">
        <v>47</v>
      </c>
      <c r="M432" s="285" t="s">
        <v>78</v>
      </c>
      <c r="N432" s="286"/>
      <c r="O432" s="286"/>
      <c r="P432" s="286"/>
      <c r="Q432" s="286"/>
      <c r="R432" s="286"/>
      <c r="S432" s="115" t="s">
        <v>41</v>
      </c>
      <c r="T432" s="287" t="e">
        <f>U419+U420+U421+U422+U423+U426+U430+U431</f>
        <v>#REF!</v>
      </c>
      <c r="U432" s="287"/>
      <c r="V432" s="287"/>
      <c r="W432" s="123" t="s">
        <v>47</v>
      </c>
    </row>
    <row r="433" spans="1:24" ht="18.75" customHeight="1">
      <c r="A433" s="130"/>
      <c r="B433" s="131"/>
      <c r="C433" s="131"/>
      <c r="D433" s="131"/>
      <c r="E433" s="131"/>
      <c r="F433" s="131"/>
      <c r="G433" s="131"/>
      <c r="H433" s="131"/>
      <c r="I433" s="131"/>
      <c r="J433" s="131"/>
      <c r="K433" s="132"/>
      <c r="M433" s="130"/>
      <c r="N433" s="131"/>
      <c r="O433" s="131"/>
      <c r="P433" s="131"/>
      <c r="Q433" s="131"/>
      <c r="R433" s="131"/>
      <c r="S433" s="131"/>
      <c r="T433" s="131"/>
      <c r="U433" s="131"/>
      <c r="V433" s="131"/>
      <c r="W433" s="132"/>
    </row>
    <row r="434" spans="1:24" ht="18.75" customHeight="1">
      <c r="A434" s="295" t="s">
        <v>79</v>
      </c>
      <c r="B434" s="296"/>
      <c r="C434" s="296"/>
      <c r="D434" s="296"/>
      <c r="E434" s="296"/>
      <c r="F434" s="296"/>
      <c r="G434" s="115"/>
      <c r="H434" s="115"/>
      <c r="I434" s="115"/>
      <c r="J434" s="115"/>
      <c r="K434" s="123"/>
      <c r="M434" s="295" t="s">
        <v>79</v>
      </c>
      <c r="N434" s="296"/>
      <c r="O434" s="296"/>
      <c r="P434" s="296"/>
      <c r="Q434" s="296"/>
      <c r="R434" s="296"/>
      <c r="S434" s="115"/>
      <c r="T434" s="115"/>
      <c r="U434" s="115"/>
      <c r="V434" s="115"/>
      <c r="W434" s="123"/>
    </row>
    <row r="435" spans="1:24" ht="18.75" customHeight="1">
      <c r="A435" s="289" t="s">
        <v>80</v>
      </c>
      <c r="B435" s="290"/>
      <c r="C435" s="290"/>
      <c r="D435" s="290"/>
      <c r="E435" s="290"/>
      <c r="F435" s="290"/>
      <c r="G435" s="115" t="s">
        <v>41</v>
      </c>
      <c r="H435" s="297" t="e">
        <f>IF(($L$1-(C419+C420+C421+C422))&gt;12,0,F416*8%)</f>
        <v>#REF!</v>
      </c>
      <c r="I435" s="297"/>
      <c r="J435" s="297"/>
      <c r="K435" s="123" t="s">
        <v>47</v>
      </c>
      <c r="M435" s="289" t="s">
        <v>80</v>
      </c>
      <c r="N435" s="290"/>
      <c r="O435" s="290"/>
      <c r="P435" s="290"/>
      <c r="Q435" s="290"/>
      <c r="R435" s="290"/>
      <c r="S435" s="115" t="s">
        <v>41</v>
      </c>
      <c r="T435" s="297" t="e">
        <f>IF(($L$1-(O419+O420+O421+O422))&gt;12,0,R416*8%)</f>
        <v>#REF!</v>
      </c>
      <c r="U435" s="297"/>
      <c r="V435" s="297"/>
      <c r="W435" s="123" t="s">
        <v>47</v>
      </c>
    </row>
    <row r="436" spans="1:24" ht="18.75" customHeight="1">
      <c r="A436" s="289" t="s">
        <v>81</v>
      </c>
      <c r="B436" s="290"/>
      <c r="C436" s="290"/>
      <c r="D436" s="290"/>
      <c r="E436" s="290"/>
      <c r="F436" s="290"/>
      <c r="G436" s="115" t="s">
        <v>41</v>
      </c>
      <c r="H436" s="291" t="e">
        <f>IF(($L$1-(C419+C420+C421+C422))&gt;12,0,F416*1.5%)</f>
        <v>#REF!</v>
      </c>
      <c r="I436" s="291"/>
      <c r="J436" s="291"/>
      <c r="K436" s="123" t="s">
        <v>47</v>
      </c>
      <c r="M436" s="289" t="s">
        <v>81</v>
      </c>
      <c r="N436" s="290"/>
      <c r="O436" s="290"/>
      <c r="P436" s="290"/>
      <c r="Q436" s="290"/>
      <c r="R436" s="290"/>
      <c r="S436" s="115" t="s">
        <v>41</v>
      </c>
      <c r="T436" s="291" t="e">
        <f>IF(($L$1-(O419+O420+O421+O422))&gt;12,0,R416*1.5%)</f>
        <v>#REF!</v>
      </c>
      <c r="U436" s="291"/>
      <c r="V436" s="291"/>
      <c r="W436" s="123" t="s">
        <v>47</v>
      </c>
    </row>
    <row r="437" spans="1:24" ht="18.75" customHeight="1">
      <c r="A437" s="289" t="s">
        <v>82</v>
      </c>
      <c r="B437" s="290"/>
      <c r="C437" s="290"/>
      <c r="D437" s="290"/>
      <c r="E437" s="290"/>
      <c r="F437" s="290"/>
      <c r="G437" s="115" t="s">
        <v>41</v>
      </c>
      <c r="H437" s="291" t="e">
        <f>IF(($L$1-(C419+C420+C421+C422))&gt;12,0,F416*1%)</f>
        <v>#REF!</v>
      </c>
      <c r="I437" s="291"/>
      <c r="J437" s="291"/>
      <c r="K437" s="123" t="s">
        <v>47</v>
      </c>
      <c r="M437" s="289" t="s">
        <v>82</v>
      </c>
      <c r="N437" s="290"/>
      <c r="O437" s="290"/>
      <c r="P437" s="290"/>
      <c r="Q437" s="290"/>
      <c r="R437" s="290"/>
      <c r="S437" s="115" t="s">
        <v>41</v>
      </c>
      <c r="T437" s="291" t="e">
        <f>IF(($L$1-(O419+O420+O421+O422))&gt;12,0,R416*1%)</f>
        <v>#REF!</v>
      </c>
      <c r="U437" s="291"/>
      <c r="V437" s="291"/>
      <c r="W437" s="123" t="s">
        <v>47</v>
      </c>
    </row>
    <row r="438" spans="1:24" ht="18.75" customHeight="1">
      <c r="A438" s="289" t="s">
        <v>83</v>
      </c>
      <c r="B438" s="290"/>
      <c r="C438" s="290"/>
      <c r="D438" s="290"/>
      <c r="E438" s="290"/>
      <c r="F438" s="290"/>
      <c r="G438" s="115" t="s">
        <v>41</v>
      </c>
      <c r="H438" s="291">
        <v>0</v>
      </c>
      <c r="I438" s="291"/>
      <c r="J438" s="291"/>
      <c r="K438" s="123" t="s">
        <v>47</v>
      </c>
      <c r="M438" s="289" t="s">
        <v>83</v>
      </c>
      <c r="N438" s="290"/>
      <c r="O438" s="290"/>
      <c r="P438" s="290"/>
      <c r="Q438" s="290"/>
      <c r="R438" s="290"/>
      <c r="S438" s="115" t="s">
        <v>41</v>
      </c>
      <c r="T438" s="291">
        <v>0</v>
      </c>
      <c r="U438" s="291"/>
      <c r="V438" s="291"/>
      <c r="W438" s="123" t="s">
        <v>47</v>
      </c>
    </row>
    <row r="439" spans="1:24" ht="18.75" customHeight="1">
      <c r="A439" s="292" t="s">
        <v>84</v>
      </c>
      <c r="B439" s="293"/>
      <c r="C439" s="293"/>
      <c r="D439" s="293"/>
      <c r="E439" s="293"/>
      <c r="F439" s="293"/>
      <c r="G439" s="115" t="s">
        <v>41</v>
      </c>
      <c r="H439" s="294" t="e">
        <f>SUM(H435:J438)</f>
        <v>#REF!</v>
      </c>
      <c r="I439" s="294"/>
      <c r="J439" s="294"/>
      <c r="K439" s="123" t="s">
        <v>47</v>
      </c>
      <c r="M439" s="292" t="s">
        <v>84</v>
      </c>
      <c r="N439" s="293"/>
      <c r="O439" s="293"/>
      <c r="P439" s="293"/>
      <c r="Q439" s="293"/>
      <c r="R439" s="293"/>
      <c r="S439" s="115" t="s">
        <v>41</v>
      </c>
      <c r="T439" s="294" t="e">
        <f>SUM(T435:V438)</f>
        <v>#REF!</v>
      </c>
      <c r="U439" s="294"/>
      <c r="V439" s="294"/>
      <c r="W439" s="123" t="s">
        <v>47</v>
      </c>
    </row>
    <row r="440" spans="1:24" ht="18.75" customHeight="1">
      <c r="A440" s="289" t="s">
        <v>85</v>
      </c>
      <c r="B440" s="290"/>
      <c r="C440" s="290"/>
      <c r="D440" s="290"/>
      <c r="E440" s="290"/>
      <c r="F440" s="290"/>
      <c r="G440" s="115" t="s">
        <v>41</v>
      </c>
      <c r="H440" s="301" t="e">
        <f>ROUND(H432-H439,-2)</f>
        <v>#REF!</v>
      </c>
      <c r="I440" s="301"/>
      <c r="J440" s="301"/>
      <c r="K440" s="123" t="s">
        <v>47</v>
      </c>
      <c r="M440" s="289" t="s">
        <v>85</v>
      </c>
      <c r="N440" s="290"/>
      <c r="O440" s="290"/>
      <c r="P440" s="290"/>
      <c r="Q440" s="290"/>
      <c r="R440" s="290"/>
      <c r="S440" s="115" t="s">
        <v>41</v>
      </c>
      <c r="T440" s="301" t="e">
        <f>ROUND(T432-T439,-2)</f>
        <v>#REF!</v>
      </c>
      <c r="U440" s="301"/>
      <c r="V440" s="301"/>
      <c r="W440" s="123" t="s">
        <v>47</v>
      </c>
    </row>
    <row r="441" spans="1:24" ht="18.75" customHeight="1">
      <c r="A441" s="133"/>
      <c r="B441" s="134"/>
      <c r="C441" s="134"/>
      <c r="D441" s="134"/>
      <c r="E441" s="134"/>
      <c r="F441" s="134"/>
      <c r="G441" s="134"/>
      <c r="H441" s="134"/>
      <c r="I441" s="134"/>
      <c r="J441" s="134"/>
      <c r="K441" s="135"/>
      <c r="M441" s="133"/>
      <c r="N441" s="134"/>
      <c r="O441" s="134"/>
      <c r="P441" s="134"/>
      <c r="Q441" s="134"/>
      <c r="R441" s="134"/>
      <c r="S441" s="134"/>
      <c r="T441" s="134"/>
      <c r="U441" s="134"/>
      <c r="V441" s="134"/>
      <c r="W441" s="135"/>
    </row>
    <row r="442" spans="1:24" ht="18.75" customHeight="1">
      <c r="A442" s="136"/>
      <c r="B442" s="115"/>
      <c r="C442" s="115"/>
      <c r="D442" s="115"/>
      <c r="E442" s="115"/>
      <c r="F442" s="115"/>
      <c r="G442" s="115"/>
      <c r="H442" s="115"/>
      <c r="I442" s="298" t="s">
        <v>86</v>
      </c>
      <c r="J442" s="298"/>
      <c r="K442" s="302"/>
      <c r="M442" s="136"/>
      <c r="N442" s="115"/>
      <c r="O442" s="115"/>
      <c r="P442" s="115"/>
      <c r="Q442" s="115"/>
      <c r="R442" s="115"/>
      <c r="S442" s="115"/>
      <c r="T442" s="115"/>
      <c r="U442" s="298" t="s">
        <v>86</v>
      </c>
      <c r="V442" s="298"/>
      <c r="W442" s="302"/>
    </row>
    <row r="443" spans="1:24" ht="18.75" customHeight="1">
      <c r="A443" s="136"/>
      <c r="B443" s="298"/>
      <c r="C443" s="298"/>
      <c r="D443" s="298"/>
      <c r="E443" s="298"/>
      <c r="F443" s="115"/>
      <c r="G443" s="115"/>
      <c r="H443" s="115"/>
      <c r="I443" s="115"/>
      <c r="J443" s="115"/>
      <c r="K443" s="116"/>
      <c r="M443" s="136"/>
      <c r="N443" s="298"/>
      <c r="O443" s="298"/>
      <c r="P443" s="298"/>
      <c r="Q443" s="298"/>
      <c r="R443" s="115"/>
      <c r="S443" s="115"/>
      <c r="T443" s="115"/>
      <c r="U443" s="115"/>
      <c r="V443" s="115"/>
      <c r="W443" s="116"/>
    </row>
    <row r="444" spans="1:24" ht="18.75" customHeight="1" thickBot="1">
      <c r="A444" s="137"/>
      <c r="B444" s="138"/>
      <c r="C444" s="138"/>
      <c r="D444" s="138"/>
      <c r="E444" s="138"/>
      <c r="F444" s="138"/>
      <c r="G444" s="138"/>
      <c r="H444" s="138"/>
      <c r="I444" s="299" t="s">
        <v>87</v>
      </c>
      <c r="J444" s="299"/>
      <c r="K444" s="300"/>
      <c r="M444" s="137"/>
      <c r="N444" s="138"/>
      <c r="O444" s="138"/>
      <c r="P444" s="138"/>
      <c r="Q444" s="138"/>
      <c r="R444" s="138"/>
      <c r="S444" s="138"/>
      <c r="T444" s="138"/>
      <c r="U444" s="299" t="s">
        <v>87</v>
      </c>
      <c r="V444" s="299"/>
      <c r="W444" s="300"/>
    </row>
    <row r="446" spans="1:24" ht="18.75" customHeight="1" thickTop="1">
      <c r="A446" s="274" t="s">
        <v>35</v>
      </c>
      <c r="B446" s="275"/>
      <c r="C446" s="275"/>
      <c r="D446" s="275"/>
      <c r="E446" s="275"/>
      <c r="F446" s="275"/>
      <c r="G446" s="275"/>
      <c r="H446" s="275"/>
      <c r="I446" s="275"/>
      <c r="J446" s="275"/>
      <c r="K446" s="276"/>
      <c r="L446" s="111">
        <v>25</v>
      </c>
      <c r="M446" s="274" t="s">
        <v>35</v>
      </c>
      <c r="N446" s="275"/>
      <c r="O446" s="275"/>
      <c r="P446" s="275"/>
      <c r="Q446" s="275"/>
      <c r="R446" s="275"/>
      <c r="S446" s="275"/>
      <c r="T446" s="275"/>
      <c r="U446" s="275"/>
      <c r="V446" s="275"/>
      <c r="W446" s="276"/>
      <c r="X446" s="111">
        <v>25</v>
      </c>
    </row>
    <row r="447" spans="1:24" ht="18.75" customHeight="1">
      <c r="A447" s="112" t="s">
        <v>127</v>
      </c>
      <c r="B447" s="113"/>
      <c r="C447" s="113"/>
      <c r="D447" s="113"/>
      <c r="E447" s="113"/>
      <c r="F447" s="113"/>
      <c r="G447" s="113"/>
      <c r="H447" s="113"/>
      <c r="I447" s="113"/>
      <c r="J447" s="113"/>
      <c r="K447" s="114"/>
      <c r="M447" s="112" t="s">
        <v>128</v>
      </c>
      <c r="N447" s="113"/>
      <c r="O447" s="113"/>
      <c r="P447" s="113"/>
      <c r="Q447" s="113"/>
      <c r="R447" s="113"/>
      <c r="S447" s="113"/>
      <c r="T447" s="113"/>
      <c r="U447" s="113"/>
      <c r="V447" s="113"/>
      <c r="W447" s="114"/>
    </row>
    <row r="448" spans="1:24" ht="18.75" customHeight="1">
      <c r="A448" s="277" t="s">
        <v>39</v>
      </c>
      <c r="B448" s="278"/>
      <c r="C448" s="278"/>
      <c r="D448" s="278"/>
      <c r="E448" s="278"/>
      <c r="F448" s="278"/>
      <c r="G448" s="278"/>
      <c r="H448" s="278"/>
      <c r="I448" s="278"/>
      <c r="J448" s="278"/>
      <c r="K448" s="279"/>
      <c r="M448" s="277" t="s">
        <v>39</v>
      </c>
      <c r="N448" s="278"/>
      <c r="O448" s="278"/>
      <c r="P448" s="278"/>
      <c r="Q448" s="278"/>
      <c r="R448" s="278"/>
      <c r="S448" s="278"/>
      <c r="T448" s="278"/>
      <c r="U448" s="278"/>
      <c r="V448" s="278"/>
      <c r="W448" s="279"/>
    </row>
    <row r="449" spans="1:24" ht="18.75" customHeight="1">
      <c r="A449" s="269" t="s">
        <v>40</v>
      </c>
      <c r="B449" s="270"/>
      <c r="C449" s="270"/>
      <c r="D449" s="270"/>
      <c r="E449" s="115" t="s">
        <v>41</v>
      </c>
      <c r="F449" s="271">
        <f>'[9]Bang TH nop'!B46</f>
        <v>0</v>
      </c>
      <c r="G449" s="270"/>
      <c r="H449" s="270"/>
      <c r="I449" s="270"/>
      <c r="J449" s="270"/>
      <c r="K449" s="273"/>
      <c r="M449" s="269" t="s">
        <v>40</v>
      </c>
      <c r="N449" s="270"/>
      <c r="O449" s="270"/>
      <c r="P449" s="270"/>
      <c r="Q449" s="115" t="s">
        <v>41</v>
      </c>
      <c r="R449" s="271" t="e">
        <f>'[9]Bang TH nop'!B48</f>
        <v>#REF!</v>
      </c>
      <c r="S449" s="270"/>
      <c r="T449" s="270"/>
      <c r="U449" s="270"/>
      <c r="V449" s="270"/>
      <c r="W449" s="273"/>
    </row>
    <row r="450" spans="1:24" ht="18.75" customHeight="1">
      <c r="A450" s="269" t="s">
        <v>43</v>
      </c>
      <c r="B450" s="270"/>
      <c r="C450" s="270"/>
      <c r="D450" s="270"/>
      <c r="E450" s="115" t="s">
        <v>41</v>
      </c>
      <c r="F450" s="271" t="e">
        <f>'[9]Bang TH nop'!C46</f>
        <v>#REF!</v>
      </c>
      <c r="G450" s="271"/>
      <c r="H450" s="271"/>
      <c r="I450" s="271"/>
      <c r="J450" s="271"/>
      <c r="K450" s="272"/>
      <c r="M450" s="269" t="s">
        <v>43</v>
      </c>
      <c r="N450" s="270"/>
      <c r="O450" s="270"/>
      <c r="P450" s="270"/>
      <c r="Q450" s="115" t="s">
        <v>41</v>
      </c>
      <c r="R450" s="271" t="e">
        <f>'[9]Bang TH nop'!C48</f>
        <v>#REF!</v>
      </c>
      <c r="S450" s="271"/>
      <c r="T450" s="271"/>
      <c r="U450" s="271"/>
      <c r="V450" s="271"/>
      <c r="W450" s="272"/>
    </row>
    <row r="451" spans="1:24" ht="18.75" customHeight="1">
      <c r="A451" s="269" t="s">
        <v>44</v>
      </c>
      <c r="B451" s="270"/>
      <c r="C451" s="270"/>
      <c r="D451" s="270"/>
      <c r="E451" s="115" t="s">
        <v>41</v>
      </c>
      <c r="F451" s="270" t="s">
        <v>116</v>
      </c>
      <c r="G451" s="270"/>
      <c r="H451" s="270"/>
      <c r="I451" s="270"/>
      <c r="J451" s="270"/>
      <c r="K451" s="273"/>
      <c r="M451" s="269" t="s">
        <v>44</v>
      </c>
      <c r="N451" s="270"/>
      <c r="O451" s="270"/>
      <c r="P451" s="270"/>
      <c r="Q451" s="115" t="s">
        <v>41</v>
      </c>
      <c r="R451" s="270" t="s">
        <v>116</v>
      </c>
      <c r="S451" s="270"/>
      <c r="T451" s="270"/>
      <c r="U451" s="270"/>
      <c r="V451" s="270"/>
      <c r="W451" s="273"/>
    </row>
    <row r="452" spans="1:24" ht="18.75" customHeight="1">
      <c r="A452" s="277" t="s">
        <v>45</v>
      </c>
      <c r="B452" s="278"/>
      <c r="C452" s="278"/>
      <c r="D452" s="278"/>
      <c r="E452" s="278"/>
      <c r="F452" s="278"/>
      <c r="G452" s="278"/>
      <c r="H452" s="278"/>
      <c r="I452" s="278"/>
      <c r="J452" s="278"/>
      <c r="K452" s="279"/>
      <c r="M452" s="277" t="s">
        <v>45</v>
      </c>
      <c r="N452" s="278"/>
      <c r="O452" s="278"/>
      <c r="P452" s="278"/>
      <c r="Q452" s="278"/>
      <c r="R452" s="278"/>
      <c r="S452" s="278"/>
      <c r="T452" s="278"/>
      <c r="U452" s="278"/>
      <c r="V452" s="278"/>
      <c r="W452" s="279"/>
    </row>
    <row r="453" spans="1:24" ht="18.75" customHeight="1">
      <c r="A453" s="269" t="s">
        <v>46</v>
      </c>
      <c r="B453" s="270"/>
      <c r="C453" s="270"/>
      <c r="D453" s="270"/>
      <c r="E453" s="115" t="s">
        <v>41</v>
      </c>
      <c r="F453" s="284">
        <v>2915400</v>
      </c>
      <c r="G453" s="284"/>
      <c r="H453" s="284"/>
      <c r="I453" s="284"/>
      <c r="J453" s="115" t="s">
        <v>47</v>
      </c>
      <c r="K453" s="116"/>
      <c r="M453" s="269" t="s">
        <v>46</v>
      </c>
      <c r="N453" s="270"/>
      <c r="O453" s="270"/>
      <c r="P453" s="270"/>
      <c r="Q453" s="115" t="s">
        <v>41</v>
      </c>
      <c r="R453" s="284">
        <v>2915400</v>
      </c>
      <c r="S453" s="284"/>
      <c r="T453" s="284"/>
      <c r="U453" s="284"/>
      <c r="V453" s="115" t="s">
        <v>47</v>
      </c>
      <c r="W453" s="116"/>
    </row>
    <row r="454" spans="1:24" ht="18.75" customHeight="1">
      <c r="A454" s="117" t="s">
        <v>48</v>
      </c>
      <c r="B454" s="115"/>
      <c r="C454" s="118"/>
      <c r="D454" s="119"/>
      <c r="E454" s="120"/>
      <c r="F454" s="120"/>
      <c r="G454" s="120"/>
      <c r="H454" s="115"/>
      <c r="I454" s="121" t="e">
        <f>'[9]LUONG T7'!F31</f>
        <v>#REF!</v>
      </c>
      <c r="J454" s="122"/>
      <c r="K454" s="123"/>
      <c r="M454" s="117" t="s">
        <v>48</v>
      </c>
      <c r="N454" s="115"/>
      <c r="O454" s="118"/>
      <c r="P454" s="119"/>
      <c r="Q454" s="120"/>
      <c r="R454" s="120"/>
      <c r="S454" s="120"/>
      <c r="T454" s="115"/>
      <c r="U454" s="121" t="e">
        <f>'[9]LUONG T7'!F33</f>
        <v>#REF!</v>
      </c>
      <c r="V454" s="122"/>
      <c r="W454" s="123"/>
    </row>
    <row r="455" spans="1:24" ht="18.75" customHeight="1">
      <c r="A455" s="117" t="s">
        <v>49</v>
      </c>
      <c r="B455" s="115"/>
      <c r="C455" s="118"/>
      <c r="D455" s="119"/>
      <c r="E455" s="120"/>
      <c r="F455" s="120"/>
      <c r="G455" s="120"/>
      <c r="H455" s="115"/>
      <c r="I455" s="121" t="e">
        <f>I456/C456/8</f>
        <v>#REF!</v>
      </c>
      <c r="J455" s="122"/>
      <c r="K455" s="123"/>
      <c r="M455" s="117" t="s">
        <v>49</v>
      </c>
      <c r="N455" s="115"/>
      <c r="O455" s="118"/>
      <c r="P455" s="119"/>
      <c r="Q455" s="120"/>
      <c r="R455" s="120"/>
      <c r="S455" s="120"/>
      <c r="T455" s="115"/>
      <c r="U455" s="121" t="e">
        <f>U456/O456/8</f>
        <v>#REF!</v>
      </c>
      <c r="V455" s="122"/>
      <c r="W455" s="123"/>
    </row>
    <row r="456" spans="1:24" ht="18.75" customHeight="1">
      <c r="A456" s="117" t="s">
        <v>50</v>
      </c>
      <c r="B456" s="115" t="s">
        <v>41</v>
      </c>
      <c r="C456" s="118" t="e">
        <f>'[9]LUONG T7'!I30</f>
        <v>#REF!</v>
      </c>
      <c r="D456" s="119" t="s">
        <v>51</v>
      </c>
      <c r="E456" s="282" t="s">
        <v>52</v>
      </c>
      <c r="F456" s="282"/>
      <c r="G456" s="282"/>
      <c r="H456" s="115" t="s">
        <v>41</v>
      </c>
      <c r="I456" s="283" t="e">
        <f>'[9]LUONG T7'!I31</f>
        <v>#REF!</v>
      </c>
      <c r="J456" s="283"/>
      <c r="K456" s="123" t="s">
        <v>47</v>
      </c>
      <c r="L456" s="124" t="e">
        <f>F453/L446*C456</f>
        <v>#REF!</v>
      </c>
      <c r="M456" s="117" t="s">
        <v>50</v>
      </c>
      <c r="N456" s="115" t="s">
        <v>41</v>
      </c>
      <c r="O456" s="118" t="e">
        <f>'[9]LUONG T7'!I32</f>
        <v>#REF!</v>
      </c>
      <c r="P456" s="119" t="s">
        <v>51</v>
      </c>
      <c r="Q456" s="282" t="s">
        <v>52</v>
      </c>
      <c r="R456" s="282"/>
      <c r="S456" s="282"/>
      <c r="T456" s="115" t="s">
        <v>41</v>
      </c>
      <c r="U456" s="283" t="e">
        <f>'[9]LUONG T7'!I33</f>
        <v>#REF!</v>
      </c>
      <c r="V456" s="283"/>
      <c r="W456" s="123" t="s">
        <v>47</v>
      </c>
      <c r="X456" s="124" t="e">
        <f>R453/X446*O456</f>
        <v>#REF!</v>
      </c>
    </row>
    <row r="457" spans="1:24" ht="18.75" customHeight="1">
      <c r="A457" s="117" t="s">
        <v>53</v>
      </c>
      <c r="B457" s="115" t="s">
        <v>41</v>
      </c>
      <c r="C457" s="118" t="e">
        <f>'[9]LUONG T7'!J30</f>
        <v>#REF!</v>
      </c>
      <c r="D457" s="119" t="s">
        <v>51</v>
      </c>
      <c r="E457" s="270" t="s">
        <v>54</v>
      </c>
      <c r="F457" s="270"/>
      <c r="G457" s="270"/>
      <c r="H457" s="115" t="s">
        <v>41</v>
      </c>
      <c r="I457" s="281" t="e">
        <f>$F$8/$L$1*C457</f>
        <v>#REF!</v>
      </c>
      <c r="J457" s="281"/>
      <c r="K457" s="123" t="s">
        <v>47</v>
      </c>
      <c r="L457" s="124"/>
      <c r="M457" s="117" t="s">
        <v>53</v>
      </c>
      <c r="N457" s="115" t="s">
        <v>41</v>
      </c>
      <c r="O457" s="118" t="e">
        <f>'[9]LUONG T7'!J32</f>
        <v>#REF!</v>
      </c>
      <c r="P457" s="119" t="s">
        <v>51</v>
      </c>
      <c r="Q457" s="270" t="s">
        <v>54</v>
      </c>
      <c r="R457" s="270"/>
      <c r="S457" s="270"/>
      <c r="T457" s="115" t="s">
        <v>41</v>
      </c>
      <c r="U457" s="281" t="e">
        <f>$F$8/$L$1*O457</f>
        <v>#REF!</v>
      </c>
      <c r="V457" s="281"/>
      <c r="W457" s="123" t="s">
        <v>47</v>
      </c>
      <c r="X457" s="124"/>
    </row>
    <row r="458" spans="1:24" ht="18.75" customHeight="1">
      <c r="A458" s="117" t="s">
        <v>55</v>
      </c>
      <c r="B458" s="115" t="s">
        <v>41</v>
      </c>
      <c r="C458" s="118" t="e">
        <f>'[9]LUONG T7'!K30</f>
        <v>#REF!</v>
      </c>
      <c r="D458" s="119" t="s">
        <v>51</v>
      </c>
      <c r="E458" s="280" t="s">
        <v>56</v>
      </c>
      <c r="F458" s="280"/>
      <c r="G458" s="280"/>
      <c r="H458" s="115" t="s">
        <v>41</v>
      </c>
      <c r="I458" s="281" t="e">
        <f>$F$8/$L$1*C458</f>
        <v>#REF!</v>
      </c>
      <c r="J458" s="281"/>
      <c r="K458" s="123" t="s">
        <v>47</v>
      </c>
      <c r="L458" s="124"/>
      <c r="M458" s="117" t="s">
        <v>55</v>
      </c>
      <c r="N458" s="115" t="s">
        <v>41</v>
      </c>
      <c r="O458" s="118" t="e">
        <f>'[9]LUONG T7'!K32</f>
        <v>#REF!</v>
      </c>
      <c r="P458" s="119" t="s">
        <v>51</v>
      </c>
      <c r="Q458" s="280" t="s">
        <v>56</v>
      </c>
      <c r="R458" s="280"/>
      <c r="S458" s="280"/>
      <c r="T458" s="115" t="s">
        <v>41</v>
      </c>
      <c r="U458" s="281" t="e">
        <f>$F$8/$L$1*O458</f>
        <v>#REF!</v>
      </c>
      <c r="V458" s="281"/>
      <c r="W458" s="123" t="s">
        <v>47</v>
      </c>
      <c r="X458" s="124"/>
    </row>
    <row r="459" spans="1:24" ht="18.75" customHeight="1">
      <c r="A459" s="117" t="s">
        <v>57</v>
      </c>
      <c r="B459" s="115" t="s">
        <v>41</v>
      </c>
      <c r="C459" s="118" t="e">
        <f>'[9]LUONG T7'!L30</f>
        <v>#REF!</v>
      </c>
      <c r="D459" s="119" t="s">
        <v>51</v>
      </c>
      <c r="E459" s="280" t="s">
        <v>58</v>
      </c>
      <c r="F459" s="280"/>
      <c r="G459" s="280"/>
      <c r="H459" s="115" t="s">
        <v>41</v>
      </c>
      <c r="I459" s="281" t="e">
        <f>$F$8/$L$1*C459</f>
        <v>#REF!</v>
      </c>
      <c r="J459" s="281"/>
      <c r="K459" s="123" t="s">
        <v>47</v>
      </c>
      <c r="L459" s="124"/>
      <c r="M459" s="117" t="s">
        <v>57</v>
      </c>
      <c r="N459" s="115" t="s">
        <v>41</v>
      </c>
      <c r="O459" s="118" t="e">
        <f>'[9]LUONG T7'!L32</f>
        <v>#REF!</v>
      </c>
      <c r="P459" s="119" t="s">
        <v>51</v>
      </c>
      <c r="Q459" s="280" t="s">
        <v>58</v>
      </c>
      <c r="R459" s="280"/>
      <c r="S459" s="280"/>
      <c r="T459" s="115" t="s">
        <v>41</v>
      </c>
      <c r="U459" s="281" t="e">
        <f>$F$8/$L$1*O459</f>
        <v>#REF!</v>
      </c>
      <c r="V459" s="281"/>
      <c r="W459" s="123" t="s">
        <v>47</v>
      </c>
      <c r="X459" s="124"/>
    </row>
    <row r="460" spans="1:24" ht="18.75" customHeight="1">
      <c r="A460" s="117" t="s">
        <v>59</v>
      </c>
      <c r="B460" s="115" t="s">
        <v>41</v>
      </c>
      <c r="C460" s="118" t="e">
        <f>'[9]LUONG T7'!Q30</f>
        <v>#REF!</v>
      </c>
      <c r="D460" s="119" t="s">
        <v>60</v>
      </c>
      <c r="E460" s="270" t="s">
        <v>61</v>
      </c>
      <c r="F460" s="270"/>
      <c r="G460" s="270"/>
      <c r="H460" s="115" t="s">
        <v>41</v>
      </c>
      <c r="I460" s="281" t="e">
        <f>'[9]LUONG T7'!Q31</f>
        <v>#REF!</v>
      </c>
      <c r="J460" s="281"/>
      <c r="K460" s="123" t="s">
        <v>47</v>
      </c>
      <c r="L460" s="124" t="e">
        <f>F453*C460/L446/8*1.5</f>
        <v>#REF!</v>
      </c>
      <c r="M460" s="117" t="s">
        <v>59</v>
      </c>
      <c r="N460" s="115" t="s">
        <v>41</v>
      </c>
      <c r="O460" s="118" t="e">
        <f>'[9]LUONG T7'!Q32</f>
        <v>#REF!</v>
      </c>
      <c r="P460" s="119" t="s">
        <v>60</v>
      </c>
      <c r="Q460" s="270" t="s">
        <v>61</v>
      </c>
      <c r="R460" s="270"/>
      <c r="S460" s="270"/>
      <c r="T460" s="115" t="s">
        <v>41</v>
      </c>
      <c r="U460" s="281" t="e">
        <f>'[9]LUONG T7'!Q33</f>
        <v>#REF!</v>
      </c>
      <c r="V460" s="281"/>
      <c r="W460" s="123" t="s">
        <v>47</v>
      </c>
      <c r="X460" s="124" t="e">
        <f>R453*O460/X446/8*1.5</f>
        <v>#REF!</v>
      </c>
    </row>
    <row r="461" spans="1:24" ht="18.75" customHeight="1">
      <c r="A461" s="269" t="s">
        <v>62</v>
      </c>
      <c r="B461" s="270"/>
      <c r="C461" s="118"/>
      <c r="D461" s="119" t="s">
        <v>51</v>
      </c>
      <c r="E461" s="270" t="s">
        <v>63</v>
      </c>
      <c r="F461" s="270"/>
      <c r="G461" s="270"/>
      <c r="H461" s="125" t="s">
        <v>41</v>
      </c>
      <c r="I461" s="281"/>
      <c r="J461" s="281"/>
      <c r="K461" s="123" t="s">
        <v>47</v>
      </c>
      <c r="L461" s="124"/>
      <c r="M461" s="269" t="s">
        <v>62</v>
      </c>
      <c r="N461" s="270"/>
      <c r="O461" s="118"/>
      <c r="P461" s="119" t="s">
        <v>51</v>
      </c>
      <c r="Q461" s="270" t="s">
        <v>63</v>
      </c>
      <c r="R461" s="270"/>
      <c r="S461" s="270"/>
      <c r="T461" s="125" t="s">
        <v>41</v>
      </c>
      <c r="U461" s="281"/>
      <c r="V461" s="281"/>
      <c r="W461" s="123" t="s">
        <v>47</v>
      </c>
      <c r="X461" s="124"/>
    </row>
    <row r="462" spans="1:24" ht="18.75" customHeight="1">
      <c r="A462" s="117" t="s">
        <v>64</v>
      </c>
      <c r="B462" s="115" t="s">
        <v>41</v>
      </c>
      <c r="C462" s="118"/>
      <c r="D462" s="119" t="s">
        <v>51</v>
      </c>
      <c r="E462" s="270" t="s">
        <v>65</v>
      </c>
      <c r="F462" s="270"/>
      <c r="G462" s="270"/>
      <c r="H462" s="115" t="s">
        <v>41</v>
      </c>
      <c r="I462" s="281"/>
      <c r="J462" s="281"/>
      <c r="K462" s="123" t="s">
        <v>47</v>
      </c>
      <c r="L462" s="124"/>
      <c r="M462" s="117" t="s">
        <v>64</v>
      </c>
      <c r="N462" s="115" t="s">
        <v>41</v>
      </c>
      <c r="O462" s="118"/>
      <c r="P462" s="119" t="s">
        <v>51</v>
      </c>
      <c r="Q462" s="270" t="s">
        <v>65</v>
      </c>
      <c r="R462" s="270"/>
      <c r="S462" s="270"/>
      <c r="T462" s="115" t="s">
        <v>41</v>
      </c>
      <c r="U462" s="281"/>
      <c r="V462" s="281"/>
      <c r="W462" s="123" t="s">
        <v>47</v>
      </c>
      <c r="X462" s="124"/>
    </row>
    <row r="463" spans="1:24" ht="18.75" customHeight="1">
      <c r="A463" s="126" t="s">
        <v>66</v>
      </c>
      <c r="B463" s="115"/>
      <c r="C463" s="118" t="e">
        <f>'[9]LUONG T7'!M30</f>
        <v>#REF!</v>
      </c>
      <c r="D463" s="119" t="s">
        <v>60</v>
      </c>
      <c r="E463" s="270" t="s">
        <v>67</v>
      </c>
      <c r="F463" s="270"/>
      <c r="G463" s="270"/>
      <c r="H463" s="115" t="s">
        <v>41</v>
      </c>
      <c r="I463" s="281" t="e">
        <f>$F$8*C463/8/$L$1</f>
        <v>#REF!</v>
      </c>
      <c r="J463" s="281"/>
      <c r="K463" s="123" t="s">
        <v>47</v>
      </c>
      <c r="L463" s="124"/>
      <c r="M463" s="126" t="s">
        <v>66</v>
      </c>
      <c r="N463" s="115"/>
      <c r="O463" s="118" t="e">
        <f>'[9]LUONG T7'!M32</f>
        <v>#REF!</v>
      </c>
      <c r="P463" s="119" t="s">
        <v>60</v>
      </c>
      <c r="Q463" s="270" t="s">
        <v>67</v>
      </c>
      <c r="R463" s="270"/>
      <c r="S463" s="270"/>
      <c r="T463" s="115" t="s">
        <v>41</v>
      </c>
      <c r="U463" s="281" t="e">
        <f>$F$8*O463/8/$L$1</f>
        <v>#REF!</v>
      </c>
      <c r="V463" s="281"/>
      <c r="W463" s="123" t="s">
        <v>47</v>
      </c>
      <c r="X463" s="124"/>
    </row>
    <row r="464" spans="1:24" ht="18.75" customHeight="1">
      <c r="A464" s="117" t="s">
        <v>68</v>
      </c>
      <c r="B464" s="115" t="s">
        <v>41</v>
      </c>
      <c r="C464" s="118"/>
      <c r="D464" s="119" t="s">
        <v>60</v>
      </c>
      <c r="E464" s="270" t="s">
        <v>92</v>
      </c>
      <c r="F464" s="270"/>
      <c r="G464" s="270"/>
      <c r="H464" s="115" t="s">
        <v>41</v>
      </c>
      <c r="I464" s="283"/>
      <c r="J464" s="283"/>
      <c r="K464" s="123" t="s">
        <v>47</v>
      </c>
      <c r="L464" s="124"/>
      <c r="M464" s="117" t="s">
        <v>68</v>
      </c>
      <c r="N464" s="115" t="s">
        <v>41</v>
      </c>
      <c r="O464" s="118"/>
      <c r="P464" s="119" t="s">
        <v>60</v>
      </c>
      <c r="Q464" s="270" t="s">
        <v>92</v>
      </c>
      <c r="R464" s="270"/>
      <c r="S464" s="270"/>
      <c r="T464" s="115" t="s">
        <v>41</v>
      </c>
      <c r="U464" s="283"/>
      <c r="V464" s="283"/>
      <c r="W464" s="123" t="s">
        <v>47</v>
      </c>
      <c r="X464" s="124"/>
    </row>
    <row r="465" spans="1:24" ht="18.75" customHeight="1">
      <c r="A465" s="117" t="s">
        <v>70</v>
      </c>
      <c r="B465" s="115" t="s">
        <v>41</v>
      </c>
      <c r="C465" s="118"/>
      <c r="D465" s="119" t="s">
        <v>71</v>
      </c>
      <c r="E465" s="127" t="s">
        <v>72</v>
      </c>
      <c r="F465" s="127"/>
      <c r="G465" s="127"/>
      <c r="H465" s="115" t="s">
        <v>41</v>
      </c>
      <c r="I465" s="281"/>
      <c r="J465" s="281"/>
      <c r="K465" s="123" t="s">
        <v>47</v>
      </c>
      <c r="L465" s="124" t="e">
        <f>+IF(L456-I456&lt;0,0,L456-I456)+IF(L460-I460&lt;0,0,L460-I460)</f>
        <v>#REF!</v>
      </c>
      <c r="M465" s="117" t="s">
        <v>70</v>
      </c>
      <c r="N465" s="115" t="s">
        <v>41</v>
      </c>
      <c r="O465" s="118"/>
      <c r="P465" s="119" t="s">
        <v>71</v>
      </c>
      <c r="Q465" s="127" t="s">
        <v>72</v>
      </c>
      <c r="R465" s="127"/>
      <c r="S465" s="127"/>
      <c r="T465" s="115" t="s">
        <v>41</v>
      </c>
      <c r="U465" s="281"/>
      <c r="V465" s="281"/>
      <c r="W465" s="123" t="s">
        <v>47</v>
      </c>
      <c r="X465" s="124" t="e">
        <f>+IF(X456-U456&lt;0,0,X456-U456)+IF(X460-U460&lt;0,0,X460-U460)</f>
        <v>#REF!</v>
      </c>
    </row>
    <row r="466" spans="1:24" ht="18.75" customHeight="1">
      <c r="A466" s="128" t="s">
        <v>117</v>
      </c>
      <c r="B466" s="129"/>
      <c r="C466" s="118"/>
      <c r="D466" s="119" t="s">
        <v>51</v>
      </c>
      <c r="E466" s="270" t="s">
        <v>118</v>
      </c>
      <c r="F466" s="270"/>
      <c r="G466" s="270"/>
      <c r="H466" s="115" t="s">
        <v>41</v>
      </c>
      <c r="I466" s="281"/>
      <c r="J466" s="281"/>
      <c r="K466" s="123" t="s">
        <v>47</v>
      </c>
      <c r="L466" s="124"/>
      <c r="M466" s="128" t="s">
        <v>117</v>
      </c>
      <c r="N466" s="129"/>
      <c r="O466" s="118"/>
      <c r="P466" s="119" t="s">
        <v>51</v>
      </c>
      <c r="Q466" s="270" t="s">
        <v>118</v>
      </c>
      <c r="R466" s="270"/>
      <c r="S466" s="270"/>
      <c r="T466" s="115" t="s">
        <v>41</v>
      </c>
      <c r="U466" s="281"/>
      <c r="V466" s="281"/>
      <c r="W466" s="123" t="s">
        <v>47</v>
      </c>
      <c r="X466" s="124"/>
    </row>
    <row r="467" spans="1:24" ht="18.75" customHeight="1">
      <c r="A467" s="288" t="s">
        <v>75</v>
      </c>
      <c r="B467" s="282"/>
      <c r="C467" s="118"/>
      <c r="D467" s="119"/>
      <c r="E467" s="120"/>
      <c r="F467" s="120"/>
      <c r="G467" s="120"/>
      <c r="H467" s="115" t="s">
        <v>41</v>
      </c>
      <c r="I467" s="281" t="e">
        <f>'[9]LUONG T7'!P31</f>
        <v>#REF!</v>
      </c>
      <c r="J467" s="281"/>
      <c r="K467" s="123" t="s">
        <v>47</v>
      </c>
      <c r="L467" s="124"/>
      <c r="M467" s="288" t="s">
        <v>75</v>
      </c>
      <c r="N467" s="282"/>
      <c r="O467" s="118"/>
      <c r="P467" s="119"/>
      <c r="Q467" s="120"/>
      <c r="R467" s="120"/>
      <c r="S467" s="120"/>
      <c r="T467" s="115" t="s">
        <v>41</v>
      </c>
      <c r="U467" s="281" t="e">
        <f>'[9]LUONG T7'!P33</f>
        <v>#REF!</v>
      </c>
      <c r="V467" s="281"/>
      <c r="W467" s="123" t="s">
        <v>47</v>
      </c>
      <c r="X467" s="124"/>
    </row>
    <row r="468" spans="1:24" ht="18.75" customHeight="1">
      <c r="A468" s="117" t="s">
        <v>76</v>
      </c>
      <c r="B468" s="115" t="s">
        <v>41</v>
      </c>
      <c r="C468" s="118"/>
      <c r="D468" s="119"/>
      <c r="E468" s="120" t="s">
        <v>77</v>
      </c>
      <c r="F468" s="120"/>
      <c r="G468" s="120"/>
      <c r="H468" s="115" t="s">
        <v>41</v>
      </c>
      <c r="I468" s="281" t="e">
        <f>L465</f>
        <v>#REF!</v>
      </c>
      <c r="J468" s="281"/>
      <c r="K468" s="123" t="s">
        <v>47</v>
      </c>
      <c r="L468" s="124"/>
      <c r="M468" s="117" t="s">
        <v>76</v>
      </c>
      <c r="N468" s="115" t="s">
        <v>41</v>
      </c>
      <c r="O468" s="118"/>
      <c r="P468" s="119"/>
      <c r="Q468" s="120" t="s">
        <v>77</v>
      </c>
      <c r="R468" s="120"/>
      <c r="S468" s="120"/>
      <c r="T468" s="115" t="s">
        <v>41</v>
      </c>
      <c r="U468" s="281" t="e">
        <f>X465</f>
        <v>#REF!</v>
      </c>
      <c r="V468" s="281"/>
      <c r="W468" s="123" t="s">
        <v>47</v>
      </c>
      <c r="X468" s="124"/>
    </row>
    <row r="469" spans="1:24" ht="18.75" customHeight="1">
      <c r="A469" s="285" t="s">
        <v>78</v>
      </c>
      <c r="B469" s="286"/>
      <c r="C469" s="286"/>
      <c r="D469" s="286"/>
      <c r="E469" s="286"/>
      <c r="F469" s="286"/>
      <c r="G469" s="115" t="s">
        <v>41</v>
      </c>
      <c r="H469" s="287" t="e">
        <f>I456+I457+I458+I459+I460+I463+I467+I468</f>
        <v>#REF!</v>
      </c>
      <c r="I469" s="287"/>
      <c r="J469" s="287"/>
      <c r="K469" s="123" t="s">
        <v>47</v>
      </c>
      <c r="M469" s="285" t="s">
        <v>78</v>
      </c>
      <c r="N469" s="286"/>
      <c r="O469" s="286"/>
      <c r="P469" s="286"/>
      <c r="Q469" s="286"/>
      <c r="R469" s="286"/>
      <c r="S469" s="115" t="s">
        <v>41</v>
      </c>
      <c r="T469" s="287" t="e">
        <f>U456+U457+U458+U459+U460+U463+U467+U468</f>
        <v>#REF!</v>
      </c>
      <c r="U469" s="287"/>
      <c r="V469" s="287"/>
      <c r="W469" s="123" t="s">
        <v>47</v>
      </c>
    </row>
    <row r="470" spans="1:24" ht="18.75" customHeight="1">
      <c r="A470" s="130"/>
      <c r="B470" s="131"/>
      <c r="C470" s="131"/>
      <c r="D470" s="131"/>
      <c r="E470" s="131"/>
      <c r="F470" s="131"/>
      <c r="G470" s="131"/>
      <c r="H470" s="131"/>
      <c r="I470" s="131"/>
      <c r="J470" s="131"/>
      <c r="K470" s="132"/>
      <c r="M470" s="130"/>
      <c r="N470" s="131"/>
      <c r="O470" s="131"/>
      <c r="P470" s="131"/>
      <c r="Q470" s="131"/>
      <c r="R470" s="131"/>
      <c r="S470" s="131"/>
      <c r="T470" s="131"/>
      <c r="U470" s="131"/>
      <c r="V470" s="131"/>
      <c r="W470" s="132"/>
    </row>
    <row r="471" spans="1:24" ht="18.75" customHeight="1">
      <c r="A471" s="295" t="s">
        <v>79</v>
      </c>
      <c r="B471" s="296"/>
      <c r="C471" s="296"/>
      <c r="D471" s="296"/>
      <c r="E471" s="296"/>
      <c r="F471" s="296"/>
      <c r="G471" s="115"/>
      <c r="H471" s="115"/>
      <c r="I471" s="115"/>
      <c r="J471" s="115"/>
      <c r="K471" s="123"/>
      <c r="M471" s="295" t="s">
        <v>79</v>
      </c>
      <c r="N471" s="296"/>
      <c r="O471" s="296"/>
      <c r="P471" s="296"/>
      <c r="Q471" s="296"/>
      <c r="R471" s="296"/>
      <c r="S471" s="115"/>
      <c r="T471" s="115"/>
      <c r="U471" s="115"/>
      <c r="V471" s="115"/>
      <c r="W471" s="123"/>
    </row>
    <row r="472" spans="1:24" ht="18.75" customHeight="1">
      <c r="A472" s="289" t="s">
        <v>80</v>
      </c>
      <c r="B472" s="290"/>
      <c r="C472" s="290"/>
      <c r="D472" s="290"/>
      <c r="E472" s="290"/>
      <c r="F472" s="290"/>
      <c r="G472" s="115" t="s">
        <v>41</v>
      </c>
      <c r="H472" s="297" t="e">
        <f>IF(($L$1-(C456+C457+C458+C459))&gt;12,0,F453*8%)</f>
        <v>#REF!</v>
      </c>
      <c r="I472" s="297"/>
      <c r="J472" s="297"/>
      <c r="K472" s="123" t="s">
        <v>47</v>
      </c>
      <c r="M472" s="289" t="s">
        <v>80</v>
      </c>
      <c r="N472" s="290"/>
      <c r="O472" s="290"/>
      <c r="P472" s="290"/>
      <c r="Q472" s="290"/>
      <c r="R472" s="290"/>
      <c r="S472" s="115" t="s">
        <v>41</v>
      </c>
      <c r="T472" s="297" t="e">
        <f>IF(($L$1-(O456+O457+O458+O459))&gt;12,0,R453*8%)</f>
        <v>#REF!</v>
      </c>
      <c r="U472" s="297"/>
      <c r="V472" s="297"/>
      <c r="W472" s="123" t="s">
        <v>47</v>
      </c>
    </row>
    <row r="473" spans="1:24" ht="18.75" customHeight="1">
      <c r="A473" s="289" t="s">
        <v>81</v>
      </c>
      <c r="B473" s="290"/>
      <c r="C473" s="290"/>
      <c r="D473" s="290"/>
      <c r="E473" s="290"/>
      <c r="F473" s="290"/>
      <c r="G473" s="115" t="s">
        <v>41</v>
      </c>
      <c r="H473" s="291" t="e">
        <f>IF(($L$1-(C456+C457+C458+C459))&gt;12,0,F453*1.5%)</f>
        <v>#REF!</v>
      </c>
      <c r="I473" s="291"/>
      <c r="J473" s="291"/>
      <c r="K473" s="123" t="s">
        <v>47</v>
      </c>
      <c r="M473" s="289" t="s">
        <v>81</v>
      </c>
      <c r="N473" s="290"/>
      <c r="O473" s="290"/>
      <c r="P473" s="290"/>
      <c r="Q473" s="290"/>
      <c r="R473" s="290"/>
      <c r="S473" s="115" t="s">
        <v>41</v>
      </c>
      <c r="T473" s="291" t="e">
        <f>IF(($L$1-(O456+O457+O458+O459))&gt;12,0,R453*1.5%)</f>
        <v>#REF!</v>
      </c>
      <c r="U473" s="291"/>
      <c r="V473" s="291"/>
      <c r="W473" s="123" t="s">
        <v>47</v>
      </c>
    </row>
    <row r="474" spans="1:24" ht="18.75" customHeight="1">
      <c r="A474" s="289" t="s">
        <v>82</v>
      </c>
      <c r="B474" s="290"/>
      <c r="C474" s="290"/>
      <c r="D474" s="290"/>
      <c r="E474" s="290"/>
      <c r="F474" s="290"/>
      <c r="G474" s="115" t="s">
        <v>41</v>
      </c>
      <c r="H474" s="291" t="e">
        <f>IF(($L$1-(C456+C457+C458+C459))&gt;12,0,F453*1%)</f>
        <v>#REF!</v>
      </c>
      <c r="I474" s="291"/>
      <c r="J474" s="291"/>
      <c r="K474" s="123" t="s">
        <v>47</v>
      </c>
      <c r="M474" s="289" t="s">
        <v>82</v>
      </c>
      <c r="N474" s="290"/>
      <c r="O474" s="290"/>
      <c r="P474" s="290"/>
      <c r="Q474" s="290"/>
      <c r="R474" s="290"/>
      <c r="S474" s="115" t="s">
        <v>41</v>
      </c>
      <c r="T474" s="291" t="e">
        <f>IF(($L$1-(O456+O457+O458+O459))&gt;12,0,R453*1%)</f>
        <v>#REF!</v>
      </c>
      <c r="U474" s="291"/>
      <c r="V474" s="291"/>
      <c r="W474" s="123" t="s">
        <v>47</v>
      </c>
    </row>
    <row r="475" spans="1:24" ht="18.75" customHeight="1">
      <c r="A475" s="289" t="s">
        <v>83</v>
      </c>
      <c r="B475" s="290"/>
      <c r="C475" s="290"/>
      <c r="D475" s="290"/>
      <c r="E475" s="290"/>
      <c r="F475" s="290"/>
      <c r="G475" s="115" t="s">
        <v>41</v>
      </c>
      <c r="H475" s="291">
        <v>0</v>
      </c>
      <c r="I475" s="291"/>
      <c r="J475" s="291"/>
      <c r="K475" s="123" t="s">
        <v>47</v>
      </c>
      <c r="M475" s="289" t="s">
        <v>83</v>
      </c>
      <c r="N475" s="290"/>
      <c r="O475" s="290"/>
      <c r="P475" s="290"/>
      <c r="Q475" s="290"/>
      <c r="R475" s="290"/>
      <c r="S475" s="115" t="s">
        <v>41</v>
      </c>
      <c r="T475" s="291">
        <v>0</v>
      </c>
      <c r="U475" s="291"/>
      <c r="V475" s="291"/>
      <c r="W475" s="123" t="s">
        <v>47</v>
      </c>
    </row>
    <row r="476" spans="1:24" ht="18.75" customHeight="1">
      <c r="A476" s="292" t="s">
        <v>84</v>
      </c>
      <c r="B476" s="293"/>
      <c r="C476" s="293"/>
      <c r="D476" s="293"/>
      <c r="E476" s="293"/>
      <c r="F476" s="293"/>
      <c r="G476" s="115" t="s">
        <v>41</v>
      </c>
      <c r="H476" s="294" t="e">
        <f>SUM(H472:J475)</f>
        <v>#REF!</v>
      </c>
      <c r="I476" s="294"/>
      <c r="J476" s="294"/>
      <c r="K476" s="123" t="s">
        <v>47</v>
      </c>
      <c r="M476" s="292" t="s">
        <v>84</v>
      </c>
      <c r="N476" s="293"/>
      <c r="O476" s="293"/>
      <c r="P476" s="293"/>
      <c r="Q476" s="293"/>
      <c r="R476" s="293"/>
      <c r="S476" s="115" t="s">
        <v>41</v>
      </c>
      <c r="T476" s="294" t="e">
        <f>SUM(T472:V475)</f>
        <v>#REF!</v>
      </c>
      <c r="U476" s="294"/>
      <c r="V476" s="294"/>
      <c r="W476" s="123" t="s">
        <v>47</v>
      </c>
    </row>
    <row r="477" spans="1:24" ht="18.75" customHeight="1">
      <c r="A477" s="289" t="s">
        <v>85</v>
      </c>
      <c r="B477" s="290"/>
      <c r="C477" s="290"/>
      <c r="D477" s="290"/>
      <c r="E477" s="290"/>
      <c r="F477" s="290"/>
      <c r="G477" s="115" t="s">
        <v>41</v>
      </c>
      <c r="H477" s="301" t="e">
        <f>ROUND(H469-H476,-2)</f>
        <v>#REF!</v>
      </c>
      <c r="I477" s="301"/>
      <c r="J477" s="301"/>
      <c r="K477" s="123" t="s">
        <v>47</v>
      </c>
      <c r="M477" s="289" t="s">
        <v>85</v>
      </c>
      <c r="N477" s="290"/>
      <c r="O477" s="290"/>
      <c r="P477" s="290"/>
      <c r="Q477" s="290"/>
      <c r="R477" s="290"/>
      <c r="S477" s="115" t="s">
        <v>41</v>
      </c>
      <c r="T477" s="301" t="e">
        <f>ROUND(T469-T476,-2)</f>
        <v>#REF!</v>
      </c>
      <c r="U477" s="301"/>
      <c r="V477" s="301"/>
      <c r="W477" s="123" t="s">
        <v>47</v>
      </c>
    </row>
    <row r="478" spans="1:24" ht="18.75" customHeight="1">
      <c r="A478" s="133"/>
      <c r="B478" s="134"/>
      <c r="C478" s="134"/>
      <c r="D478" s="134"/>
      <c r="E478" s="134"/>
      <c r="F478" s="134"/>
      <c r="G478" s="134"/>
      <c r="H478" s="134"/>
      <c r="I478" s="134"/>
      <c r="J478" s="134"/>
      <c r="K478" s="135"/>
      <c r="M478" s="133"/>
      <c r="N478" s="134"/>
      <c r="O478" s="134"/>
      <c r="P478" s="134"/>
      <c r="Q478" s="134"/>
      <c r="R478" s="134"/>
      <c r="S478" s="134"/>
      <c r="T478" s="134"/>
      <c r="U478" s="134"/>
      <c r="V478" s="134"/>
      <c r="W478" s="135"/>
    </row>
    <row r="479" spans="1:24" ht="18.75" customHeight="1">
      <c r="A479" s="136"/>
      <c r="B479" s="115"/>
      <c r="C479" s="115"/>
      <c r="D479" s="115"/>
      <c r="E479" s="115"/>
      <c r="F479" s="115"/>
      <c r="G479" s="115"/>
      <c r="H479" s="115"/>
      <c r="I479" s="298" t="s">
        <v>86</v>
      </c>
      <c r="J479" s="298"/>
      <c r="K479" s="302"/>
      <c r="M479" s="136"/>
      <c r="N479" s="115"/>
      <c r="O479" s="115"/>
      <c r="P479" s="115"/>
      <c r="Q479" s="115"/>
      <c r="R479" s="115"/>
      <c r="S479" s="115"/>
      <c r="T479" s="115"/>
      <c r="U479" s="298" t="s">
        <v>86</v>
      </c>
      <c r="V479" s="298"/>
      <c r="W479" s="302"/>
    </row>
    <row r="480" spans="1:24" ht="18.75" customHeight="1">
      <c r="A480" s="136"/>
      <c r="B480" s="298"/>
      <c r="C480" s="298"/>
      <c r="D480" s="298"/>
      <c r="E480" s="298"/>
      <c r="F480" s="115"/>
      <c r="G480" s="115"/>
      <c r="H480" s="115"/>
      <c r="I480" s="115"/>
      <c r="J480" s="115"/>
      <c r="K480" s="116"/>
      <c r="M480" s="136"/>
      <c r="N480" s="298"/>
      <c r="O480" s="298"/>
      <c r="P480" s="298"/>
      <c r="Q480" s="298"/>
      <c r="R480" s="115"/>
      <c r="S480" s="115"/>
      <c r="T480" s="115"/>
      <c r="U480" s="115"/>
      <c r="V480" s="115"/>
      <c r="W480" s="116"/>
    </row>
    <row r="481" spans="1:24" ht="18.75" customHeight="1" thickBot="1">
      <c r="A481" s="137"/>
      <c r="B481" s="138"/>
      <c r="C481" s="138"/>
      <c r="D481" s="138"/>
      <c r="E481" s="138"/>
      <c r="F481" s="138"/>
      <c r="G481" s="138"/>
      <c r="H481" s="138"/>
      <c r="I481" s="299" t="s">
        <v>87</v>
      </c>
      <c r="J481" s="299"/>
      <c r="K481" s="300"/>
      <c r="M481" s="137"/>
      <c r="N481" s="138"/>
      <c r="O481" s="138"/>
      <c r="P481" s="138"/>
      <c r="Q481" s="138"/>
      <c r="R481" s="138"/>
      <c r="S481" s="138"/>
      <c r="T481" s="138"/>
      <c r="U481" s="299" t="s">
        <v>87</v>
      </c>
      <c r="V481" s="299"/>
      <c r="W481" s="300"/>
    </row>
    <row r="483" spans="1:24" ht="18.75" customHeight="1" thickTop="1">
      <c r="A483" s="274" t="s">
        <v>35</v>
      </c>
      <c r="B483" s="275"/>
      <c r="C483" s="275"/>
      <c r="D483" s="275"/>
      <c r="E483" s="275"/>
      <c r="F483" s="275"/>
      <c r="G483" s="275"/>
      <c r="H483" s="275"/>
      <c r="I483" s="275"/>
      <c r="J483" s="275"/>
      <c r="K483" s="276"/>
      <c r="L483" s="111">
        <v>25</v>
      </c>
      <c r="M483" s="274" t="s">
        <v>35</v>
      </c>
      <c r="N483" s="275"/>
      <c r="O483" s="275"/>
      <c r="P483" s="275"/>
      <c r="Q483" s="275"/>
      <c r="R483" s="275"/>
      <c r="S483" s="275"/>
      <c r="T483" s="275"/>
      <c r="U483" s="275"/>
      <c r="V483" s="275"/>
      <c r="W483" s="276"/>
      <c r="X483" s="111">
        <v>25</v>
      </c>
    </row>
    <row r="484" spans="1:24" ht="18.75" customHeight="1">
      <c r="A484" s="112" t="s">
        <v>129</v>
      </c>
      <c r="B484" s="113"/>
      <c r="C484" s="113"/>
      <c r="D484" s="113"/>
      <c r="E484" s="113"/>
      <c r="F484" s="113"/>
      <c r="G484" s="113"/>
      <c r="H484" s="113"/>
      <c r="I484" s="113"/>
      <c r="J484" s="113"/>
      <c r="K484" s="114"/>
      <c r="M484" s="112" t="s">
        <v>130</v>
      </c>
      <c r="N484" s="113"/>
      <c r="O484" s="113"/>
      <c r="P484" s="113"/>
      <c r="Q484" s="113"/>
      <c r="R484" s="113"/>
      <c r="S484" s="113"/>
      <c r="T484" s="113"/>
      <c r="U484" s="113"/>
      <c r="V484" s="113"/>
      <c r="W484" s="114"/>
    </row>
    <row r="485" spans="1:24" ht="18.75" customHeight="1">
      <c r="A485" s="277" t="s">
        <v>39</v>
      </c>
      <c r="B485" s="278"/>
      <c r="C485" s="278"/>
      <c r="D485" s="278"/>
      <c r="E485" s="278"/>
      <c r="F485" s="278"/>
      <c r="G485" s="278"/>
      <c r="H485" s="278"/>
      <c r="I485" s="278"/>
      <c r="J485" s="278"/>
      <c r="K485" s="279"/>
      <c r="M485" s="277" t="s">
        <v>39</v>
      </c>
      <c r="N485" s="278"/>
      <c r="O485" s="278"/>
      <c r="P485" s="278"/>
      <c r="Q485" s="278"/>
      <c r="R485" s="278"/>
      <c r="S485" s="278"/>
      <c r="T485" s="278"/>
      <c r="U485" s="278"/>
      <c r="V485" s="278"/>
      <c r="W485" s="279"/>
    </row>
    <row r="486" spans="1:24" ht="18.75" customHeight="1">
      <c r="A486" s="269" t="s">
        <v>40</v>
      </c>
      <c r="B486" s="270"/>
      <c r="C486" s="270"/>
      <c r="D486" s="270"/>
      <c r="E486" s="115" t="s">
        <v>41</v>
      </c>
      <c r="F486" s="271" t="e">
        <f>'[9]Bang TH nop'!B54</f>
        <v>#REF!</v>
      </c>
      <c r="G486" s="270"/>
      <c r="H486" s="270"/>
      <c r="I486" s="270"/>
      <c r="J486" s="270"/>
      <c r="K486" s="273"/>
      <c r="M486" s="269" t="s">
        <v>40</v>
      </c>
      <c r="N486" s="270"/>
      <c r="O486" s="270"/>
      <c r="P486" s="270"/>
      <c r="Q486" s="115" t="s">
        <v>41</v>
      </c>
      <c r="R486" s="271" t="e">
        <f>'[9]Bang TH nop'!B56</f>
        <v>#REF!</v>
      </c>
      <c r="S486" s="270"/>
      <c r="T486" s="270"/>
      <c r="U486" s="270"/>
      <c r="V486" s="270"/>
      <c r="W486" s="273"/>
    </row>
    <row r="487" spans="1:24" ht="18.75" customHeight="1">
      <c r="A487" s="269" t="s">
        <v>43</v>
      </c>
      <c r="B487" s="270"/>
      <c r="C487" s="270"/>
      <c r="D487" s="270"/>
      <c r="E487" s="115" t="s">
        <v>41</v>
      </c>
      <c r="F487" s="271" t="e">
        <f>'[9]Bang TH nop'!C54</f>
        <v>#REF!</v>
      </c>
      <c r="G487" s="271"/>
      <c r="H487" s="271"/>
      <c r="I487" s="271"/>
      <c r="J487" s="271"/>
      <c r="K487" s="272"/>
      <c r="M487" s="269" t="s">
        <v>43</v>
      </c>
      <c r="N487" s="270"/>
      <c r="O487" s="270"/>
      <c r="P487" s="270"/>
      <c r="Q487" s="115" t="s">
        <v>41</v>
      </c>
      <c r="R487" s="271" t="e">
        <f>'[9]Bang TH nop'!C56</f>
        <v>#REF!</v>
      </c>
      <c r="S487" s="271"/>
      <c r="T487" s="271"/>
      <c r="U487" s="271"/>
      <c r="V487" s="271"/>
      <c r="W487" s="272"/>
    </row>
    <row r="488" spans="1:24" ht="18.75" customHeight="1">
      <c r="A488" s="269" t="s">
        <v>44</v>
      </c>
      <c r="B488" s="270"/>
      <c r="C488" s="270"/>
      <c r="D488" s="270"/>
      <c r="E488" s="115" t="s">
        <v>41</v>
      </c>
      <c r="F488" s="270" t="s">
        <v>116</v>
      </c>
      <c r="G488" s="270"/>
      <c r="H488" s="270"/>
      <c r="I488" s="270"/>
      <c r="J488" s="270"/>
      <c r="K488" s="273"/>
      <c r="M488" s="269" t="s">
        <v>44</v>
      </c>
      <c r="N488" s="270"/>
      <c r="O488" s="270"/>
      <c r="P488" s="270"/>
      <c r="Q488" s="115" t="s">
        <v>41</v>
      </c>
      <c r="R488" s="270" t="s">
        <v>116</v>
      </c>
      <c r="S488" s="270"/>
      <c r="T488" s="270"/>
      <c r="U488" s="270"/>
      <c r="V488" s="270"/>
      <c r="W488" s="273"/>
    </row>
    <row r="489" spans="1:24" ht="18.75" customHeight="1">
      <c r="A489" s="277" t="s">
        <v>45</v>
      </c>
      <c r="B489" s="278"/>
      <c r="C489" s="278"/>
      <c r="D489" s="278"/>
      <c r="E489" s="278"/>
      <c r="F489" s="278"/>
      <c r="G489" s="278"/>
      <c r="H489" s="278"/>
      <c r="I489" s="278"/>
      <c r="J489" s="278"/>
      <c r="K489" s="279"/>
      <c r="M489" s="277" t="s">
        <v>45</v>
      </c>
      <c r="N489" s="278"/>
      <c r="O489" s="278"/>
      <c r="P489" s="278"/>
      <c r="Q489" s="278"/>
      <c r="R489" s="278"/>
      <c r="S489" s="278"/>
      <c r="T489" s="278"/>
      <c r="U489" s="278"/>
      <c r="V489" s="278"/>
      <c r="W489" s="279"/>
    </row>
    <row r="490" spans="1:24" ht="18.75" customHeight="1">
      <c r="A490" s="269" t="s">
        <v>46</v>
      </c>
      <c r="B490" s="270"/>
      <c r="C490" s="270"/>
      <c r="D490" s="270"/>
      <c r="E490" s="115" t="s">
        <v>41</v>
      </c>
      <c r="F490" s="284">
        <v>2915400</v>
      </c>
      <c r="G490" s="284"/>
      <c r="H490" s="284"/>
      <c r="I490" s="284"/>
      <c r="J490" s="115" t="s">
        <v>47</v>
      </c>
      <c r="K490" s="116"/>
      <c r="M490" s="269" t="s">
        <v>46</v>
      </c>
      <c r="N490" s="270"/>
      <c r="O490" s="270"/>
      <c r="P490" s="270"/>
      <c r="Q490" s="115" t="s">
        <v>41</v>
      </c>
      <c r="R490" s="284">
        <v>2915400</v>
      </c>
      <c r="S490" s="284"/>
      <c r="T490" s="284"/>
      <c r="U490" s="284"/>
      <c r="V490" s="115" t="s">
        <v>47</v>
      </c>
      <c r="W490" s="116"/>
    </row>
    <row r="491" spans="1:24" ht="18.75" customHeight="1">
      <c r="A491" s="117" t="s">
        <v>48</v>
      </c>
      <c r="B491" s="115"/>
      <c r="C491" s="118"/>
      <c r="D491" s="119"/>
      <c r="E491" s="120"/>
      <c r="F491" s="120"/>
      <c r="G491" s="120"/>
      <c r="H491" s="115"/>
      <c r="I491" s="121" t="e">
        <f>'[9]LUONG T7'!F35</f>
        <v>#REF!</v>
      </c>
      <c r="J491" s="122"/>
      <c r="K491" s="123"/>
      <c r="M491" s="117" t="s">
        <v>48</v>
      </c>
      <c r="N491" s="115"/>
      <c r="O491" s="118"/>
      <c r="P491" s="119"/>
      <c r="Q491" s="120"/>
      <c r="R491" s="120"/>
      <c r="S491" s="120"/>
      <c r="T491" s="115"/>
      <c r="U491" s="121" t="e">
        <f>'[9]LUONG T7'!F37</f>
        <v>#REF!</v>
      </c>
      <c r="V491" s="122"/>
      <c r="W491" s="123"/>
    </row>
    <row r="492" spans="1:24" ht="18.75" customHeight="1">
      <c r="A492" s="117" t="s">
        <v>49</v>
      </c>
      <c r="B492" s="115"/>
      <c r="C492" s="118"/>
      <c r="D492" s="119"/>
      <c r="E492" s="120"/>
      <c r="F492" s="120"/>
      <c r="G492" s="120"/>
      <c r="H492" s="115"/>
      <c r="I492" s="121" t="e">
        <f>I493/C493/8</f>
        <v>#REF!</v>
      </c>
      <c r="J492" s="122"/>
      <c r="K492" s="123"/>
      <c r="M492" s="117" t="s">
        <v>49</v>
      </c>
      <c r="N492" s="115"/>
      <c r="O492" s="118"/>
      <c r="P492" s="119"/>
      <c r="Q492" s="120"/>
      <c r="R492" s="120"/>
      <c r="S492" s="120"/>
      <c r="T492" s="115"/>
      <c r="U492" s="121" t="e">
        <f>U493/O493/8</f>
        <v>#REF!</v>
      </c>
      <c r="V492" s="122"/>
      <c r="W492" s="123"/>
    </row>
    <row r="493" spans="1:24" ht="18.75" customHeight="1">
      <c r="A493" s="117" t="s">
        <v>50</v>
      </c>
      <c r="B493" s="115" t="s">
        <v>41</v>
      </c>
      <c r="C493" s="118" t="e">
        <f>'[9]LUONG T7'!I34</f>
        <v>#REF!</v>
      </c>
      <c r="D493" s="119" t="s">
        <v>51</v>
      </c>
      <c r="E493" s="282" t="s">
        <v>52</v>
      </c>
      <c r="F493" s="282"/>
      <c r="G493" s="282"/>
      <c r="H493" s="115" t="s">
        <v>41</v>
      </c>
      <c r="I493" s="283" t="e">
        <f>'[9]LUONG T7'!I35</f>
        <v>#REF!</v>
      </c>
      <c r="J493" s="283"/>
      <c r="K493" s="123" t="s">
        <v>47</v>
      </c>
      <c r="L493" s="124" t="e">
        <f>F490/L483*C493</f>
        <v>#REF!</v>
      </c>
      <c r="M493" s="117" t="s">
        <v>50</v>
      </c>
      <c r="N493" s="115" t="s">
        <v>41</v>
      </c>
      <c r="O493" s="118" t="e">
        <f>'[9]LUONG T7'!I36</f>
        <v>#REF!</v>
      </c>
      <c r="P493" s="119" t="s">
        <v>51</v>
      </c>
      <c r="Q493" s="282" t="s">
        <v>52</v>
      </c>
      <c r="R493" s="282"/>
      <c r="S493" s="282"/>
      <c r="T493" s="115" t="s">
        <v>41</v>
      </c>
      <c r="U493" s="283" t="e">
        <f>'[9]LUONG T7'!I37</f>
        <v>#REF!</v>
      </c>
      <c r="V493" s="283"/>
      <c r="W493" s="123" t="s">
        <v>47</v>
      </c>
      <c r="X493" s="124" t="e">
        <f>R490/X483*O493</f>
        <v>#REF!</v>
      </c>
    </row>
    <row r="494" spans="1:24" ht="18.75" customHeight="1">
      <c r="A494" s="117" t="s">
        <v>53</v>
      </c>
      <c r="B494" s="115" t="s">
        <v>41</v>
      </c>
      <c r="C494" s="118" t="e">
        <f>'[9]LUONG T7'!J34</f>
        <v>#REF!</v>
      </c>
      <c r="D494" s="119" t="s">
        <v>51</v>
      </c>
      <c r="E494" s="270" t="s">
        <v>54</v>
      </c>
      <c r="F494" s="270"/>
      <c r="G494" s="270"/>
      <c r="H494" s="115" t="s">
        <v>41</v>
      </c>
      <c r="I494" s="281" t="e">
        <f>$F$8/$L$1*C494</f>
        <v>#REF!</v>
      </c>
      <c r="J494" s="281"/>
      <c r="K494" s="123" t="s">
        <v>47</v>
      </c>
      <c r="L494" s="124"/>
      <c r="M494" s="117" t="s">
        <v>53</v>
      </c>
      <c r="N494" s="115" t="s">
        <v>41</v>
      </c>
      <c r="O494" s="118" t="e">
        <f>'[9]LUONG T7'!J36</f>
        <v>#REF!</v>
      </c>
      <c r="P494" s="119" t="s">
        <v>51</v>
      </c>
      <c r="Q494" s="270" t="s">
        <v>54</v>
      </c>
      <c r="R494" s="270"/>
      <c r="S494" s="270"/>
      <c r="T494" s="115" t="s">
        <v>41</v>
      </c>
      <c r="U494" s="281" t="e">
        <f>$F$8/$L$1*O494</f>
        <v>#REF!</v>
      </c>
      <c r="V494" s="281"/>
      <c r="W494" s="123" t="s">
        <v>47</v>
      </c>
      <c r="X494" s="124"/>
    </row>
    <row r="495" spans="1:24" ht="18.75" customHeight="1">
      <c r="A495" s="117" t="s">
        <v>55</v>
      </c>
      <c r="B495" s="115" t="s">
        <v>41</v>
      </c>
      <c r="C495" s="118" t="e">
        <f>'[9]LUONG T7'!K34</f>
        <v>#REF!</v>
      </c>
      <c r="D495" s="119" t="s">
        <v>51</v>
      </c>
      <c r="E495" s="280" t="s">
        <v>56</v>
      </c>
      <c r="F495" s="280"/>
      <c r="G495" s="280"/>
      <c r="H495" s="115" t="s">
        <v>41</v>
      </c>
      <c r="I495" s="281" t="e">
        <f>$F$8/$L$1*C495</f>
        <v>#REF!</v>
      </c>
      <c r="J495" s="281"/>
      <c r="K495" s="123" t="s">
        <v>47</v>
      </c>
      <c r="L495" s="124"/>
      <c r="M495" s="117" t="s">
        <v>55</v>
      </c>
      <c r="N495" s="115" t="s">
        <v>41</v>
      </c>
      <c r="O495" s="118" t="e">
        <f>'[9]LUONG T7'!K36</f>
        <v>#REF!</v>
      </c>
      <c r="P495" s="119" t="s">
        <v>51</v>
      </c>
      <c r="Q495" s="280" t="s">
        <v>56</v>
      </c>
      <c r="R495" s="280"/>
      <c r="S495" s="280"/>
      <c r="T495" s="115" t="s">
        <v>41</v>
      </c>
      <c r="U495" s="281" t="e">
        <f>$F$8/$L$1*O495</f>
        <v>#REF!</v>
      </c>
      <c r="V495" s="281"/>
      <c r="W495" s="123" t="s">
        <v>47</v>
      </c>
      <c r="X495" s="124"/>
    </row>
    <row r="496" spans="1:24" ht="18.75" customHeight="1">
      <c r="A496" s="117" t="s">
        <v>57</v>
      </c>
      <c r="B496" s="115" t="s">
        <v>41</v>
      </c>
      <c r="C496" s="118" t="e">
        <f>'[9]LUONG T7'!L34</f>
        <v>#REF!</v>
      </c>
      <c r="D496" s="119" t="s">
        <v>51</v>
      </c>
      <c r="E496" s="280" t="s">
        <v>58</v>
      </c>
      <c r="F496" s="280"/>
      <c r="G496" s="280"/>
      <c r="H496" s="115" t="s">
        <v>41</v>
      </c>
      <c r="I496" s="281" t="e">
        <f>$F$8/$L$1*C496</f>
        <v>#REF!</v>
      </c>
      <c r="J496" s="281"/>
      <c r="K496" s="123" t="s">
        <v>47</v>
      </c>
      <c r="L496" s="124"/>
      <c r="M496" s="117" t="s">
        <v>57</v>
      </c>
      <c r="N496" s="115" t="s">
        <v>41</v>
      </c>
      <c r="O496" s="118" t="e">
        <f>'[9]LUONG T7'!L36</f>
        <v>#REF!</v>
      </c>
      <c r="P496" s="119" t="s">
        <v>51</v>
      </c>
      <c r="Q496" s="280" t="s">
        <v>58</v>
      </c>
      <c r="R496" s="280"/>
      <c r="S496" s="280"/>
      <c r="T496" s="115" t="s">
        <v>41</v>
      </c>
      <c r="U496" s="281" t="e">
        <f>$F$8/$L$1*O496</f>
        <v>#REF!</v>
      </c>
      <c r="V496" s="281"/>
      <c r="W496" s="123" t="s">
        <v>47</v>
      </c>
      <c r="X496" s="124"/>
    </row>
    <row r="497" spans="1:24" ht="18.75" customHeight="1">
      <c r="A497" s="117" t="s">
        <v>59</v>
      </c>
      <c r="B497" s="115" t="s">
        <v>41</v>
      </c>
      <c r="C497" s="118" t="e">
        <f>'[9]LUONG T7'!Q34</f>
        <v>#REF!</v>
      </c>
      <c r="D497" s="119" t="s">
        <v>60</v>
      </c>
      <c r="E497" s="270" t="s">
        <v>61</v>
      </c>
      <c r="F497" s="270"/>
      <c r="G497" s="270"/>
      <c r="H497" s="115" t="s">
        <v>41</v>
      </c>
      <c r="I497" s="281" t="e">
        <f>'[9]LUONG T7'!Q35</f>
        <v>#REF!</v>
      </c>
      <c r="J497" s="281"/>
      <c r="K497" s="123" t="s">
        <v>47</v>
      </c>
      <c r="L497" s="124" t="e">
        <f>F490*C497/L483/8*1.5</f>
        <v>#REF!</v>
      </c>
      <c r="M497" s="117" t="s">
        <v>59</v>
      </c>
      <c r="N497" s="115" t="s">
        <v>41</v>
      </c>
      <c r="O497" s="118" t="e">
        <f>'[9]LUONG T7'!Q36</f>
        <v>#REF!</v>
      </c>
      <c r="P497" s="119" t="s">
        <v>60</v>
      </c>
      <c r="Q497" s="270" t="s">
        <v>61</v>
      </c>
      <c r="R497" s="270"/>
      <c r="S497" s="270"/>
      <c r="T497" s="115" t="s">
        <v>41</v>
      </c>
      <c r="U497" s="281" t="e">
        <f>'[9]LUONG T7'!Q37</f>
        <v>#REF!</v>
      </c>
      <c r="V497" s="281"/>
      <c r="W497" s="123" t="s">
        <v>47</v>
      </c>
      <c r="X497" s="124" t="e">
        <f>R490*O497/X483/8*1.5</f>
        <v>#REF!</v>
      </c>
    </row>
    <row r="498" spans="1:24" ht="18.75" customHeight="1">
      <c r="A498" s="269" t="s">
        <v>62</v>
      </c>
      <c r="B498" s="270"/>
      <c r="C498" s="118"/>
      <c r="D498" s="119" t="s">
        <v>51</v>
      </c>
      <c r="E498" s="270" t="s">
        <v>63</v>
      </c>
      <c r="F498" s="270"/>
      <c r="G498" s="270"/>
      <c r="H498" s="125" t="s">
        <v>41</v>
      </c>
      <c r="I498" s="281"/>
      <c r="J498" s="281"/>
      <c r="K498" s="123" t="s">
        <v>47</v>
      </c>
      <c r="L498" s="124"/>
      <c r="M498" s="269" t="s">
        <v>62</v>
      </c>
      <c r="N498" s="270"/>
      <c r="O498" s="118"/>
      <c r="P498" s="119" t="s">
        <v>51</v>
      </c>
      <c r="Q498" s="270" t="s">
        <v>63</v>
      </c>
      <c r="R498" s="270"/>
      <c r="S498" s="270"/>
      <c r="T498" s="125" t="s">
        <v>41</v>
      </c>
      <c r="U498" s="281"/>
      <c r="V498" s="281"/>
      <c r="W498" s="123" t="s">
        <v>47</v>
      </c>
      <c r="X498" s="124"/>
    </row>
    <row r="499" spans="1:24" ht="18.75" customHeight="1">
      <c r="A499" s="117" t="s">
        <v>64</v>
      </c>
      <c r="B499" s="115" t="s">
        <v>41</v>
      </c>
      <c r="C499" s="118"/>
      <c r="D499" s="119" t="s">
        <v>51</v>
      </c>
      <c r="E499" s="270" t="s">
        <v>65</v>
      </c>
      <c r="F499" s="270"/>
      <c r="G499" s="270"/>
      <c r="H499" s="115" t="s">
        <v>41</v>
      </c>
      <c r="I499" s="281"/>
      <c r="J499" s="281"/>
      <c r="K499" s="123" t="s">
        <v>47</v>
      </c>
      <c r="L499" s="124"/>
      <c r="M499" s="117" t="s">
        <v>64</v>
      </c>
      <c r="N499" s="115" t="s">
        <v>41</v>
      </c>
      <c r="O499" s="118"/>
      <c r="P499" s="119" t="s">
        <v>51</v>
      </c>
      <c r="Q499" s="270" t="s">
        <v>65</v>
      </c>
      <c r="R499" s="270"/>
      <c r="S499" s="270"/>
      <c r="T499" s="115" t="s">
        <v>41</v>
      </c>
      <c r="U499" s="281"/>
      <c r="V499" s="281"/>
      <c r="W499" s="123" t="s">
        <v>47</v>
      </c>
      <c r="X499" s="124"/>
    </row>
    <row r="500" spans="1:24" ht="18.75" customHeight="1">
      <c r="A500" s="126" t="s">
        <v>66</v>
      </c>
      <c r="B500" s="115"/>
      <c r="C500" s="118" t="e">
        <f>'[9]LUONG T7'!M34</f>
        <v>#REF!</v>
      </c>
      <c r="D500" s="119" t="s">
        <v>60</v>
      </c>
      <c r="E500" s="270" t="s">
        <v>67</v>
      </c>
      <c r="F500" s="270"/>
      <c r="G500" s="270"/>
      <c r="H500" s="115" t="s">
        <v>41</v>
      </c>
      <c r="I500" s="281" t="e">
        <f>$F$8*C500/8/$L$1</f>
        <v>#REF!</v>
      </c>
      <c r="J500" s="281"/>
      <c r="K500" s="123" t="s">
        <v>47</v>
      </c>
      <c r="L500" s="124"/>
      <c r="M500" s="126" t="s">
        <v>66</v>
      </c>
      <c r="N500" s="115"/>
      <c r="O500" s="118" t="e">
        <f>'[9]LUONG T7'!M36</f>
        <v>#REF!</v>
      </c>
      <c r="P500" s="119" t="s">
        <v>60</v>
      </c>
      <c r="Q500" s="270" t="s">
        <v>67</v>
      </c>
      <c r="R500" s="270"/>
      <c r="S500" s="270"/>
      <c r="T500" s="115" t="s">
        <v>41</v>
      </c>
      <c r="U500" s="281" t="e">
        <f>$F$8*O500/8/$L$1</f>
        <v>#REF!</v>
      </c>
      <c r="V500" s="281"/>
      <c r="W500" s="123" t="s">
        <v>47</v>
      </c>
      <c r="X500" s="124"/>
    </row>
    <row r="501" spans="1:24" ht="18.75" customHeight="1">
      <c r="A501" s="117" t="s">
        <v>68</v>
      </c>
      <c r="B501" s="115" t="s">
        <v>41</v>
      </c>
      <c r="C501" s="118"/>
      <c r="D501" s="119" t="s">
        <v>60</v>
      </c>
      <c r="E501" s="270" t="s">
        <v>92</v>
      </c>
      <c r="F501" s="270"/>
      <c r="G501" s="270"/>
      <c r="H501" s="115" t="s">
        <v>41</v>
      </c>
      <c r="I501" s="283"/>
      <c r="J501" s="283"/>
      <c r="K501" s="123" t="s">
        <v>47</v>
      </c>
      <c r="L501" s="124"/>
      <c r="M501" s="117" t="s">
        <v>68</v>
      </c>
      <c r="N501" s="115" t="s">
        <v>41</v>
      </c>
      <c r="O501" s="118"/>
      <c r="P501" s="119" t="s">
        <v>60</v>
      </c>
      <c r="Q501" s="270" t="s">
        <v>92</v>
      </c>
      <c r="R501" s="270"/>
      <c r="S501" s="270"/>
      <c r="T501" s="115" t="s">
        <v>41</v>
      </c>
      <c r="U501" s="283"/>
      <c r="V501" s="283"/>
      <c r="W501" s="123" t="s">
        <v>47</v>
      </c>
      <c r="X501" s="124"/>
    </row>
    <row r="502" spans="1:24" ht="18.75" customHeight="1">
      <c r="A502" s="117" t="s">
        <v>70</v>
      </c>
      <c r="B502" s="115" t="s">
        <v>41</v>
      </c>
      <c r="C502" s="118"/>
      <c r="D502" s="119" t="s">
        <v>71</v>
      </c>
      <c r="E502" s="127" t="s">
        <v>72</v>
      </c>
      <c r="F502" s="127"/>
      <c r="G502" s="127"/>
      <c r="H502" s="115" t="s">
        <v>41</v>
      </c>
      <c r="I502" s="281"/>
      <c r="J502" s="281"/>
      <c r="K502" s="123" t="s">
        <v>47</v>
      </c>
      <c r="L502" s="124" t="e">
        <f>+IF(L493-I493&lt;0,0,L493-I493)+IF(L497-I497&lt;0,0,L497-I497)</f>
        <v>#REF!</v>
      </c>
      <c r="M502" s="117" t="s">
        <v>70</v>
      </c>
      <c r="N502" s="115" t="s">
        <v>41</v>
      </c>
      <c r="O502" s="118"/>
      <c r="P502" s="119" t="s">
        <v>71</v>
      </c>
      <c r="Q502" s="127" t="s">
        <v>72</v>
      </c>
      <c r="R502" s="127"/>
      <c r="S502" s="127"/>
      <c r="T502" s="115" t="s">
        <v>41</v>
      </c>
      <c r="U502" s="281"/>
      <c r="V502" s="281"/>
      <c r="W502" s="123" t="s">
        <v>47</v>
      </c>
      <c r="X502" s="124" t="e">
        <f>+IF(X493-U493&lt;0,0,X493-U493)+IF(X497-U497&lt;0,0,X497-U497)</f>
        <v>#REF!</v>
      </c>
    </row>
    <row r="503" spans="1:24" ht="18.75" customHeight="1">
      <c r="A503" s="128" t="s">
        <v>117</v>
      </c>
      <c r="B503" s="129"/>
      <c r="C503" s="118"/>
      <c r="D503" s="119" t="s">
        <v>51</v>
      </c>
      <c r="E503" s="270" t="s">
        <v>118</v>
      </c>
      <c r="F503" s="270"/>
      <c r="G503" s="270"/>
      <c r="H503" s="115" t="s">
        <v>41</v>
      </c>
      <c r="I503" s="281"/>
      <c r="J503" s="281"/>
      <c r="K503" s="123" t="s">
        <v>47</v>
      </c>
      <c r="L503" s="124"/>
      <c r="M503" s="128" t="s">
        <v>117</v>
      </c>
      <c r="N503" s="129"/>
      <c r="O503" s="118"/>
      <c r="P503" s="119" t="s">
        <v>51</v>
      </c>
      <c r="Q503" s="270" t="s">
        <v>118</v>
      </c>
      <c r="R503" s="270"/>
      <c r="S503" s="270"/>
      <c r="T503" s="115" t="s">
        <v>41</v>
      </c>
      <c r="U503" s="281"/>
      <c r="V503" s="281"/>
      <c r="W503" s="123" t="s">
        <v>47</v>
      </c>
      <c r="X503" s="124"/>
    </row>
    <row r="504" spans="1:24" ht="18.75" customHeight="1">
      <c r="A504" s="288" t="s">
        <v>75</v>
      </c>
      <c r="B504" s="282"/>
      <c r="C504" s="118"/>
      <c r="D504" s="119"/>
      <c r="E504" s="120"/>
      <c r="F504" s="120"/>
      <c r="G504" s="120"/>
      <c r="H504" s="115" t="s">
        <v>41</v>
      </c>
      <c r="I504" s="281" t="e">
        <f>'[9]LUONG T7'!P35</f>
        <v>#REF!</v>
      </c>
      <c r="J504" s="281"/>
      <c r="K504" s="123" t="s">
        <v>47</v>
      </c>
      <c r="L504" s="124"/>
      <c r="M504" s="288" t="s">
        <v>75</v>
      </c>
      <c r="N504" s="282"/>
      <c r="O504" s="118"/>
      <c r="P504" s="119"/>
      <c r="Q504" s="120"/>
      <c r="R504" s="120"/>
      <c r="S504" s="120"/>
      <c r="T504" s="115" t="s">
        <v>41</v>
      </c>
      <c r="U504" s="281" t="e">
        <f>'[9]LUONG T7'!P37</f>
        <v>#REF!</v>
      </c>
      <c r="V504" s="281"/>
      <c r="W504" s="123" t="s">
        <v>47</v>
      </c>
      <c r="X504" s="124"/>
    </row>
    <row r="505" spans="1:24" ht="18.75" customHeight="1">
      <c r="A505" s="117" t="s">
        <v>76</v>
      </c>
      <c r="B505" s="115" t="s">
        <v>41</v>
      </c>
      <c r="C505" s="118"/>
      <c r="D505" s="119"/>
      <c r="E505" s="120" t="s">
        <v>77</v>
      </c>
      <c r="F505" s="120"/>
      <c r="G505" s="120"/>
      <c r="H505" s="115" t="s">
        <v>41</v>
      </c>
      <c r="I505" s="281" t="e">
        <f>L502</f>
        <v>#REF!</v>
      </c>
      <c r="J505" s="281"/>
      <c r="K505" s="123" t="s">
        <v>47</v>
      </c>
      <c r="L505" s="124"/>
      <c r="M505" s="117" t="s">
        <v>76</v>
      </c>
      <c r="N505" s="115" t="s">
        <v>41</v>
      </c>
      <c r="O505" s="118"/>
      <c r="P505" s="119"/>
      <c r="Q505" s="120" t="s">
        <v>77</v>
      </c>
      <c r="R505" s="120"/>
      <c r="S505" s="120"/>
      <c r="T505" s="115" t="s">
        <v>41</v>
      </c>
      <c r="U505" s="281" t="e">
        <f>X502</f>
        <v>#REF!</v>
      </c>
      <c r="V505" s="281"/>
      <c r="W505" s="123" t="s">
        <v>47</v>
      </c>
      <c r="X505" s="124"/>
    </row>
    <row r="506" spans="1:24" ht="18.75" customHeight="1">
      <c r="A506" s="285" t="s">
        <v>78</v>
      </c>
      <c r="B506" s="286"/>
      <c r="C506" s="286"/>
      <c r="D506" s="286"/>
      <c r="E506" s="286"/>
      <c r="F506" s="286"/>
      <c r="G506" s="115" t="s">
        <v>41</v>
      </c>
      <c r="H506" s="287" t="e">
        <f>I493+I494+I495+I496+I497+I500+I504+I505</f>
        <v>#REF!</v>
      </c>
      <c r="I506" s="287"/>
      <c r="J506" s="287"/>
      <c r="K506" s="123" t="s">
        <v>47</v>
      </c>
      <c r="M506" s="285" t="s">
        <v>78</v>
      </c>
      <c r="N506" s="286"/>
      <c r="O506" s="286"/>
      <c r="P506" s="286"/>
      <c r="Q506" s="286"/>
      <c r="R506" s="286"/>
      <c r="S506" s="115" t="s">
        <v>41</v>
      </c>
      <c r="T506" s="287" t="e">
        <f>U493+U494+U495+U496+U497+U500+U504+U505</f>
        <v>#REF!</v>
      </c>
      <c r="U506" s="287"/>
      <c r="V506" s="287"/>
      <c r="W506" s="123" t="s">
        <v>47</v>
      </c>
    </row>
    <row r="507" spans="1:24" ht="18.75" customHeight="1">
      <c r="A507" s="130"/>
      <c r="B507" s="131"/>
      <c r="C507" s="131"/>
      <c r="D507" s="131"/>
      <c r="E507" s="131"/>
      <c r="F507" s="131"/>
      <c r="G507" s="131"/>
      <c r="H507" s="131"/>
      <c r="I507" s="131"/>
      <c r="J507" s="131"/>
      <c r="K507" s="132"/>
      <c r="M507" s="130"/>
      <c r="N507" s="131"/>
      <c r="O507" s="131"/>
      <c r="P507" s="131"/>
      <c r="Q507" s="131"/>
      <c r="R507" s="131"/>
      <c r="S507" s="131"/>
      <c r="T507" s="131"/>
      <c r="U507" s="131"/>
      <c r="V507" s="131"/>
      <c r="W507" s="132"/>
    </row>
    <row r="508" spans="1:24" ht="18.75" customHeight="1">
      <c r="A508" s="295" t="s">
        <v>79</v>
      </c>
      <c r="B508" s="296"/>
      <c r="C508" s="296"/>
      <c r="D508" s="296"/>
      <c r="E508" s="296"/>
      <c r="F508" s="296"/>
      <c r="G508" s="115"/>
      <c r="H508" s="115"/>
      <c r="I508" s="115"/>
      <c r="J508" s="115"/>
      <c r="K508" s="123"/>
      <c r="M508" s="295" t="s">
        <v>79</v>
      </c>
      <c r="N508" s="296"/>
      <c r="O508" s="296"/>
      <c r="P508" s="296"/>
      <c r="Q508" s="296"/>
      <c r="R508" s="296"/>
      <c r="S508" s="115"/>
      <c r="T508" s="115"/>
      <c r="U508" s="115"/>
      <c r="V508" s="115"/>
      <c r="W508" s="123"/>
    </row>
    <row r="509" spans="1:24" ht="18.75" customHeight="1">
      <c r="A509" s="289" t="s">
        <v>80</v>
      </c>
      <c r="B509" s="290"/>
      <c r="C509" s="290"/>
      <c r="D509" s="290"/>
      <c r="E509" s="290"/>
      <c r="F509" s="290"/>
      <c r="G509" s="115" t="s">
        <v>41</v>
      </c>
      <c r="H509" s="297" t="e">
        <f>IF(($L$1-(C493+C494+C495+C496))&gt;12,0,F490*8%)</f>
        <v>#REF!</v>
      </c>
      <c r="I509" s="297"/>
      <c r="J509" s="297"/>
      <c r="K509" s="123" t="s">
        <v>47</v>
      </c>
      <c r="M509" s="289" t="s">
        <v>80</v>
      </c>
      <c r="N509" s="290"/>
      <c r="O509" s="290"/>
      <c r="P509" s="290"/>
      <c r="Q509" s="290"/>
      <c r="R509" s="290"/>
      <c r="S509" s="115" t="s">
        <v>41</v>
      </c>
      <c r="T509" s="297" t="e">
        <f>IF(($L$1-(O493+O494+O495+O496))&gt;12,0,R490*8%)</f>
        <v>#REF!</v>
      </c>
      <c r="U509" s="297"/>
      <c r="V509" s="297"/>
      <c r="W509" s="123" t="s">
        <v>47</v>
      </c>
    </row>
    <row r="510" spans="1:24" ht="18.75" customHeight="1">
      <c r="A510" s="289" t="s">
        <v>81</v>
      </c>
      <c r="B510" s="290"/>
      <c r="C510" s="290"/>
      <c r="D510" s="290"/>
      <c r="E510" s="290"/>
      <c r="F510" s="290"/>
      <c r="G510" s="115" t="s">
        <v>41</v>
      </c>
      <c r="H510" s="291" t="e">
        <f>IF(($L$1-(C493+C494+C495+C496))&gt;12,0,F490*1.5%)</f>
        <v>#REF!</v>
      </c>
      <c r="I510" s="291"/>
      <c r="J510" s="291"/>
      <c r="K510" s="123" t="s">
        <v>47</v>
      </c>
      <c r="M510" s="289" t="s">
        <v>81</v>
      </c>
      <c r="N510" s="290"/>
      <c r="O510" s="290"/>
      <c r="P510" s="290"/>
      <c r="Q510" s="290"/>
      <c r="R510" s="290"/>
      <c r="S510" s="115" t="s">
        <v>41</v>
      </c>
      <c r="T510" s="291" t="e">
        <f>IF(($L$1-(O493+O494+O495+O496))&gt;12,0,R490*1.5%)</f>
        <v>#REF!</v>
      </c>
      <c r="U510" s="291"/>
      <c r="V510" s="291"/>
      <c r="W510" s="123" t="s">
        <v>47</v>
      </c>
    </row>
    <row r="511" spans="1:24" ht="18.75" customHeight="1">
      <c r="A511" s="289" t="s">
        <v>82</v>
      </c>
      <c r="B511" s="290"/>
      <c r="C511" s="290"/>
      <c r="D511" s="290"/>
      <c r="E511" s="290"/>
      <c r="F511" s="290"/>
      <c r="G511" s="115" t="s">
        <v>41</v>
      </c>
      <c r="H511" s="291" t="e">
        <f>IF(($L$1-(C493+C494+C495+C496))&gt;12,0,F490*1%)</f>
        <v>#REF!</v>
      </c>
      <c r="I511" s="291"/>
      <c r="J511" s="291"/>
      <c r="K511" s="123" t="s">
        <v>47</v>
      </c>
      <c r="M511" s="289" t="s">
        <v>82</v>
      </c>
      <c r="N511" s="290"/>
      <c r="O511" s="290"/>
      <c r="P511" s="290"/>
      <c r="Q511" s="290"/>
      <c r="R511" s="290"/>
      <c r="S511" s="115" t="s">
        <v>41</v>
      </c>
      <c r="T511" s="291" t="e">
        <f>IF(($L$1-(O493+O494+O495+O496))&gt;12,0,R490*1%)</f>
        <v>#REF!</v>
      </c>
      <c r="U511" s="291"/>
      <c r="V511" s="291"/>
      <c r="W511" s="123" t="s">
        <v>47</v>
      </c>
    </row>
    <row r="512" spans="1:24" ht="18.75" customHeight="1">
      <c r="A512" s="289" t="s">
        <v>83</v>
      </c>
      <c r="B512" s="290"/>
      <c r="C512" s="290"/>
      <c r="D512" s="290"/>
      <c r="E512" s="290"/>
      <c r="F512" s="290"/>
      <c r="G512" s="115" t="s">
        <v>41</v>
      </c>
      <c r="H512" s="291">
        <v>0</v>
      </c>
      <c r="I512" s="291"/>
      <c r="J512" s="291"/>
      <c r="K512" s="123" t="s">
        <v>47</v>
      </c>
      <c r="M512" s="289" t="s">
        <v>83</v>
      </c>
      <c r="N512" s="290"/>
      <c r="O512" s="290"/>
      <c r="P512" s="290"/>
      <c r="Q512" s="290"/>
      <c r="R512" s="290"/>
      <c r="S512" s="115" t="s">
        <v>41</v>
      </c>
      <c r="T512" s="291">
        <v>0</v>
      </c>
      <c r="U512" s="291"/>
      <c r="V512" s="291"/>
      <c r="W512" s="123" t="s">
        <v>47</v>
      </c>
    </row>
    <row r="513" spans="1:24" ht="18.75" customHeight="1">
      <c r="A513" s="292" t="s">
        <v>84</v>
      </c>
      <c r="B513" s="293"/>
      <c r="C513" s="293"/>
      <c r="D513" s="293"/>
      <c r="E513" s="293"/>
      <c r="F513" s="293"/>
      <c r="G513" s="115" t="s">
        <v>41</v>
      </c>
      <c r="H513" s="294" t="e">
        <f>SUM(H509:J512)</f>
        <v>#REF!</v>
      </c>
      <c r="I513" s="294"/>
      <c r="J513" s="294"/>
      <c r="K513" s="123" t="s">
        <v>47</v>
      </c>
      <c r="M513" s="292" t="s">
        <v>84</v>
      </c>
      <c r="N513" s="293"/>
      <c r="O513" s="293"/>
      <c r="P513" s="293"/>
      <c r="Q513" s="293"/>
      <c r="R513" s="293"/>
      <c r="S513" s="115" t="s">
        <v>41</v>
      </c>
      <c r="T513" s="294" t="e">
        <f>SUM(T509:V512)</f>
        <v>#REF!</v>
      </c>
      <c r="U513" s="294"/>
      <c r="V513" s="294"/>
      <c r="W513" s="123" t="s">
        <v>47</v>
      </c>
    </row>
    <row r="514" spans="1:24" ht="18.75" customHeight="1">
      <c r="A514" s="289" t="s">
        <v>85</v>
      </c>
      <c r="B514" s="290"/>
      <c r="C514" s="290"/>
      <c r="D514" s="290"/>
      <c r="E514" s="290"/>
      <c r="F514" s="290"/>
      <c r="G514" s="115" t="s">
        <v>41</v>
      </c>
      <c r="H514" s="301" t="e">
        <f>ROUND(H506-H513,-2)</f>
        <v>#REF!</v>
      </c>
      <c r="I514" s="301"/>
      <c r="J514" s="301"/>
      <c r="K514" s="123" t="s">
        <v>47</v>
      </c>
      <c r="M514" s="289" t="s">
        <v>85</v>
      </c>
      <c r="N514" s="290"/>
      <c r="O514" s="290"/>
      <c r="P514" s="290"/>
      <c r="Q514" s="290"/>
      <c r="R514" s="290"/>
      <c r="S514" s="115" t="s">
        <v>41</v>
      </c>
      <c r="T514" s="301" t="e">
        <f>ROUND(T506-T513,-2)</f>
        <v>#REF!</v>
      </c>
      <c r="U514" s="301"/>
      <c r="V514" s="301"/>
      <c r="W514" s="123" t="s">
        <v>47</v>
      </c>
    </row>
    <row r="515" spans="1:24" ht="18.75" customHeight="1">
      <c r="A515" s="133"/>
      <c r="B515" s="134"/>
      <c r="C515" s="134"/>
      <c r="D515" s="134"/>
      <c r="E515" s="134"/>
      <c r="F515" s="134"/>
      <c r="G515" s="134"/>
      <c r="H515" s="134"/>
      <c r="I515" s="134"/>
      <c r="J515" s="134"/>
      <c r="K515" s="135"/>
      <c r="M515" s="133"/>
      <c r="N515" s="134"/>
      <c r="O515" s="134"/>
      <c r="P515" s="134"/>
      <c r="Q515" s="134"/>
      <c r="R515" s="134"/>
      <c r="S515" s="134"/>
      <c r="T515" s="134"/>
      <c r="U515" s="134"/>
      <c r="V515" s="134"/>
      <c r="W515" s="135"/>
    </row>
    <row r="516" spans="1:24" ht="18.75" customHeight="1">
      <c r="A516" s="136"/>
      <c r="B516" s="115"/>
      <c r="C516" s="115"/>
      <c r="D516" s="115"/>
      <c r="E516" s="115"/>
      <c r="F516" s="115"/>
      <c r="G516" s="115"/>
      <c r="H516" s="115"/>
      <c r="I516" s="298" t="s">
        <v>86</v>
      </c>
      <c r="J516" s="298"/>
      <c r="K516" s="302"/>
      <c r="M516" s="136"/>
      <c r="N516" s="115"/>
      <c r="O516" s="115"/>
      <c r="P516" s="115"/>
      <c r="Q516" s="115"/>
      <c r="R516" s="115"/>
      <c r="S516" s="115"/>
      <c r="T516" s="115"/>
      <c r="U516" s="298" t="s">
        <v>86</v>
      </c>
      <c r="V516" s="298"/>
      <c r="W516" s="302"/>
    </row>
    <row r="517" spans="1:24" ht="18.75" customHeight="1">
      <c r="A517" s="136"/>
      <c r="B517" s="298"/>
      <c r="C517" s="298"/>
      <c r="D517" s="298"/>
      <c r="E517" s="298"/>
      <c r="F517" s="115"/>
      <c r="G517" s="115"/>
      <c r="H517" s="115"/>
      <c r="I517" s="115"/>
      <c r="J517" s="115"/>
      <c r="K517" s="116"/>
      <c r="M517" s="136"/>
      <c r="N517" s="298"/>
      <c r="O517" s="298"/>
      <c r="P517" s="298"/>
      <c r="Q517" s="298"/>
      <c r="R517" s="115"/>
      <c r="S517" s="115"/>
      <c r="T517" s="115"/>
      <c r="U517" s="115"/>
      <c r="V517" s="115"/>
      <c r="W517" s="116"/>
    </row>
    <row r="518" spans="1:24" ht="18.75" customHeight="1" thickBot="1">
      <c r="A518" s="137"/>
      <c r="B518" s="138"/>
      <c r="C518" s="138"/>
      <c r="D518" s="138"/>
      <c r="E518" s="138"/>
      <c r="F518" s="138"/>
      <c r="G518" s="138"/>
      <c r="H518" s="138"/>
      <c r="I518" s="299" t="s">
        <v>87</v>
      </c>
      <c r="J518" s="299"/>
      <c r="K518" s="300"/>
      <c r="M518" s="137"/>
      <c r="N518" s="138"/>
      <c r="O518" s="138"/>
      <c r="P518" s="138"/>
      <c r="Q518" s="138"/>
      <c r="R518" s="138"/>
      <c r="S518" s="138"/>
      <c r="T518" s="138"/>
      <c r="U518" s="299" t="s">
        <v>87</v>
      </c>
      <c r="V518" s="299"/>
      <c r="W518" s="300"/>
    </row>
    <row r="520" spans="1:24" ht="18.75" customHeight="1" thickTop="1">
      <c r="A520" s="274" t="s">
        <v>35</v>
      </c>
      <c r="B520" s="275"/>
      <c r="C520" s="275"/>
      <c r="D520" s="275"/>
      <c r="E520" s="275"/>
      <c r="F520" s="275"/>
      <c r="G520" s="275"/>
      <c r="H520" s="275"/>
      <c r="I520" s="275"/>
      <c r="J520" s="275"/>
      <c r="K520" s="276"/>
      <c r="L520" s="111">
        <v>25</v>
      </c>
      <c r="M520" s="274" t="s">
        <v>35</v>
      </c>
      <c r="N520" s="275"/>
      <c r="O520" s="275"/>
      <c r="P520" s="275"/>
      <c r="Q520" s="275"/>
      <c r="R520" s="275"/>
      <c r="S520" s="275"/>
      <c r="T520" s="275"/>
      <c r="U520" s="275"/>
      <c r="V520" s="275"/>
      <c r="W520" s="276"/>
      <c r="X520" s="111">
        <v>25</v>
      </c>
    </row>
    <row r="521" spans="1:24" ht="18.75" customHeight="1">
      <c r="A521" s="112" t="s">
        <v>131</v>
      </c>
      <c r="B521" s="113"/>
      <c r="C521" s="113"/>
      <c r="D521" s="113"/>
      <c r="E521" s="113"/>
      <c r="F521" s="113"/>
      <c r="G521" s="113"/>
      <c r="H521" s="113"/>
      <c r="I521" s="113"/>
      <c r="J521" s="113"/>
      <c r="K521" s="114"/>
      <c r="M521" s="112" t="s">
        <v>132</v>
      </c>
      <c r="N521" s="113"/>
      <c r="O521" s="113"/>
      <c r="P521" s="113"/>
      <c r="Q521" s="113"/>
      <c r="R521" s="113"/>
      <c r="S521" s="113"/>
      <c r="T521" s="113"/>
      <c r="U521" s="113"/>
      <c r="V521" s="113"/>
      <c r="W521" s="114"/>
    </row>
    <row r="522" spans="1:24" ht="18.75" customHeight="1">
      <c r="A522" s="277" t="s">
        <v>39</v>
      </c>
      <c r="B522" s="278"/>
      <c r="C522" s="278"/>
      <c r="D522" s="278"/>
      <c r="E522" s="278"/>
      <c r="F522" s="278"/>
      <c r="G522" s="278"/>
      <c r="H522" s="278"/>
      <c r="I522" s="278"/>
      <c r="J522" s="278"/>
      <c r="K522" s="279"/>
      <c r="M522" s="277" t="s">
        <v>39</v>
      </c>
      <c r="N522" s="278"/>
      <c r="O522" s="278"/>
      <c r="P522" s="278"/>
      <c r="Q522" s="278"/>
      <c r="R522" s="278"/>
      <c r="S522" s="278"/>
      <c r="T522" s="278"/>
      <c r="U522" s="278"/>
      <c r="V522" s="278"/>
      <c r="W522" s="279"/>
    </row>
    <row r="523" spans="1:24" ht="18.75" customHeight="1">
      <c r="A523" s="269" t="s">
        <v>40</v>
      </c>
      <c r="B523" s="270"/>
      <c r="C523" s="270"/>
      <c r="D523" s="270"/>
      <c r="E523" s="115" t="s">
        <v>41</v>
      </c>
      <c r="F523" s="271" t="e">
        <f>'[9]Bang TH nop'!B59</f>
        <v>#REF!</v>
      </c>
      <c r="G523" s="270"/>
      <c r="H523" s="270"/>
      <c r="I523" s="270"/>
      <c r="J523" s="270"/>
      <c r="K523" s="273"/>
      <c r="M523" s="269" t="s">
        <v>40</v>
      </c>
      <c r="N523" s="270"/>
      <c r="O523" s="270"/>
      <c r="P523" s="270"/>
      <c r="Q523" s="115" t="s">
        <v>41</v>
      </c>
      <c r="R523" s="271" t="e">
        <f>'[9]Bang TH nop'!B61</f>
        <v>#REF!</v>
      </c>
      <c r="S523" s="270"/>
      <c r="T523" s="270"/>
      <c r="U523" s="270"/>
      <c r="V523" s="270"/>
      <c r="W523" s="273"/>
    </row>
    <row r="524" spans="1:24" ht="18.75" customHeight="1">
      <c r="A524" s="269" t="s">
        <v>43</v>
      </c>
      <c r="B524" s="270"/>
      <c r="C524" s="270"/>
      <c r="D524" s="270"/>
      <c r="E524" s="115" t="s">
        <v>41</v>
      </c>
      <c r="F524" s="271" t="e">
        <f>'[9]Bang TH nop'!C59</f>
        <v>#REF!</v>
      </c>
      <c r="G524" s="271"/>
      <c r="H524" s="271"/>
      <c r="I524" s="271"/>
      <c r="J524" s="271"/>
      <c r="K524" s="272"/>
      <c r="M524" s="269" t="s">
        <v>43</v>
      </c>
      <c r="N524" s="270"/>
      <c r="O524" s="270"/>
      <c r="P524" s="270"/>
      <c r="Q524" s="115" t="s">
        <v>41</v>
      </c>
      <c r="R524" s="271" t="e">
        <f>'[9]Bang TH nop'!C61</f>
        <v>#REF!</v>
      </c>
      <c r="S524" s="271"/>
      <c r="T524" s="271"/>
      <c r="U524" s="271"/>
      <c r="V524" s="271"/>
      <c r="W524" s="272"/>
    </row>
    <row r="525" spans="1:24" ht="18.75" customHeight="1">
      <c r="A525" s="269" t="s">
        <v>44</v>
      </c>
      <c r="B525" s="270"/>
      <c r="C525" s="270"/>
      <c r="D525" s="270"/>
      <c r="E525" s="115" t="s">
        <v>41</v>
      </c>
      <c r="F525" s="270" t="s">
        <v>116</v>
      </c>
      <c r="G525" s="270"/>
      <c r="H525" s="270"/>
      <c r="I525" s="270"/>
      <c r="J525" s="270"/>
      <c r="K525" s="273"/>
      <c r="M525" s="269" t="s">
        <v>44</v>
      </c>
      <c r="N525" s="270"/>
      <c r="O525" s="270"/>
      <c r="P525" s="270"/>
      <c r="Q525" s="115" t="s">
        <v>41</v>
      </c>
      <c r="R525" s="270" t="s">
        <v>116</v>
      </c>
      <c r="S525" s="270"/>
      <c r="T525" s="270"/>
      <c r="U525" s="270"/>
      <c r="V525" s="270"/>
      <c r="W525" s="273"/>
    </row>
    <row r="526" spans="1:24" ht="18.75" customHeight="1">
      <c r="A526" s="277" t="s">
        <v>45</v>
      </c>
      <c r="B526" s="278"/>
      <c r="C526" s="278"/>
      <c r="D526" s="278"/>
      <c r="E526" s="278"/>
      <c r="F526" s="278"/>
      <c r="G526" s="278"/>
      <c r="H526" s="278"/>
      <c r="I526" s="278"/>
      <c r="J526" s="278"/>
      <c r="K526" s="279"/>
      <c r="M526" s="277" t="s">
        <v>45</v>
      </c>
      <c r="N526" s="278"/>
      <c r="O526" s="278"/>
      <c r="P526" s="278"/>
      <c r="Q526" s="278"/>
      <c r="R526" s="278"/>
      <c r="S526" s="278"/>
      <c r="T526" s="278"/>
      <c r="U526" s="278"/>
      <c r="V526" s="278"/>
      <c r="W526" s="279"/>
    </row>
    <row r="527" spans="1:24" ht="18.75" customHeight="1">
      <c r="A527" s="269" t="s">
        <v>46</v>
      </c>
      <c r="B527" s="270"/>
      <c r="C527" s="270"/>
      <c r="D527" s="270"/>
      <c r="E527" s="115" t="s">
        <v>41</v>
      </c>
      <c r="F527" s="284">
        <v>2915400</v>
      </c>
      <c r="G527" s="284"/>
      <c r="H527" s="284"/>
      <c r="I527" s="284"/>
      <c r="J527" s="115" t="s">
        <v>47</v>
      </c>
      <c r="K527" s="116"/>
      <c r="M527" s="269" t="s">
        <v>46</v>
      </c>
      <c r="N527" s="270"/>
      <c r="O527" s="270"/>
      <c r="P527" s="270"/>
      <c r="Q527" s="115" t="s">
        <v>41</v>
      </c>
      <c r="R527" s="284">
        <v>2915400</v>
      </c>
      <c r="S527" s="284"/>
      <c r="T527" s="284"/>
      <c r="U527" s="284"/>
      <c r="V527" s="115" t="s">
        <v>47</v>
      </c>
      <c r="W527" s="116"/>
    </row>
    <row r="528" spans="1:24" ht="18.75" customHeight="1">
      <c r="A528" s="117" t="s">
        <v>48</v>
      </c>
      <c r="B528" s="115"/>
      <c r="C528" s="118"/>
      <c r="D528" s="119"/>
      <c r="E528" s="120"/>
      <c r="F528" s="120"/>
      <c r="G528" s="120"/>
      <c r="H528" s="115"/>
      <c r="I528" s="121" t="e">
        <f>'[9]LUONG T7'!F39</f>
        <v>#REF!</v>
      </c>
      <c r="J528" s="122"/>
      <c r="K528" s="123"/>
      <c r="M528" s="117" t="s">
        <v>48</v>
      </c>
      <c r="N528" s="115"/>
      <c r="O528" s="118"/>
      <c r="P528" s="119"/>
      <c r="Q528" s="120"/>
      <c r="R528" s="120"/>
      <c r="S528" s="120"/>
      <c r="T528" s="115"/>
      <c r="U528" s="121" t="e">
        <f>'[9]LUONG T7'!F41</f>
        <v>#REF!</v>
      </c>
      <c r="V528" s="122"/>
      <c r="W528" s="123"/>
    </row>
    <row r="529" spans="1:24" ht="18.75" customHeight="1">
      <c r="A529" s="117" t="s">
        <v>49</v>
      </c>
      <c r="B529" s="115"/>
      <c r="C529" s="118"/>
      <c r="D529" s="119"/>
      <c r="E529" s="120"/>
      <c r="F529" s="120"/>
      <c r="G529" s="120"/>
      <c r="H529" s="115"/>
      <c r="I529" s="121" t="e">
        <f>I530/C530/8</f>
        <v>#REF!</v>
      </c>
      <c r="J529" s="122"/>
      <c r="K529" s="123"/>
      <c r="M529" s="117" t="s">
        <v>49</v>
      </c>
      <c r="N529" s="115"/>
      <c r="O529" s="118"/>
      <c r="P529" s="119"/>
      <c r="Q529" s="120"/>
      <c r="R529" s="120"/>
      <c r="S529" s="120"/>
      <c r="T529" s="115"/>
      <c r="U529" s="121" t="e">
        <f>U530/O530/8</f>
        <v>#REF!</v>
      </c>
      <c r="V529" s="122"/>
      <c r="W529" s="123"/>
    </row>
    <row r="530" spans="1:24" ht="18.75" customHeight="1">
      <c r="A530" s="117" t="s">
        <v>50</v>
      </c>
      <c r="B530" s="115" t="s">
        <v>41</v>
      </c>
      <c r="C530" s="118" t="e">
        <f>'[9]LUONG T7'!I38</f>
        <v>#REF!</v>
      </c>
      <c r="D530" s="119" t="s">
        <v>51</v>
      </c>
      <c r="E530" s="282" t="s">
        <v>52</v>
      </c>
      <c r="F530" s="282"/>
      <c r="G530" s="282"/>
      <c r="H530" s="115" t="s">
        <v>41</v>
      </c>
      <c r="I530" s="283" t="e">
        <f>'[9]LUONG T7'!I39</f>
        <v>#REF!</v>
      </c>
      <c r="J530" s="283"/>
      <c r="K530" s="123" t="s">
        <v>47</v>
      </c>
      <c r="L530" s="124" t="e">
        <f>F527/L520*C530</f>
        <v>#REF!</v>
      </c>
      <c r="M530" s="117" t="s">
        <v>50</v>
      </c>
      <c r="N530" s="115" t="s">
        <v>41</v>
      </c>
      <c r="O530" s="118" t="e">
        <f>'[9]LUONG T7'!I40</f>
        <v>#REF!</v>
      </c>
      <c r="P530" s="119" t="s">
        <v>51</v>
      </c>
      <c r="Q530" s="282" t="s">
        <v>52</v>
      </c>
      <c r="R530" s="282"/>
      <c r="S530" s="282"/>
      <c r="T530" s="115" t="s">
        <v>41</v>
      </c>
      <c r="U530" s="283" t="e">
        <f>'[9]LUONG T7'!I41</f>
        <v>#REF!</v>
      </c>
      <c r="V530" s="283"/>
      <c r="W530" s="123" t="s">
        <v>47</v>
      </c>
      <c r="X530" s="124" t="e">
        <f>R527/X520*O530</f>
        <v>#REF!</v>
      </c>
    </row>
    <row r="531" spans="1:24" ht="18.75" customHeight="1">
      <c r="A531" s="117" t="s">
        <v>53</v>
      </c>
      <c r="B531" s="115" t="s">
        <v>41</v>
      </c>
      <c r="C531" s="118" t="e">
        <f>'[9]LUONG T7'!J38</f>
        <v>#REF!</v>
      </c>
      <c r="D531" s="119" t="s">
        <v>51</v>
      </c>
      <c r="E531" s="270" t="s">
        <v>54</v>
      </c>
      <c r="F531" s="270"/>
      <c r="G531" s="270"/>
      <c r="H531" s="115" t="s">
        <v>41</v>
      </c>
      <c r="I531" s="281" t="e">
        <f>$F$8/$L$1*C531</f>
        <v>#REF!</v>
      </c>
      <c r="J531" s="281"/>
      <c r="K531" s="123" t="s">
        <v>47</v>
      </c>
      <c r="L531" s="124"/>
      <c r="M531" s="117" t="s">
        <v>53</v>
      </c>
      <c r="N531" s="115" t="s">
        <v>41</v>
      </c>
      <c r="O531" s="118" t="e">
        <f>'[9]LUONG T7'!J40</f>
        <v>#REF!</v>
      </c>
      <c r="P531" s="119" t="s">
        <v>51</v>
      </c>
      <c r="Q531" s="270" t="s">
        <v>54</v>
      </c>
      <c r="R531" s="270"/>
      <c r="S531" s="270"/>
      <c r="T531" s="115" t="s">
        <v>41</v>
      </c>
      <c r="U531" s="281" t="e">
        <f>$F$8/$L$1*O531</f>
        <v>#REF!</v>
      </c>
      <c r="V531" s="281"/>
      <c r="W531" s="123" t="s">
        <v>47</v>
      </c>
      <c r="X531" s="124"/>
    </row>
    <row r="532" spans="1:24" ht="18.75" customHeight="1">
      <c r="A532" s="117" t="s">
        <v>55</v>
      </c>
      <c r="B532" s="115" t="s">
        <v>41</v>
      </c>
      <c r="C532" s="118" t="e">
        <f>'[9]LUONG T7'!K38</f>
        <v>#REF!</v>
      </c>
      <c r="D532" s="119" t="s">
        <v>51</v>
      </c>
      <c r="E532" s="280" t="s">
        <v>56</v>
      </c>
      <c r="F532" s="280"/>
      <c r="G532" s="280"/>
      <c r="H532" s="115" t="s">
        <v>41</v>
      </c>
      <c r="I532" s="281" t="e">
        <f>$F$8/$L$1*C532</f>
        <v>#REF!</v>
      </c>
      <c r="J532" s="281"/>
      <c r="K532" s="123" t="s">
        <v>47</v>
      </c>
      <c r="L532" s="124"/>
      <c r="M532" s="117" t="s">
        <v>55</v>
      </c>
      <c r="N532" s="115" t="s">
        <v>41</v>
      </c>
      <c r="O532" s="118" t="e">
        <f>'[9]LUONG T7'!K40</f>
        <v>#REF!</v>
      </c>
      <c r="P532" s="119" t="s">
        <v>51</v>
      </c>
      <c r="Q532" s="280" t="s">
        <v>56</v>
      </c>
      <c r="R532" s="280"/>
      <c r="S532" s="280"/>
      <c r="T532" s="115" t="s">
        <v>41</v>
      </c>
      <c r="U532" s="281" t="e">
        <f>$F$8/$L$1*O532</f>
        <v>#REF!</v>
      </c>
      <c r="V532" s="281"/>
      <c r="W532" s="123" t="s">
        <v>47</v>
      </c>
      <c r="X532" s="124"/>
    </row>
    <row r="533" spans="1:24" ht="18.75" customHeight="1">
      <c r="A533" s="117" t="s">
        <v>57</v>
      </c>
      <c r="B533" s="115" t="s">
        <v>41</v>
      </c>
      <c r="C533" s="118" t="e">
        <f>'[9]LUONG T7'!L38</f>
        <v>#REF!</v>
      </c>
      <c r="D533" s="119" t="s">
        <v>51</v>
      </c>
      <c r="E533" s="280" t="s">
        <v>58</v>
      </c>
      <c r="F533" s="280"/>
      <c r="G533" s="280"/>
      <c r="H533" s="115" t="s">
        <v>41</v>
      </c>
      <c r="I533" s="281" t="e">
        <f>$F$8/$L$1*C533</f>
        <v>#REF!</v>
      </c>
      <c r="J533" s="281"/>
      <c r="K533" s="123" t="s">
        <v>47</v>
      </c>
      <c r="L533" s="124"/>
      <c r="M533" s="117" t="s">
        <v>57</v>
      </c>
      <c r="N533" s="115" t="s">
        <v>41</v>
      </c>
      <c r="O533" s="118" t="e">
        <f>'[9]LUONG T7'!L40</f>
        <v>#REF!</v>
      </c>
      <c r="P533" s="119" t="s">
        <v>51</v>
      </c>
      <c r="Q533" s="280" t="s">
        <v>58</v>
      </c>
      <c r="R533" s="280"/>
      <c r="S533" s="280"/>
      <c r="T533" s="115" t="s">
        <v>41</v>
      </c>
      <c r="U533" s="281" t="e">
        <f>$F$8/$L$1*O533</f>
        <v>#REF!</v>
      </c>
      <c r="V533" s="281"/>
      <c r="W533" s="123" t="s">
        <v>47</v>
      </c>
      <c r="X533" s="124"/>
    </row>
    <row r="534" spans="1:24" ht="18.75" customHeight="1">
      <c r="A534" s="117" t="s">
        <v>59</v>
      </c>
      <c r="B534" s="115" t="s">
        <v>41</v>
      </c>
      <c r="C534" s="118" t="e">
        <f>'[9]LUONG T7'!Q38</f>
        <v>#REF!</v>
      </c>
      <c r="D534" s="119" t="s">
        <v>60</v>
      </c>
      <c r="E534" s="270" t="s">
        <v>61</v>
      </c>
      <c r="F534" s="270"/>
      <c r="G534" s="270"/>
      <c r="H534" s="115" t="s">
        <v>41</v>
      </c>
      <c r="I534" s="281" t="e">
        <f>'[9]LUONG T7'!Q39</f>
        <v>#REF!</v>
      </c>
      <c r="J534" s="281"/>
      <c r="K534" s="123" t="s">
        <v>47</v>
      </c>
      <c r="L534" s="124" t="e">
        <f>F527*C534/L520/8*1.5</f>
        <v>#REF!</v>
      </c>
      <c r="M534" s="117" t="s">
        <v>59</v>
      </c>
      <c r="N534" s="115" t="s">
        <v>41</v>
      </c>
      <c r="O534" s="118" t="e">
        <f>'[9]LUONG T7'!Q40</f>
        <v>#REF!</v>
      </c>
      <c r="P534" s="119" t="s">
        <v>60</v>
      </c>
      <c r="Q534" s="270" t="s">
        <v>61</v>
      </c>
      <c r="R534" s="270"/>
      <c r="S534" s="270"/>
      <c r="T534" s="115" t="s">
        <v>41</v>
      </c>
      <c r="U534" s="281" t="e">
        <f>'[9]LUONG T7'!Q41</f>
        <v>#REF!</v>
      </c>
      <c r="V534" s="281"/>
      <c r="W534" s="123" t="s">
        <v>47</v>
      </c>
      <c r="X534" s="124" t="e">
        <f>R527*O534/X520/8*1.5</f>
        <v>#REF!</v>
      </c>
    </row>
    <row r="535" spans="1:24" ht="18.75" customHeight="1">
      <c r="A535" s="269" t="s">
        <v>62</v>
      </c>
      <c r="B535" s="270"/>
      <c r="C535" s="118"/>
      <c r="D535" s="119" t="s">
        <v>51</v>
      </c>
      <c r="E535" s="270" t="s">
        <v>63</v>
      </c>
      <c r="F535" s="270"/>
      <c r="G535" s="270"/>
      <c r="H535" s="125" t="s">
        <v>41</v>
      </c>
      <c r="I535" s="281"/>
      <c r="J535" s="281"/>
      <c r="K535" s="123" t="s">
        <v>47</v>
      </c>
      <c r="L535" s="124"/>
      <c r="M535" s="269" t="s">
        <v>62</v>
      </c>
      <c r="N535" s="270"/>
      <c r="O535" s="118"/>
      <c r="P535" s="119" t="s">
        <v>51</v>
      </c>
      <c r="Q535" s="270" t="s">
        <v>63</v>
      </c>
      <c r="R535" s="270"/>
      <c r="S535" s="270"/>
      <c r="T535" s="125" t="s">
        <v>41</v>
      </c>
      <c r="U535" s="281"/>
      <c r="V535" s="281"/>
      <c r="W535" s="123" t="s">
        <v>47</v>
      </c>
      <c r="X535" s="124"/>
    </row>
    <row r="536" spans="1:24" ht="18.75" customHeight="1">
      <c r="A536" s="117" t="s">
        <v>64</v>
      </c>
      <c r="B536" s="115" t="s">
        <v>41</v>
      </c>
      <c r="C536" s="118"/>
      <c r="D536" s="119" t="s">
        <v>51</v>
      </c>
      <c r="E536" s="270" t="s">
        <v>65</v>
      </c>
      <c r="F536" s="270"/>
      <c r="G536" s="270"/>
      <c r="H536" s="115" t="s">
        <v>41</v>
      </c>
      <c r="I536" s="281"/>
      <c r="J536" s="281"/>
      <c r="K536" s="123" t="s">
        <v>47</v>
      </c>
      <c r="L536" s="124"/>
      <c r="M536" s="117" t="s">
        <v>64</v>
      </c>
      <c r="N536" s="115" t="s">
        <v>41</v>
      </c>
      <c r="O536" s="118"/>
      <c r="P536" s="119" t="s">
        <v>51</v>
      </c>
      <c r="Q536" s="270" t="s">
        <v>65</v>
      </c>
      <c r="R536" s="270"/>
      <c r="S536" s="270"/>
      <c r="T536" s="115" t="s">
        <v>41</v>
      </c>
      <c r="U536" s="281"/>
      <c r="V536" s="281"/>
      <c r="W536" s="123" t="s">
        <v>47</v>
      </c>
      <c r="X536" s="124"/>
    </row>
    <row r="537" spans="1:24" ht="18.75" customHeight="1">
      <c r="A537" s="126" t="s">
        <v>66</v>
      </c>
      <c r="B537" s="115"/>
      <c r="C537" s="118" t="e">
        <f>'[9]LUONG T7'!M38</f>
        <v>#REF!</v>
      </c>
      <c r="D537" s="119" t="s">
        <v>60</v>
      </c>
      <c r="E537" s="270" t="s">
        <v>67</v>
      </c>
      <c r="F537" s="270"/>
      <c r="G537" s="270"/>
      <c r="H537" s="115" t="s">
        <v>41</v>
      </c>
      <c r="I537" s="281" t="e">
        <f>$F$8*C537/8/$L$1</f>
        <v>#REF!</v>
      </c>
      <c r="J537" s="281"/>
      <c r="K537" s="123" t="s">
        <v>47</v>
      </c>
      <c r="L537" s="124"/>
      <c r="M537" s="126" t="s">
        <v>66</v>
      </c>
      <c r="N537" s="115"/>
      <c r="O537" s="118" t="e">
        <f>'[9]LUONG T7'!M40</f>
        <v>#REF!</v>
      </c>
      <c r="P537" s="119" t="s">
        <v>60</v>
      </c>
      <c r="Q537" s="270" t="s">
        <v>67</v>
      </c>
      <c r="R537" s="270"/>
      <c r="S537" s="270"/>
      <c r="T537" s="115" t="s">
        <v>41</v>
      </c>
      <c r="U537" s="281" t="e">
        <f>$F$8*O537/8/$L$1</f>
        <v>#REF!</v>
      </c>
      <c r="V537" s="281"/>
      <c r="W537" s="123" t="s">
        <v>47</v>
      </c>
      <c r="X537" s="124"/>
    </row>
    <row r="538" spans="1:24" ht="18.75" customHeight="1">
      <c r="A538" s="117" t="s">
        <v>68</v>
      </c>
      <c r="B538" s="115" t="s">
        <v>41</v>
      </c>
      <c r="C538" s="118"/>
      <c r="D538" s="119" t="s">
        <v>60</v>
      </c>
      <c r="E538" s="270" t="s">
        <v>92</v>
      </c>
      <c r="F538" s="270"/>
      <c r="G538" s="270"/>
      <c r="H538" s="115" t="s">
        <v>41</v>
      </c>
      <c r="I538" s="283"/>
      <c r="J538" s="283"/>
      <c r="K538" s="123" t="s">
        <v>47</v>
      </c>
      <c r="L538" s="124"/>
      <c r="M538" s="117" t="s">
        <v>68</v>
      </c>
      <c r="N538" s="115" t="s">
        <v>41</v>
      </c>
      <c r="O538" s="118"/>
      <c r="P538" s="119" t="s">
        <v>60</v>
      </c>
      <c r="Q538" s="270" t="s">
        <v>92</v>
      </c>
      <c r="R538" s="270"/>
      <c r="S538" s="270"/>
      <c r="T538" s="115" t="s">
        <v>41</v>
      </c>
      <c r="U538" s="283"/>
      <c r="V538" s="283"/>
      <c r="W538" s="123" t="s">
        <v>47</v>
      </c>
      <c r="X538" s="124"/>
    </row>
    <row r="539" spans="1:24" ht="18.75" customHeight="1">
      <c r="A539" s="117" t="s">
        <v>70</v>
      </c>
      <c r="B539" s="115" t="s">
        <v>41</v>
      </c>
      <c r="C539" s="118"/>
      <c r="D539" s="119" t="s">
        <v>71</v>
      </c>
      <c r="E539" s="127" t="s">
        <v>72</v>
      </c>
      <c r="F539" s="127"/>
      <c r="G539" s="127"/>
      <c r="H539" s="115" t="s">
        <v>41</v>
      </c>
      <c r="I539" s="281"/>
      <c r="J539" s="281"/>
      <c r="K539" s="123" t="s">
        <v>47</v>
      </c>
      <c r="L539" s="124" t="e">
        <f>+IF(L530-I530&lt;0,0,L530-I530)+IF(L534-I534&lt;0,0,L534-I534)</f>
        <v>#REF!</v>
      </c>
      <c r="M539" s="117" t="s">
        <v>70</v>
      </c>
      <c r="N539" s="115" t="s">
        <v>41</v>
      </c>
      <c r="O539" s="118"/>
      <c r="P539" s="119" t="s">
        <v>71</v>
      </c>
      <c r="Q539" s="127" t="s">
        <v>72</v>
      </c>
      <c r="R539" s="127"/>
      <c r="S539" s="127"/>
      <c r="T539" s="115" t="s">
        <v>41</v>
      </c>
      <c r="U539" s="281"/>
      <c r="V539" s="281"/>
      <c r="W539" s="123" t="s">
        <v>47</v>
      </c>
      <c r="X539" s="124" t="e">
        <f>+IF(X530-U530&lt;0,0,X530-U530)+IF(X534-U534&lt;0,0,X534-U534)</f>
        <v>#REF!</v>
      </c>
    </row>
    <row r="540" spans="1:24" ht="18.75" customHeight="1">
      <c r="A540" s="128" t="s">
        <v>117</v>
      </c>
      <c r="B540" s="129"/>
      <c r="C540" s="118"/>
      <c r="D540" s="119" t="s">
        <v>51</v>
      </c>
      <c r="E540" s="270" t="s">
        <v>118</v>
      </c>
      <c r="F540" s="270"/>
      <c r="G540" s="270"/>
      <c r="H540" s="115" t="s">
        <v>41</v>
      </c>
      <c r="I540" s="281"/>
      <c r="J540" s="281"/>
      <c r="K540" s="123" t="s">
        <v>47</v>
      </c>
      <c r="L540" s="124"/>
      <c r="M540" s="128" t="s">
        <v>117</v>
      </c>
      <c r="N540" s="129"/>
      <c r="O540" s="118"/>
      <c r="P540" s="119" t="s">
        <v>51</v>
      </c>
      <c r="Q540" s="270" t="s">
        <v>118</v>
      </c>
      <c r="R540" s="270"/>
      <c r="S540" s="270"/>
      <c r="T540" s="115" t="s">
        <v>41</v>
      </c>
      <c r="U540" s="281"/>
      <c r="V540" s="281"/>
      <c r="W540" s="123" t="s">
        <v>47</v>
      </c>
      <c r="X540" s="124"/>
    </row>
    <row r="541" spans="1:24" ht="18.75" customHeight="1">
      <c r="A541" s="288" t="s">
        <v>75</v>
      </c>
      <c r="B541" s="282"/>
      <c r="C541" s="118"/>
      <c r="D541" s="119"/>
      <c r="E541" s="120"/>
      <c r="F541" s="120"/>
      <c r="G541" s="120"/>
      <c r="H541" s="115" t="s">
        <v>41</v>
      </c>
      <c r="I541" s="281" t="e">
        <f>'[9]LUONG T7'!P39</f>
        <v>#REF!</v>
      </c>
      <c r="J541" s="281"/>
      <c r="K541" s="123" t="s">
        <v>47</v>
      </c>
      <c r="L541" s="124"/>
      <c r="M541" s="288" t="s">
        <v>75</v>
      </c>
      <c r="N541" s="282"/>
      <c r="O541" s="118"/>
      <c r="P541" s="119"/>
      <c r="Q541" s="120"/>
      <c r="R541" s="120"/>
      <c r="S541" s="120"/>
      <c r="T541" s="115" t="s">
        <v>41</v>
      </c>
      <c r="U541" s="281" t="e">
        <f>'[9]LUONG T7'!P41</f>
        <v>#REF!</v>
      </c>
      <c r="V541" s="281"/>
      <c r="W541" s="123" t="s">
        <v>47</v>
      </c>
      <c r="X541" s="124"/>
    </row>
    <row r="542" spans="1:24" ht="18.75" customHeight="1">
      <c r="A542" s="117" t="s">
        <v>76</v>
      </c>
      <c r="B542" s="115" t="s">
        <v>41</v>
      </c>
      <c r="C542" s="118"/>
      <c r="D542" s="119"/>
      <c r="E542" s="120" t="s">
        <v>77</v>
      </c>
      <c r="F542" s="120"/>
      <c r="G542" s="120"/>
      <c r="H542" s="115" t="s">
        <v>41</v>
      </c>
      <c r="I542" s="281" t="e">
        <f>L539</f>
        <v>#REF!</v>
      </c>
      <c r="J542" s="281"/>
      <c r="K542" s="123" t="s">
        <v>47</v>
      </c>
      <c r="L542" s="124"/>
      <c r="M542" s="117" t="s">
        <v>76</v>
      </c>
      <c r="N542" s="115" t="s">
        <v>41</v>
      </c>
      <c r="O542" s="118"/>
      <c r="P542" s="119"/>
      <c r="Q542" s="120" t="s">
        <v>77</v>
      </c>
      <c r="R542" s="120"/>
      <c r="S542" s="120"/>
      <c r="T542" s="115" t="s">
        <v>41</v>
      </c>
      <c r="U542" s="281" t="e">
        <f>X539</f>
        <v>#REF!</v>
      </c>
      <c r="V542" s="281"/>
      <c r="W542" s="123" t="s">
        <v>47</v>
      </c>
      <c r="X542" s="124"/>
    </row>
    <row r="543" spans="1:24" ht="18.75" customHeight="1">
      <c r="A543" s="285" t="s">
        <v>78</v>
      </c>
      <c r="B543" s="286"/>
      <c r="C543" s="286"/>
      <c r="D543" s="286"/>
      <c r="E543" s="286"/>
      <c r="F543" s="286"/>
      <c r="G543" s="115" t="s">
        <v>41</v>
      </c>
      <c r="H543" s="287" t="e">
        <f>I530+I531+I532+I533+I534+I537+I541+I542</f>
        <v>#REF!</v>
      </c>
      <c r="I543" s="287"/>
      <c r="J543" s="287"/>
      <c r="K543" s="123" t="s">
        <v>47</v>
      </c>
      <c r="M543" s="285" t="s">
        <v>78</v>
      </c>
      <c r="N543" s="286"/>
      <c r="O543" s="286"/>
      <c r="P543" s="286"/>
      <c r="Q543" s="286"/>
      <c r="R543" s="286"/>
      <c r="S543" s="115" t="s">
        <v>41</v>
      </c>
      <c r="T543" s="287" t="e">
        <f>U530+U531+U532+U533+U534+U537+U541+U542</f>
        <v>#REF!</v>
      </c>
      <c r="U543" s="287"/>
      <c r="V543" s="287"/>
      <c r="W543" s="123" t="s">
        <v>47</v>
      </c>
    </row>
    <row r="544" spans="1:24" ht="18.75" customHeight="1">
      <c r="A544" s="130"/>
      <c r="B544" s="131"/>
      <c r="C544" s="131"/>
      <c r="D544" s="131"/>
      <c r="E544" s="131"/>
      <c r="F544" s="131"/>
      <c r="G544" s="131"/>
      <c r="H544" s="131"/>
      <c r="I544" s="131"/>
      <c r="J544" s="131"/>
      <c r="K544" s="132"/>
      <c r="M544" s="130"/>
      <c r="N544" s="131"/>
      <c r="O544" s="131"/>
      <c r="P544" s="131"/>
      <c r="Q544" s="131"/>
      <c r="R544" s="131"/>
      <c r="S544" s="131"/>
      <c r="T544" s="131"/>
      <c r="U544" s="131"/>
      <c r="V544" s="131"/>
      <c r="W544" s="132"/>
    </row>
    <row r="545" spans="1:24" ht="18.75" customHeight="1">
      <c r="A545" s="295" t="s">
        <v>79</v>
      </c>
      <c r="B545" s="296"/>
      <c r="C545" s="296"/>
      <c r="D545" s="296"/>
      <c r="E545" s="296"/>
      <c r="F545" s="296"/>
      <c r="G545" s="115"/>
      <c r="H545" s="115"/>
      <c r="I545" s="115"/>
      <c r="J545" s="115"/>
      <c r="K545" s="123"/>
      <c r="M545" s="295" t="s">
        <v>79</v>
      </c>
      <c r="N545" s="296"/>
      <c r="O545" s="296"/>
      <c r="P545" s="296"/>
      <c r="Q545" s="296"/>
      <c r="R545" s="296"/>
      <c r="S545" s="115"/>
      <c r="T545" s="115"/>
      <c r="U545" s="115"/>
      <c r="V545" s="115"/>
      <c r="W545" s="123"/>
    </row>
    <row r="546" spans="1:24" ht="18.75" customHeight="1">
      <c r="A546" s="289" t="s">
        <v>80</v>
      </c>
      <c r="B546" s="290"/>
      <c r="C546" s="290"/>
      <c r="D546" s="290"/>
      <c r="E546" s="290"/>
      <c r="F546" s="290"/>
      <c r="G546" s="115" t="s">
        <v>41</v>
      </c>
      <c r="H546" s="297" t="e">
        <f>IF(($L$1-(C530+C531+C532+C533))&gt;12,0,F527*8%)</f>
        <v>#REF!</v>
      </c>
      <c r="I546" s="297"/>
      <c r="J546" s="297"/>
      <c r="K546" s="123" t="s">
        <v>47</v>
      </c>
      <c r="M546" s="289" t="s">
        <v>80</v>
      </c>
      <c r="N546" s="290"/>
      <c r="O546" s="290"/>
      <c r="P546" s="290"/>
      <c r="Q546" s="290"/>
      <c r="R546" s="290"/>
      <c r="S546" s="115" t="s">
        <v>41</v>
      </c>
      <c r="T546" s="297" t="e">
        <f>IF(($L$1-(O530+O531+O532+O533))&gt;12,0,R527*8%)</f>
        <v>#REF!</v>
      </c>
      <c r="U546" s="297"/>
      <c r="V546" s="297"/>
      <c r="W546" s="123" t="s">
        <v>47</v>
      </c>
    </row>
    <row r="547" spans="1:24" ht="18.75" customHeight="1">
      <c r="A547" s="289" t="s">
        <v>81</v>
      </c>
      <c r="B547" s="290"/>
      <c r="C547" s="290"/>
      <c r="D547" s="290"/>
      <c r="E547" s="290"/>
      <c r="F547" s="290"/>
      <c r="G547" s="115" t="s">
        <v>41</v>
      </c>
      <c r="H547" s="291" t="e">
        <f>IF(($L$1-(C530+C531+C532+C533))&gt;12,0,F527*1.5%)</f>
        <v>#REF!</v>
      </c>
      <c r="I547" s="291"/>
      <c r="J547" s="291"/>
      <c r="K547" s="123" t="s">
        <v>47</v>
      </c>
      <c r="M547" s="289" t="s">
        <v>81</v>
      </c>
      <c r="N547" s="290"/>
      <c r="O547" s="290"/>
      <c r="P547" s="290"/>
      <c r="Q547" s="290"/>
      <c r="R547" s="290"/>
      <c r="S547" s="115" t="s">
        <v>41</v>
      </c>
      <c r="T547" s="291" t="e">
        <f>IF(($L$1-(O530+O531+O532+O533))&gt;12,0,R527*1.5%)</f>
        <v>#REF!</v>
      </c>
      <c r="U547" s="291"/>
      <c r="V547" s="291"/>
      <c r="W547" s="123" t="s">
        <v>47</v>
      </c>
    </row>
    <row r="548" spans="1:24" ht="18.75" customHeight="1">
      <c r="A548" s="289" t="s">
        <v>82</v>
      </c>
      <c r="B548" s="290"/>
      <c r="C548" s="290"/>
      <c r="D548" s="290"/>
      <c r="E548" s="290"/>
      <c r="F548" s="290"/>
      <c r="G548" s="115" t="s">
        <v>41</v>
      </c>
      <c r="H548" s="291" t="e">
        <f>IF(($L$1-(C530+C531+C532+C533))&gt;12,0,F527*1%)</f>
        <v>#REF!</v>
      </c>
      <c r="I548" s="291"/>
      <c r="J548" s="291"/>
      <c r="K548" s="123" t="s">
        <v>47</v>
      </c>
      <c r="M548" s="289" t="s">
        <v>82</v>
      </c>
      <c r="N548" s="290"/>
      <c r="O548" s="290"/>
      <c r="P548" s="290"/>
      <c r="Q548" s="290"/>
      <c r="R548" s="290"/>
      <c r="S548" s="115" t="s">
        <v>41</v>
      </c>
      <c r="T548" s="291" t="e">
        <f>IF(($L$1-(O530+O531+O532+O533))&gt;12,0,R527*1%)</f>
        <v>#REF!</v>
      </c>
      <c r="U548" s="291"/>
      <c r="V548" s="291"/>
      <c r="W548" s="123" t="s">
        <v>47</v>
      </c>
    </row>
    <row r="549" spans="1:24" ht="18.75" customHeight="1">
      <c r="A549" s="289" t="s">
        <v>83</v>
      </c>
      <c r="B549" s="290"/>
      <c r="C549" s="290"/>
      <c r="D549" s="290"/>
      <c r="E549" s="290"/>
      <c r="F549" s="290"/>
      <c r="G549" s="115" t="s">
        <v>41</v>
      </c>
      <c r="H549" s="291">
        <v>0</v>
      </c>
      <c r="I549" s="291"/>
      <c r="J549" s="291"/>
      <c r="K549" s="123" t="s">
        <v>47</v>
      </c>
      <c r="M549" s="289" t="s">
        <v>83</v>
      </c>
      <c r="N549" s="290"/>
      <c r="O549" s="290"/>
      <c r="P549" s="290"/>
      <c r="Q549" s="290"/>
      <c r="R549" s="290"/>
      <c r="S549" s="115" t="s">
        <v>41</v>
      </c>
      <c r="T549" s="291">
        <v>0</v>
      </c>
      <c r="U549" s="291"/>
      <c r="V549" s="291"/>
      <c r="W549" s="123" t="s">
        <v>47</v>
      </c>
    </row>
    <row r="550" spans="1:24" ht="18.75" customHeight="1">
      <c r="A550" s="292" t="s">
        <v>84</v>
      </c>
      <c r="B550" s="293"/>
      <c r="C550" s="293"/>
      <c r="D550" s="293"/>
      <c r="E550" s="293"/>
      <c r="F550" s="293"/>
      <c r="G550" s="115" t="s">
        <v>41</v>
      </c>
      <c r="H550" s="294" t="e">
        <f>SUM(H546:J549)</f>
        <v>#REF!</v>
      </c>
      <c r="I550" s="294"/>
      <c r="J550" s="294"/>
      <c r="K550" s="123" t="s">
        <v>47</v>
      </c>
      <c r="M550" s="292" t="s">
        <v>84</v>
      </c>
      <c r="N550" s="293"/>
      <c r="O550" s="293"/>
      <c r="P550" s="293"/>
      <c r="Q550" s="293"/>
      <c r="R550" s="293"/>
      <c r="S550" s="115" t="s">
        <v>41</v>
      </c>
      <c r="T550" s="294" t="e">
        <f>SUM(T546:V549)</f>
        <v>#REF!</v>
      </c>
      <c r="U550" s="294"/>
      <c r="V550" s="294"/>
      <c r="W550" s="123" t="s">
        <v>47</v>
      </c>
    </row>
    <row r="551" spans="1:24" ht="18.75" customHeight="1">
      <c r="A551" s="289" t="s">
        <v>85</v>
      </c>
      <c r="B551" s="290"/>
      <c r="C551" s="290"/>
      <c r="D551" s="290"/>
      <c r="E551" s="290"/>
      <c r="F551" s="290"/>
      <c r="G551" s="115" t="s">
        <v>41</v>
      </c>
      <c r="H551" s="301" t="e">
        <f>ROUND(H543-H550,-2)</f>
        <v>#REF!</v>
      </c>
      <c r="I551" s="301"/>
      <c r="J551" s="301"/>
      <c r="K551" s="123" t="s">
        <v>47</v>
      </c>
      <c r="M551" s="289" t="s">
        <v>85</v>
      </c>
      <c r="N551" s="290"/>
      <c r="O551" s="290"/>
      <c r="P551" s="290"/>
      <c r="Q551" s="290"/>
      <c r="R551" s="290"/>
      <c r="S551" s="115" t="s">
        <v>41</v>
      </c>
      <c r="T551" s="301" t="e">
        <f>ROUND(T543-T550,-2)</f>
        <v>#REF!</v>
      </c>
      <c r="U551" s="301"/>
      <c r="V551" s="301"/>
      <c r="W551" s="123" t="s">
        <v>47</v>
      </c>
    </row>
    <row r="552" spans="1:24" ht="18.75" customHeight="1">
      <c r="A552" s="133"/>
      <c r="B552" s="134"/>
      <c r="C552" s="134"/>
      <c r="D552" s="134"/>
      <c r="E552" s="134"/>
      <c r="F552" s="134"/>
      <c r="G552" s="134"/>
      <c r="H552" s="134"/>
      <c r="I552" s="134"/>
      <c r="J552" s="134"/>
      <c r="K552" s="135"/>
      <c r="M552" s="133"/>
      <c r="N552" s="134"/>
      <c r="O552" s="134"/>
      <c r="P552" s="134"/>
      <c r="Q552" s="134"/>
      <c r="R552" s="134"/>
      <c r="S552" s="134"/>
      <c r="T552" s="134"/>
      <c r="U552" s="134"/>
      <c r="V552" s="134"/>
      <c r="W552" s="135"/>
    </row>
    <row r="553" spans="1:24" ht="18.75" customHeight="1">
      <c r="A553" s="136"/>
      <c r="B553" s="115"/>
      <c r="C553" s="115"/>
      <c r="D553" s="115"/>
      <c r="E553" s="115"/>
      <c r="F553" s="115"/>
      <c r="G553" s="115"/>
      <c r="H553" s="115"/>
      <c r="I553" s="298" t="s">
        <v>86</v>
      </c>
      <c r="J553" s="298"/>
      <c r="K553" s="302"/>
      <c r="M553" s="136"/>
      <c r="N553" s="115"/>
      <c r="O553" s="115"/>
      <c r="P553" s="115"/>
      <c r="Q553" s="115"/>
      <c r="R553" s="115"/>
      <c r="S553" s="115"/>
      <c r="T553" s="115"/>
      <c r="U553" s="298" t="s">
        <v>86</v>
      </c>
      <c r="V553" s="298"/>
      <c r="W553" s="302"/>
    </row>
    <row r="554" spans="1:24" ht="18.75" customHeight="1">
      <c r="A554" s="136"/>
      <c r="B554" s="298"/>
      <c r="C554" s="298"/>
      <c r="D554" s="298"/>
      <c r="E554" s="298"/>
      <c r="F554" s="115"/>
      <c r="G554" s="115"/>
      <c r="H554" s="115"/>
      <c r="I554" s="115"/>
      <c r="J554" s="115"/>
      <c r="K554" s="116"/>
      <c r="M554" s="136"/>
      <c r="N554" s="298"/>
      <c r="O554" s="298"/>
      <c r="P554" s="298"/>
      <c r="Q554" s="298"/>
      <c r="R554" s="115"/>
      <c r="S554" s="115"/>
      <c r="T554" s="115"/>
      <c r="U554" s="115"/>
      <c r="V554" s="115"/>
      <c r="W554" s="116"/>
    </row>
    <row r="555" spans="1:24" ht="18.75" customHeight="1" thickBot="1">
      <c r="A555" s="137"/>
      <c r="B555" s="138"/>
      <c r="C555" s="138"/>
      <c r="D555" s="138"/>
      <c r="E555" s="138"/>
      <c r="F555" s="138"/>
      <c r="G555" s="138"/>
      <c r="H555" s="138"/>
      <c r="I555" s="299" t="s">
        <v>87</v>
      </c>
      <c r="J555" s="299"/>
      <c r="K555" s="300"/>
      <c r="M555" s="137"/>
      <c r="N555" s="138"/>
      <c r="O555" s="138"/>
      <c r="P555" s="138"/>
      <c r="Q555" s="138"/>
      <c r="R555" s="138"/>
      <c r="S555" s="138"/>
      <c r="T555" s="138"/>
      <c r="U555" s="299" t="s">
        <v>87</v>
      </c>
      <c r="V555" s="299"/>
      <c r="W555" s="300"/>
    </row>
    <row r="557" spans="1:24" ht="18.75" customHeight="1" thickTop="1">
      <c r="A557" s="274" t="s">
        <v>35</v>
      </c>
      <c r="B557" s="275"/>
      <c r="C557" s="275"/>
      <c r="D557" s="275"/>
      <c r="E557" s="275"/>
      <c r="F557" s="275"/>
      <c r="G557" s="275"/>
      <c r="H557" s="275"/>
      <c r="I557" s="275"/>
      <c r="J557" s="275"/>
      <c r="K557" s="276"/>
      <c r="L557" s="111">
        <v>25</v>
      </c>
      <c r="M557" s="274" t="s">
        <v>35</v>
      </c>
      <c r="N557" s="275"/>
      <c r="O557" s="275"/>
      <c r="P557" s="275"/>
      <c r="Q557" s="275"/>
      <c r="R557" s="275"/>
      <c r="S557" s="275"/>
      <c r="T557" s="275"/>
      <c r="U557" s="275"/>
      <c r="V557" s="275"/>
      <c r="W557" s="276"/>
      <c r="X557" s="111">
        <v>25</v>
      </c>
    </row>
    <row r="558" spans="1:24" ht="18.75" customHeight="1">
      <c r="A558" s="112" t="s">
        <v>133</v>
      </c>
      <c r="B558" s="113"/>
      <c r="C558" s="113"/>
      <c r="D558" s="113"/>
      <c r="E558" s="113"/>
      <c r="F558" s="113"/>
      <c r="G558" s="113"/>
      <c r="H558" s="113"/>
      <c r="I558" s="113"/>
      <c r="J558" s="113"/>
      <c r="K558" s="114"/>
      <c r="M558" s="112" t="s">
        <v>134</v>
      </c>
      <c r="N558" s="113"/>
      <c r="O558" s="113"/>
      <c r="P558" s="113"/>
      <c r="Q558" s="113"/>
      <c r="R558" s="113"/>
      <c r="S558" s="113"/>
      <c r="T558" s="113"/>
      <c r="U558" s="113"/>
      <c r="V558" s="113"/>
      <c r="W558" s="114"/>
    </row>
    <row r="559" spans="1:24" ht="18.75" customHeight="1">
      <c r="A559" s="277" t="s">
        <v>39</v>
      </c>
      <c r="B559" s="278"/>
      <c r="C559" s="278"/>
      <c r="D559" s="278"/>
      <c r="E559" s="278"/>
      <c r="F559" s="278"/>
      <c r="G559" s="278"/>
      <c r="H559" s="278"/>
      <c r="I559" s="278"/>
      <c r="J559" s="278"/>
      <c r="K559" s="279"/>
      <c r="M559" s="277" t="s">
        <v>39</v>
      </c>
      <c r="N559" s="278"/>
      <c r="O559" s="278"/>
      <c r="P559" s="278"/>
      <c r="Q559" s="278"/>
      <c r="R559" s="278"/>
      <c r="S559" s="278"/>
      <c r="T559" s="278"/>
      <c r="U559" s="278"/>
      <c r="V559" s="278"/>
      <c r="W559" s="279"/>
    </row>
    <row r="560" spans="1:24" ht="18.75" customHeight="1">
      <c r="A560" s="269" t="s">
        <v>40</v>
      </c>
      <c r="B560" s="270"/>
      <c r="C560" s="270"/>
      <c r="D560" s="270"/>
      <c r="E560" s="115" t="s">
        <v>41</v>
      </c>
      <c r="F560" s="271" t="e">
        <f>'[9]Bang TH nop'!B63</f>
        <v>#REF!</v>
      </c>
      <c r="G560" s="270"/>
      <c r="H560" s="270"/>
      <c r="I560" s="270"/>
      <c r="J560" s="270"/>
      <c r="K560" s="273"/>
      <c r="M560" s="269" t="s">
        <v>40</v>
      </c>
      <c r="N560" s="270"/>
      <c r="O560" s="270"/>
      <c r="P560" s="270"/>
      <c r="Q560" s="115" t="s">
        <v>41</v>
      </c>
      <c r="R560" s="271" t="e">
        <f>'[9]Bang TH nop'!B65</f>
        <v>#REF!</v>
      </c>
      <c r="S560" s="270"/>
      <c r="T560" s="270"/>
      <c r="U560" s="270"/>
      <c r="V560" s="270"/>
      <c r="W560" s="273"/>
    </row>
    <row r="561" spans="1:24" ht="18.75" customHeight="1">
      <c r="A561" s="269" t="s">
        <v>43</v>
      </c>
      <c r="B561" s="270"/>
      <c r="C561" s="270"/>
      <c r="D561" s="270"/>
      <c r="E561" s="115" t="s">
        <v>41</v>
      </c>
      <c r="F561" s="271" t="e">
        <f>'[9]Bang TH nop'!C63</f>
        <v>#REF!</v>
      </c>
      <c r="G561" s="271"/>
      <c r="H561" s="271"/>
      <c r="I561" s="271"/>
      <c r="J561" s="271"/>
      <c r="K561" s="272"/>
      <c r="M561" s="269" t="s">
        <v>43</v>
      </c>
      <c r="N561" s="270"/>
      <c r="O561" s="270"/>
      <c r="P561" s="270"/>
      <c r="Q561" s="115" t="s">
        <v>41</v>
      </c>
      <c r="R561" s="271" t="e">
        <f>'[9]Bang TH nop'!C65</f>
        <v>#REF!</v>
      </c>
      <c r="S561" s="271"/>
      <c r="T561" s="271"/>
      <c r="U561" s="271"/>
      <c r="V561" s="271"/>
      <c r="W561" s="272"/>
    </row>
    <row r="562" spans="1:24" ht="18.75" customHeight="1">
      <c r="A562" s="269" t="s">
        <v>44</v>
      </c>
      <c r="B562" s="270"/>
      <c r="C562" s="270"/>
      <c r="D562" s="270"/>
      <c r="E562" s="115" t="s">
        <v>41</v>
      </c>
      <c r="F562" s="270" t="s">
        <v>116</v>
      </c>
      <c r="G562" s="270"/>
      <c r="H562" s="270"/>
      <c r="I562" s="270"/>
      <c r="J562" s="270"/>
      <c r="K562" s="273"/>
      <c r="M562" s="269" t="s">
        <v>44</v>
      </c>
      <c r="N562" s="270"/>
      <c r="O562" s="270"/>
      <c r="P562" s="270"/>
      <c r="Q562" s="115" t="s">
        <v>41</v>
      </c>
      <c r="R562" s="270" t="s">
        <v>116</v>
      </c>
      <c r="S562" s="270"/>
      <c r="T562" s="270"/>
      <c r="U562" s="270"/>
      <c r="V562" s="270"/>
      <c r="W562" s="273"/>
    </row>
    <row r="563" spans="1:24" ht="18.75" customHeight="1">
      <c r="A563" s="277" t="s">
        <v>45</v>
      </c>
      <c r="B563" s="278"/>
      <c r="C563" s="278"/>
      <c r="D563" s="278"/>
      <c r="E563" s="278"/>
      <c r="F563" s="278"/>
      <c r="G563" s="278"/>
      <c r="H563" s="278"/>
      <c r="I563" s="278"/>
      <c r="J563" s="278"/>
      <c r="K563" s="279"/>
      <c r="M563" s="277" t="s">
        <v>45</v>
      </c>
      <c r="N563" s="278"/>
      <c r="O563" s="278"/>
      <c r="P563" s="278"/>
      <c r="Q563" s="278"/>
      <c r="R563" s="278"/>
      <c r="S563" s="278"/>
      <c r="T563" s="278"/>
      <c r="U563" s="278"/>
      <c r="V563" s="278"/>
      <c r="W563" s="279"/>
    </row>
    <row r="564" spans="1:24" ht="18.75" customHeight="1">
      <c r="A564" s="269" t="s">
        <v>46</v>
      </c>
      <c r="B564" s="270"/>
      <c r="C564" s="270"/>
      <c r="D564" s="270"/>
      <c r="E564" s="115" t="s">
        <v>41</v>
      </c>
      <c r="F564" s="284">
        <v>2915400</v>
      </c>
      <c r="G564" s="284"/>
      <c r="H564" s="284"/>
      <c r="I564" s="284"/>
      <c r="J564" s="115" t="s">
        <v>47</v>
      </c>
      <c r="K564" s="116"/>
      <c r="M564" s="269" t="s">
        <v>46</v>
      </c>
      <c r="N564" s="270"/>
      <c r="O564" s="270"/>
      <c r="P564" s="270"/>
      <c r="Q564" s="115" t="s">
        <v>41</v>
      </c>
      <c r="R564" s="284">
        <v>2915400</v>
      </c>
      <c r="S564" s="284"/>
      <c r="T564" s="284"/>
      <c r="U564" s="284"/>
      <c r="V564" s="115" t="s">
        <v>47</v>
      </c>
      <c r="W564" s="116"/>
    </row>
    <row r="565" spans="1:24" ht="18.75" customHeight="1">
      <c r="A565" s="117" t="s">
        <v>48</v>
      </c>
      <c r="B565" s="115"/>
      <c r="C565" s="118"/>
      <c r="D565" s="119"/>
      <c r="E565" s="120"/>
      <c r="F565" s="120"/>
      <c r="G565" s="120"/>
      <c r="H565" s="115"/>
      <c r="I565" s="121" t="e">
        <f>'[9]LUONG T7'!F43</f>
        <v>#REF!</v>
      </c>
      <c r="J565" s="122"/>
      <c r="K565" s="123"/>
      <c r="M565" s="117" t="s">
        <v>48</v>
      </c>
      <c r="N565" s="115"/>
      <c r="O565" s="118"/>
      <c r="P565" s="119"/>
      <c r="Q565" s="120"/>
      <c r="R565" s="120"/>
      <c r="S565" s="120"/>
      <c r="T565" s="115"/>
      <c r="U565" s="121" t="e">
        <f>'[9]LUONG T7'!F45</f>
        <v>#REF!</v>
      </c>
      <c r="V565" s="122"/>
      <c r="W565" s="123"/>
    </row>
    <row r="566" spans="1:24" ht="18.75" customHeight="1">
      <c r="A566" s="117" t="s">
        <v>49</v>
      </c>
      <c r="B566" s="115"/>
      <c r="C566" s="118"/>
      <c r="D566" s="119"/>
      <c r="E566" s="120"/>
      <c r="F566" s="120"/>
      <c r="G566" s="120"/>
      <c r="H566" s="115"/>
      <c r="I566" s="121" t="e">
        <f>I567/C567/8</f>
        <v>#REF!</v>
      </c>
      <c r="J566" s="122"/>
      <c r="K566" s="123"/>
      <c r="M566" s="117" t="s">
        <v>49</v>
      </c>
      <c r="N566" s="115"/>
      <c r="O566" s="118"/>
      <c r="P566" s="119"/>
      <c r="Q566" s="120"/>
      <c r="R566" s="120"/>
      <c r="S566" s="120"/>
      <c r="T566" s="115"/>
      <c r="U566" s="121" t="e">
        <f>U567/O567/8</f>
        <v>#REF!</v>
      </c>
      <c r="V566" s="122"/>
      <c r="W566" s="123"/>
    </row>
    <row r="567" spans="1:24" ht="18.75" customHeight="1">
      <c r="A567" s="117" t="s">
        <v>50</v>
      </c>
      <c r="B567" s="115" t="s">
        <v>41</v>
      </c>
      <c r="C567" s="118" t="e">
        <f>'[9]LUONG T7'!I42</f>
        <v>#REF!</v>
      </c>
      <c r="D567" s="119" t="s">
        <v>51</v>
      </c>
      <c r="E567" s="282" t="s">
        <v>52</v>
      </c>
      <c r="F567" s="282"/>
      <c r="G567" s="282"/>
      <c r="H567" s="115" t="s">
        <v>41</v>
      </c>
      <c r="I567" s="283" t="e">
        <f>'[9]LUONG T7'!I43</f>
        <v>#REF!</v>
      </c>
      <c r="J567" s="283"/>
      <c r="K567" s="123" t="s">
        <v>47</v>
      </c>
      <c r="L567" s="124" t="e">
        <f>F564/L557*C567</f>
        <v>#REF!</v>
      </c>
      <c r="M567" s="117" t="s">
        <v>50</v>
      </c>
      <c r="N567" s="115" t="s">
        <v>41</v>
      </c>
      <c r="O567" s="118" t="e">
        <f>'[9]LUONG T7'!I44</f>
        <v>#REF!</v>
      </c>
      <c r="P567" s="119" t="s">
        <v>51</v>
      </c>
      <c r="Q567" s="282" t="s">
        <v>52</v>
      </c>
      <c r="R567" s="282"/>
      <c r="S567" s="282"/>
      <c r="T567" s="115" t="s">
        <v>41</v>
      </c>
      <c r="U567" s="283" t="e">
        <f>'[9]LUONG T7'!I45</f>
        <v>#REF!</v>
      </c>
      <c r="V567" s="283"/>
      <c r="W567" s="123" t="s">
        <v>47</v>
      </c>
      <c r="X567" s="124" t="e">
        <f>R564/X557*O567</f>
        <v>#REF!</v>
      </c>
    </row>
    <row r="568" spans="1:24" ht="18.75" customHeight="1">
      <c r="A568" s="117" t="s">
        <v>53</v>
      </c>
      <c r="B568" s="115" t="s">
        <v>41</v>
      </c>
      <c r="C568" s="118" t="e">
        <f>'[9]LUONG T7'!J42</f>
        <v>#REF!</v>
      </c>
      <c r="D568" s="119" t="s">
        <v>51</v>
      </c>
      <c r="E568" s="270" t="s">
        <v>54</v>
      </c>
      <c r="F568" s="270"/>
      <c r="G568" s="270"/>
      <c r="H568" s="115" t="s">
        <v>41</v>
      </c>
      <c r="I568" s="281" t="e">
        <f>$F$8/$L$1*C568</f>
        <v>#REF!</v>
      </c>
      <c r="J568" s="281"/>
      <c r="K568" s="123" t="s">
        <v>47</v>
      </c>
      <c r="L568" s="124"/>
      <c r="M568" s="117" t="s">
        <v>53</v>
      </c>
      <c r="N568" s="115" t="s">
        <v>41</v>
      </c>
      <c r="O568" s="118" t="e">
        <f>'[9]LUONG T7'!J44</f>
        <v>#REF!</v>
      </c>
      <c r="P568" s="119" t="s">
        <v>51</v>
      </c>
      <c r="Q568" s="270" t="s">
        <v>54</v>
      </c>
      <c r="R568" s="270"/>
      <c r="S568" s="270"/>
      <c r="T568" s="115" t="s">
        <v>41</v>
      </c>
      <c r="U568" s="281" t="e">
        <f>$F$8/$L$1*O568</f>
        <v>#REF!</v>
      </c>
      <c r="V568" s="281"/>
      <c r="W568" s="123" t="s">
        <v>47</v>
      </c>
      <c r="X568" s="124"/>
    </row>
    <row r="569" spans="1:24" ht="18.75" customHeight="1">
      <c r="A569" s="117" t="s">
        <v>55</v>
      </c>
      <c r="B569" s="115" t="s">
        <v>41</v>
      </c>
      <c r="C569" s="118" t="e">
        <f>'[9]LUONG T7'!K42</f>
        <v>#REF!</v>
      </c>
      <c r="D569" s="119" t="s">
        <v>51</v>
      </c>
      <c r="E569" s="280" t="s">
        <v>56</v>
      </c>
      <c r="F569" s="280"/>
      <c r="G569" s="280"/>
      <c r="H569" s="115" t="s">
        <v>41</v>
      </c>
      <c r="I569" s="281" t="e">
        <f>$F$8/$L$1*C569</f>
        <v>#REF!</v>
      </c>
      <c r="J569" s="281"/>
      <c r="K569" s="123" t="s">
        <v>47</v>
      </c>
      <c r="L569" s="124"/>
      <c r="M569" s="117" t="s">
        <v>55</v>
      </c>
      <c r="N569" s="115" t="s">
        <v>41</v>
      </c>
      <c r="O569" s="118" t="e">
        <f>'[9]LUONG T7'!K44</f>
        <v>#REF!</v>
      </c>
      <c r="P569" s="119" t="s">
        <v>51</v>
      </c>
      <c r="Q569" s="280" t="s">
        <v>56</v>
      </c>
      <c r="R569" s="280"/>
      <c r="S569" s="280"/>
      <c r="T569" s="115" t="s">
        <v>41</v>
      </c>
      <c r="U569" s="281" t="e">
        <f>$F$8/$L$1*O569</f>
        <v>#REF!</v>
      </c>
      <c r="V569" s="281"/>
      <c r="W569" s="123" t="s">
        <v>47</v>
      </c>
      <c r="X569" s="124"/>
    </row>
    <row r="570" spans="1:24" ht="18.75" customHeight="1">
      <c r="A570" s="117" t="s">
        <v>57</v>
      </c>
      <c r="B570" s="115" t="s">
        <v>41</v>
      </c>
      <c r="C570" s="118" t="e">
        <f>'[9]LUONG T7'!L42</f>
        <v>#REF!</v>
      </c>
      <c r="D570" s="119" t="s">
        <v>51</v>
      </c>
      <c r="E570" s="280" t="s">
        <v>58</v>
      </c>
      <c r="F570" s="280"/>
      <c r="G570" s="280"/>
      <c r="H570" s="115" t="s">
        <v>41</v>
      </c>
      <c r="I570" s="281" t="e">
        <f>$F$8/$L$1*C570</f>
        <v>#REF!</v>
      </c>
      <c r="J570" s="281"/>
      <c r="K570" s="123" t="s">
        <v>47</v>
      </c>
      <c r="L570" s="124"/>
      <c r="M570" s="117" t="s">
        <v>57</v>
      </c>
      <c r="N570" s="115" t="s">
        <v>41</v>
      </c>
      <c r="O570" s="118" t="e">
        <f>'[9]LUONG T7'!L44</f>
        <v>#REF!</v>
      </c>
      <c r="P570" s="119" t="s">
        <v>51</v>
      </c>
      <c r="Q570" s="280" t="s">
        <v>58</v>
      </c>
      <c r="R570" s="280"/>
      <c r="S570" s="280"/>
      <c r="T570" s="115" t="s">
        <v>41</v>
      </c>
      <c r="U570" s="281" t="e">
        <f>$F$8/$L$1*O570</f>
        <v>#REF!</v>
      </c>
      <c r="V570" s="281"/>
      <c r="W570" s="123" t="s">
        <v>47</v>
      </c>
      <c r="X570" s="124"/>
    </row>
    <row r="571" spans="1:24" ht="18.75" customHeight="1">
      <c r="A571" s="117" t="s">
        <v>59</v>
      </c>
      <c r="B571" s="115" t="s">
        <v>41</v>
      </c>
      <c r="C571" s="118" t="e">
        <f>'[9]LUONG T7'!Q42</f>
        <v>#REF!</v>
      </c>
      <c r="D571" s="119" t="s">
        <v>60</v>
      </c>
      <c r="E571" s="270" t="s">
        <v>61</v>
      </c>
      <c r="F571" s="270"/>
      <c r="G571" s="270"/>
      <c r="H571" s="115" t="s">
        <v>41</v>
      </c>
      <c r="I571" s="281" t="e">
        <f>'[9]LUONG T7'!Q43</f>
        <v>#REF!</v>
      </c>
      <c r="J571" s="281"/>
      <c r="K571" s="123" t="s">
        <v>47</v>
      </c>
      <c r="L571" s="124" t="e">
        <f>F564*C571/L557/8*1.5</f>
        <v>#REF!</v>
      </c>
      <c r="M571" s="117" t="s">
        <v>59</v>
      </c>
      <c r="N571" s="115" t="s">
        <v>41</v>
      </c>
      <c r="O571" s="118" t="e">
        <f>'[9]LUONG T7'!Q44</f>
        <v>#REF!</v>
      </c>
      <c r="P571" s="119" t="s">
        <v>60</v>
      </c>
      <c r="Q571" s="270" t="s">
        <v>61</v>
      </c>
      <c r="R571" s="270"/>
      <c r="S571" s="270"/>
      <c r="T571" s="115" t="s">
        <v>41</v>
      </c>
      <c r="U571" s="281" t="e">
        <f>'[9]LUONG T7'!Q45</f>
        <v>#REF!</v>
      </c>
      <c r="V571" s="281"/>
      <c r="W571" s="123" t="s">
        <v>47</v>
      </c>
      <c r="X571" s="124" t="e">
        <f>R564*O571/X557/8*1.5</f>
        <v>#REF!</v>
      </c>
    </row>
    <row r="572" spans="1:24" ht="18.75" customHeight="1">
      <c r="A572" s="269" t="s">
        <v>62</v>
      </c>
      <c r="B572" s="270"/>
      <c r="C572" s="118"/>
      <c r="D572" s="119" t="s">
        <v>51</v>
      </c>
      <c r="E572" s="270" t="s">
        <v>63</v>
      </c>
      <c r="F572" s="270"/>
      <c r="G572" s="270"/>
      <c r="H572" s="125" t="s">
        <v>41</v>
      </c>
      <c r="I572" s="281"/>
      <c r="J572" s="281"/>
      <c r="K572" s="123" t="s">
        <v>47</v>
      </c>
      <c r="L572" s="124"/>
      <c r="M572" s="269" t="s">
        <v>62</v>
      </c>
      <c r="N572" s="270"/>
      <c r="O572" s="118"/>
      <c r="P572" s="119" t="s">
        <v>51</v>
      </c>
      <c r="Q572" s="270" t="s">
        <v>63</v>
      </c>
      <c r="R572" s="270"/>
      <c r="S572" s="270"/>
      <c r="T572" s="125" t="s">
        <v>41</v>
      </c>
      <c r="U572" s="281"/>
      <c r="V572" s="281"/>
      <c r="W572" s="123" t="s">
        <v>47</v>
      </c>
      <c r="X572" s="124"/>
    </row>
    <row r="573" spans="1:24" ht="18.75" customHeight="1">
      <c r="A573" s="117" t="s">
        <v>64</v>
      </c>
      <c r="B573" s="115" t="s">
        <v>41</v>
      </c>
      <c r="C573" s="118"/>
      <c r="D573" s="119" t="s">
        <v>51</v>
      </c>
      <c r="E573" s="270" t="s">
        <v>65</v>
      </c>
      <c r="F573" s="270"/>
      <c r="G573" s="270"/>
      <c r="H573" s="115" t="s">
        <v>41</v>
      </c>
      <c r="I573" s="281"/>
      <c r="J573" s="281"/>
      <c r="K573" s="123" t="s">
        <v>47</v>
      </c>
      <c r="L573" s="124"/>
      <c r="M573" s="117" t="s">
        <v>64</v>
      </c>
      <c r="N573" s="115" t="s">
        <v>41</v>
      </c>
      <c r="O573" s="118"/>
      <c r="P573" s="119" t="s">
        <v>51</v>
      </c>
      <c r="Q573" s="270" t="s">
        <v>65</v>
      </c>
      <c r="R573" s="270"/>
      <c r="S573" s="270"/>
      <c r="T573" s="115" t="s">
        <v>41</v>
      </c>
      <c r="U573" s="281"/>
      <c r="V573" s="281"/>
      <c r="W573" s="123" t="s">
        <v>47</v>
      </c>
      <c r="X573" s="124"/>
    </row>
    <row r="574" spans="1:24" ht="18.75" customHeight="1">
      <c r="A574" s="126" t="s">
        <v>66</v>
      </c>
      <c r="B574" s="115"/>
      <c r="C574" s="118" t="e">
        <f>'[9]LUONG T7'!M42</f>
        <v>#REF!</v>
      </c>
      <c r="D574" s="119" t="s">
        <v>60</v>
      </c>
      <c r="E574" s="270" t="s">
        <v>67</v>
      </c>
      <c r="F574" s="270"/>
      <c r="G574" s="270"/>
      <c r="H574" s="115" t="s">
        <v>41</v>
      </c>
      <c r="I574" s="281" t="e">
        <f>$F$8*C574/8/$L$1</f>
        <v>#REF!</v>
      </c>
      <c r="J574" s="281"/>
      <c r="K574" s="123" t="s">
        <v>47</v>
      </c>
      <c r="L574" s="124"/>
      <c r="M574" s="126" t="s">
        <v>66</v>
      </c>
      <c r="N574" s="115"/>
      <c r="O574" s="118" t="e">
        <f>'[9]LUONG T7'!M44</f>
        <v>#REF!</v>
      </c>
      <c r="P574" s="119" t="s">
        <v>60</v>
      </c>
      <c r="Q574" s="270" t="s">
        <v>67</v>
      </c>
      <c r="R574" s="270"/>
      <c r="S574" s="270"/>
      <c r="T574" s="115" t="s">
        <v>41</v>
      </c>
      <c r="U574" s="281" t="e">
        <f>$F$8*O574/8/$L$1</f>
        <v>#REF!</v>
      </c>
      <c r="V574" s="281"/>
      <c r="W574" s="123" t="s">
        <v>47</v>
      </c>
      <c r="X574" s="124"/>
    </row>
    <row r="575" spans="1:24" ht="18.75" customHeight="1">
      <c r="A575" s="117" t="s">
        <v>68</v>
      </c>
      <c r="B575" s="115" t="s">
        <v>41</v>
      </c>
      <c r="C575" s="118"/>
      <c r="D575" s="119" t="s">
        <v>60</v>
      </c>
      <c r="E575" s="270" t="s">
        <v>92</v>
      </c>
      <c r="F575" s="270"/>
      <c r="G575" s="270"/>
      <c r="H575" s="115" t="s">
        <v>41</v>
      </c>
      <c r="I575" s="283"/>
      <c r="J575" s="283"/>
      <c r="K575" s="123" t="s">
        <v>47</v>
      </c>
      <c r="L575" s="124"/>
      <c r="M575" s="117" t="s">
        <v>68</v>
      </c>
      <c r="N575" s="115" t="s">
        <v>41</v>
      </c>
      <c r="O575" s="118"/>
      <c r="P575" s="119" t="s">
        <v>60</v>
      </c>
      <c r="Q575" s="270" t="s">
        <v>92</v>
      </c>
      <c r="R575" s="270"/>
      <c r="S575" s="270"/>
      <c r="T575" s="115" t="s">
        <v>41</v>
      </c>
      <c r="U575" s="283"/>
      <c r="V575" s="283"/>
      <c r="W575" s="123" t="s">
        <v>47</v>
      </c>
      <c r="X575" s="124"/>
    </row>
    <row r="576" spans="1:24" ht="18.75" customHeight="1">
      <c r="A576" s="117" t="s">
        <v>70</v>
      </c>
      <c r="B576" s="115" t="s">
        <v>41</v>
      </c>
      <c r="C576" s="118"/>
      <c r="D576" s="119" t="s">
        <v>71</v>
      </c>
      <c r="E576" s="127" t="s">
        <v>72</v>
      </c>
      <c r="F576" s="127"/>
      <c r="G576" s="127"/>
      <c r="H576" s="115" t="s">
        <v>41</v>
      </c>
      <c r="I576" s="281"/>
      <c r="J576" s="281"/>
      <c r="K576" s="123" t="s">
        <v>47</v>
      </c>
      <c r="L576" s="124" t="e">
        <f>+IF(L567-I567&lt;0,0,L567-I567)+IF(L571-I571&lt;0,0,L571-I571)</f>
        <v>#REF!</v>
      </c>
      <c r="M576" s="117" t="s">
        <v>70</v>
      </c>
      <c r="N576" s="115" t="s">
        <v>41</v>
      </c>
      <c r="O576" s="118"/>
      <c r="P576" s="119" t="s">
        <v>71</v>
      </c>
      <c r="Q576" s="127" t="s">
        <v>72</v>
      </c>
      <c r="R576" s="127"/>
      <c r="S576" s="127"/>
      <c r="T576" s="115" t="s">
        <v>41</v>
      </c>
      <c r="U576" s="281"/>
      <c r="V576" s="281"/>
      <c r="W576" s="123" t="s">
        <v>47</v>
      </c>
      <c r="X576" s="124" t="e">
        <f>+IF(X567-U567&lt;0,0,X567-U567)+IF(X571-U571&lt;0,0,X571-U571)</f>
        <v>#REF!</v>
      </c>
    </row>
    <row r="577" spans="1:24" ht="18.75" customHeight="1">
      <c r="A577" s="128" t="s">
        <v>117</v>
      </c>
      <c r="B577" s="129"/>
      <c r="C577" s="118"/>
      <c r="D577" s="119" t="s">
        <v>51</v>
      </c>
      <c r="E577" s="270" t="s">
        <v>118</v>
      </c>
      <c r="F577" s="270"/>
      <c r="G577" s="270"/>
      <c r="H577" s="115" t="s">
        <v>41</v>
      </c>
      <c r="I577" s="281"/>
      <c r="J577" s="281"/>
      <c r="K577" s="123" t="s">
        <v>47</v>
      </c>
      <c r="L577" s="124"/>
      <c r="M577" s="128" t="s">
        <v>117</v>
      </c>
      <c r="N577" s="129"/>
      <c r="O577" s="118"/>
      <c r="P577" s="119" t="s">
        <v>51</v>
      </c>
      <c r="Q577" s="270" t="s">
        <v>118</v>
      </c>
      <c r="R577" s="270"/>
      <c r="S577" s="270"/>
      <c r="T577" s="115" t="s">
        <v>41</v>
      </c>
      <c r="U577" s="281"/>
      <c r="V577" s="281"/>
      <c r="W577" s="123" t="s">
        <v>47</v>
      </c>
      <c r="X577" s="124"/>
    </row>
    <row r="578" spans="1:24" ht="18.75" customHeight="1">
      <c r="A578" s="288" t="s">
        <v>75</v>
      </c>
      <c r="B578" s="282"/>
      <c r="C578" s="118"/>
      <c r="D578" s="119"/>
      <c r="E578" s="120"/>
      <c r="F578" s="120"/>
      <c r="G578" s="120"/>
      <c r="H578" s="115" t="s">
        <v>41</v>
      </c>
      <c r="I578" s="281" t="e">
        <f>'[9]LUONG T7'!P43</f>
        <v>#REF!</v>
      </c>
      <c r="J578" s="281"/>
      <c r="K578" s="123" t="s">
        <v>47</v>
      </c>
      <c r="L578" s="124"/>
      <c r="M578" s="288" t="s">
        <v>75</v>
      </c>
      <c r="N578" s="282"/>
      <c r="O578" s="118"/>
      <c r="P578" s="119"/>
      <c r="Q578" s="120"/>
      <c r="R578" s="120"/>
      <c r="S578" s="120"/>
      <c r="T578" s="115" t="s">
        <v>41</v>
      </c>
      <c r="U578" s="281" t="e">
        <f>'[9]LUONG T7'!P45</f>
        <v>#REF!</v>
      </c>
      <c r="V578" s="281"/>
      <c r="W578" s="123" t="s">
        <v>47</v>
      </c>
      <c r="X578" s="124"/>
    </row>
    <row r="579" spans="1:24" ht="18.75" customHeight="1">
      <c r="A579" s="117" t="s">
        <v>76</v>
      </c>
      <c r="B579" s="115" t="s">
        <v>41</v>
      </c>
      <c r="C579" s="118"/>
      <c r="D579" s="119"/>
      <c r="E579" s="120" t="s">
        <v>77</v>
      </c>
      <c r="F579" s="120"/>
      <c r="G579" s="120"/>
      <c r="H579" s="115" t="s">
        <v>41</v>
      </c>
      <c r="I579" s="281" t="e">
        <f>L576</f>
        <v>#REF!</v>
      </c>
      <c r="J579" s="281"/>
      <c r="K579" s="123" t="s">
        <v>47</v>
      </c>
      <c r="L579" s="124"/>
      <c r="M579" s="117" t="s">
        <v>76</v>
      </c>
      <c r="N579" s="115" t="s">
        <v>41</v>
      </c>
      <c r="O579" s="118"/>
      <c r="P579" s="119"/>
      <c r="Q579" s="120" t="s">
        <v>77</v>
      </c>
      <c r="R579" s="120"/>
      <c r="S579" s="120"/>
      <c r="T579" s="115" t="s">
        <v>41</v>
      </c>
      <c r="U579" s="281" t="e">
        <f>X576</f>
        <v>#REF!</v>
      </c>
      <c r="V579" s="281"/>
      <c r="W579" s="123" t="s">
        <v>47</v>
      </c>
      <c r="X579" s="124"/>
    </row>
    <row r="580" spans="1:24" ht="18.75" customHeight="1">
      <c r="A580" s="285" t="s">
        <v>78</v>
      </c>
      <c r="B580" s="286"/>
      <c r="C580" s="286"/>
      <c r="D580" s="286"/>
      <c r="E580" s="286"/>
      <c r="F580" s="286"/>
      <c r="G580" s="115" t="s">
        <v>41</v>
      </c>
      <c r="H580" s="287" t="e">
        <f>I567+I568+I569+I570+I571+I574+I578+I579</f>
        <v>#REF!</v>
      </c>
      <c r="I580" s="287"/>
      <c r="J580" s="287"/>
      <c r="K580" s="123" t="s">
        <v>47</v>
      </c>
      <c r="M580" s="285" t="s">
        <v>78</v>
      </c>
      <c r="N580" s="286"/>
      <c r="O580" s="286"/>
      <c r="P580" s="286"/>
      <c r="Q580" s="286"/>
      <c r="R580" s="286"/>
      <c r="S580" s="115" t="s">
        <v>41</v>
      </c>
      <c r="T580" s="287" t="e">
        <f>U567+U568+U569+U570+U571+U574+U578+U579</f>
        <v>#REF!</v>
      </c>
      <c r="U580" s="287"/>
      <c r="V580" s="287"/>
      <c r="W580" s="123" t="s">
        <v>47</v>
      </c>
    </row>
    <row r="581" spans="1:24" ht="18.75" customHeight="1">
      <c r="A581" s="130"/>
      <c r="B581" s="131"/>
      <c r="C581" s="131"/>
      <c r="D581" s="131"/>
      <c r="E581" s="131"/>
      <c r="F581" s="131"/>
      <c r="G581" s="131"/>
      <c r="H581" s="131"/>
      <c r="I581" s="131"/>
      <c r="J581" s="131"/>
      <c r="K581" s="132"/>
      <c r="M581" s="130"/>
      <c r="N581" s="131"/>
      <c r="O581" s="131"/>
      <c r="P581" s="131"/>
      <c r="Q581" s="131"/>
      <c r="R581" s="131"/>
      <c r="S581" s="131"/>
      <c r="T581" s="131"/>
      <c r="U581" s="131"/>
      <c r="V581" s="131"/>
      <c r="W581" s="132"/>
    </row>
    <row r="582" spans="1:24" ht="18.75" customHeight="1">
      <c r="A582" s="295" t="s">
        <v>79</v>
      </c>
      <c r="B582" s="296"/>
      <c r="C582" s="296"/>
      <c r="D582" s="296"/>
      <c r="E582" s="296"/>
      <c r="F582" s="296"/>
      <c r="G582" s="115"/>
      <c r="H582" s="115"/>
      <c r="I582" s="115"/>
      <c r="J582" s="115"/>
      <c r="K582" s="123"/>
      <c r="M582" s="295" t="s">
        <v>79</v>
      </c>
      <c r="N582" s="296"/>
      <c r="O582" s="296"/>
      <c r="P582" s="296"/>
      <c r="Q582" s="296"/>
      <c r="R582" s="296"/>
      <c r="S582" s="115"/>
      <c r="T582" s="115"/>
      <c r="U582" s="115"/>
      <c r="V582" s="115"/>
      <c r="W582" s="123"/>
    </row>
    <row r="583" spans="1:24" ht="18.75" customHeight="1">
      <c r="A583" s="289" t="s">
        <v>80</v>
      </c>
      <c r="B583" s="290"/>
      <c r="C583" s="290"/>
      <c r="D583" s="290"/>
      <c r="E583" s="290"/>
      <c r="F583" s="290"/>
      <c r="G583" s="115" t="s">
        <v>41</v>
      </c>
      <c r="H583" s="297" t="e">
        <f>IF(($L$1-(C567+C568+C569+C570))&gt;12,0,F564*8%)</f>
        <v>#REF!</v>
      </c>
      <c r="I583" s="297"/>
      <c r="J583" s="297"/>
      <c r="K583" s="123" t="s">
        <v>47</v>
      </c>
      <c r="M583" s="289" t="s">
        <v>80</v>
      </c>
      <c r="N583" s="290"/>
      <c r="O583" s="290"/>
      <c r="P583" s="290"/>
      <c r="Q583" s="290"/>
      <c r="R583" s="290"/>
      <c r="S583" s="115" t="s">
        <v>41</v>
      </c>
      <c r="T583" s="297" t="e">
        <f>IF(($L$1-(O567+O568+O569+O570))&gt;12,0,R564*8%)</f>
        <v>#REF!</v>
      </c>
      <c r="U583" s="297"/>
      <c r="V583" s="297"/>
      <c r="W583" s="123" t="s">
        <v>47</v>
      </c>
    </row>
    <row r="584" spans="1:24" ht="18.75" customHeight="1">
      <c r="A584" s="289" t="s">
        <v>81</v>
      </c>
      <c r="B584" s="290"/>
      <c r="C584" s="290"/>
      <c r="D584" s="290"/>
      <c r="E584" s="290"/>
      <c r="F584" s="290"/>
      <c r="G584" s="115" t="s">
        <v>41</v>
      </c>
      <c r="H584" s="291" t="e">
        <f>IF(($L$1-(C567+C568+C569+C570))&gt;12,0,F564*1.5%)</f>
        <v>#REF!</v>
      </c>
      <c r="I584" s="291"/>
      <c r="J584" s="291"/>
      <c r="K584" s="123" t="s">
        <v>47</v>
      </c>
      <c r="M584" s="289" t="s">
        <v>81</v>
      </c>
      <c r="N584" s="290"/>
      <c r="O584" s="290"/>
      <c r="P584" s="290"/>
      <c r="Q584" s="290"/>
      <c r="R584" s="290"/>
      <c r="S584" s="115" t="s">
        <v>41</v>
      </c>
      <c r="T584" s="291" t="e">
        <f>IF(($L$1-(O567+O568+O569+O570))&gt;12,0,R564*1.5%)</f>
        <v>#REF!</v>
      </c>
      <c r="U584" s="291"/>
      <c r="V584" s="291"/>
      <c r="W584" s="123" t="s">
        <v>47</v>
      </c>
    </row>
    <row r="585" spans="1:24" ht="18.75" customHeight="1">
      <c r="A585" s="289" t="s">
        <v>82</v>
      </c>
      <c r="B585" s="290"/>
      <c r="C585" s="290"/>
      <c r="D585" s="290"/>
      <c r="E585" s="290"/>
      <c r="F585" s="290"/>
      <c r="G585" s="115" t="s">
        <v>41</v>
      </c>
      <c r="H585" s="291" t="e">
        <f>IF(($L$1-(C567+C568+C569+C570))&gt;12,0,F564*1%)</f>
        <v>#REF!</v>
      </c>
      <c r="I585" s="291"/>
      <c r="J585" s="291"/>
      <c r="K585" s="123" t="s">
        <v>47</v>
      </c>
      <c r="M585" s="289" t="s">
        <v>82</v>
      </c>
      <c r="N585" s="290"/>
      <c r="O585" s="290"/>
      <c r="P585" s="290"/>
      <c r="Q585" s="290"/>
      <c r="R585" s="290"/>
      <c r="S585" s="115" t="s">
        <v>41</v>
      </c>
      <c r="T585" s="291" t="e">
        <f>IF(($L$1-(O567+O568+O569+O570))&gt;12,0,R564*1%)</f>
        <v>#REF!</v>
      </c>
      <c r="U585" s="291"/>
      <c r="V585" s="291"/>
      <c r="W585" s="123" t="s">
        <v>47</v>
      </c>
    </row>
    <row r="586" spans="1:24" ht="18.75" customHeight="1">
      <c r="A586" s="289" t="s">
        <v>83</v>
      </c>
      <c r="B586" s="290"/>
      <c r="C586" s="290"/>
      <c r="D586" s="290"/>
      <c r="E586" s="290"/>
      <c r="F586" s="290"/>
      <c r="G586" s="115" t="s">
        <v>41</v>
      </c>
      <c r="H586" s="291">
        <v>0</v>
      </c>
      <c r="I586" s="291"/>
      <c r="J586" s="291"/>
      <c r="K586" s="123" t="s">
        <v>47</v>
      </c>
      <c r="M586" s="289" t="s">
        <v>83</v>
      </c>
      <c r="N586" s="290"/>
      <c r="O586" s="290"/>
      <c r="P586" s="290"/>
      <c r="Q586" s="290"/>
      <c r="R586" s="290"/>
      <c r="S586" s="115" t="s">
        <v>41</v>
      </c>
      <c r="T586" s="291">
        <v>0</v>
      </c>
      <c r="U586" s="291"/>
      <c r="V586" s="291"/>
      <c r="W586" s="123" t="s">
        <v>47</v>
      </c>
    </row>
    <row r="587" spans="1:24" ht="18.75" customHeight="1">
      <c r="A587" s="292" t="s">
        <v>84</v>
      </c>
      <c r="B587" s="293"/>
      <c r="C587" s="293"/>
      <c r="D587" s="293"/>
      <c r="E587" s="293"/>
      <c r="F587" s="293"/>
      <c r="G587" s="115" t="s">
        <v>41</v>
      </c>
      <c r="H587" s="294" t="e">
        <f>SUM(H583:J586)</f>
        <v>#REF!</v>
      </c>
      <c r="I587" s="294"/>
      <c r="J587" s="294"/>
      <c r="K587" s="123" t="s">
        <v>47</v>
      </c>
      <c r="M587" s="292" t="s">
        <v>84</v>
      </c>
      <c r="N587" s="293"/>
      <c r="O587" s="293"/>
      <c r="P587" s="293"/>
      <c r="Q587" s="293"/>
      <c r="R587" s="293"/>
      <c r="S587" s="115" t="s">
        <v>41</v>
      </c>
      <c r="T587" s="294" t="e">
        <f>SUM(T583:V586)</f>
        <v>#REF!</v>
      </c>
      <c r="U587" s="294"/>
      <c r="V587" s="294"/>
      <c r="W587" s="123" t="s">
        <v>47</v>
      </c>
    </row>
    <row r="588" spans="1:24" ht="18.75" customHeight="1">
      <c r="A588" s="289" t="s">
        <v>85</v>
      </c>
      <c r="B588" s="290"/>
      <c r="C588" s="290"/>
      <c r="D588" s="290"/>
      <c r="E588" s="290"/>
      <c r="F588" s="290"/>
      <c r="G588" s="115" t="s">
        <v>41</v>
      </c>
      <c r="H588" s="301" t="e">
        <f>ROUND(H580-H587,-2)</f>
        <v>#REF!</v>
      </c>
      <c r="I588" s="301"/>
      <c r="J588" s="301"/>
      <c r="K588" s="123" t="s">
        <v>47</v>
      </c>
      <c r="M588" s="289" t="s">
        <v>85</v>
      </c>
      <c r="N588" s="290"/>
      <c r="O588" s="290"/>
      <c r="P588" s="290"/>
      <c r="Q588" s="290"/>
      <c r="R588" s="290"/>
      <c r="S588" s="115" t="s">
        <v>41</v>
      </c>
      <c r="T588" s="301" t="e">
        <f>ROUND(T580-T587,-2)</f>
        <v>#REF!</v>
      </c>
      <c r="U588" s="301"/>
      <c r="V588" s="301"/>
      <c r="W588" s="123" t="s">
        <v>47</v>
      </c>
    </row>
    <row r="589" spans="1:24" ht="18.75" customHeight="1">
      <c r="A589" s="133"/>
      <c r="B589" s="134"/>
      <c r="C589" s="134"/>
      <c r="D589" s="134"/>
      <c r="E589" s="134"/>
      <c r="F589" s="134"/>
      <c r="G589" s="134"/>
      <c r="H589" s="134"/>
      <c r="I589" s="134"/>
      <c r="J589" s="134"/>
      <c r="K589" s="135"/>
      <c r="M589" s="133"/>
      <c r="N589" s="134"/>
      <c r="O589" s="134"/>
      <c r="P589" s="134"/>
      <c r="Q589" s="134"/>
      <c r="R589" s="134"/>
      <c r="S589" s="134"/>
      <c r="T589" s="134"/>
      <c r="U589" s="134"/>
      <c r="V589" s="134"/>
      <c r="W589" s="135"/>
    </row>
    <row r="590" spans="1:24" ht="18.75" customHeight="1">
      <c r="A590" s="136"/>
      <c r="B590" s="115"/>
      <c r="C590" s="115"/>
      <c r="D590" s="115"/>
      <c r="E590" s="115"/>
      <c r="F590" s="115"/>
      <c r="G590" s="115"/>
      <c r="H590" s="115"/>
      <c r="I590" s="298" t="s">
        <v>86</v>
      </c>
      <c r="J590" s="298"/>
      <c r="K590" s="302"/>
      <c r="M590" s="136"/>
      <c r="N590" s="115"/>
      <c r="O590" s="115"/>
      <c r="P590" s="115"/>
      <c r="Q590" s="115"/>
      <c r="R590" s="115"/>
      <c r="S590" s="115"/>
      <c r="T590" s="115"/>
      <c r="U590" s="298" t="s">
        <v>86</v>
      </c>
      <c r="V590" s="298"/>
      <c r="W590" s="302"/>
    </row>
    <row r="591" spans="1:24" ht="18.75" customHeight="1">
      <c r="A591" s="136"/>
      <c r="B591" s="298"/>
      <c r="C591" s="298"/>
      <c r="D591" s="298"/>
      <c r="E591" s="298"/>
      <c r="F591" s="115"/>
      <c r="G591" s="115"/>
      <c r="H591" s="115"/>
      <c r="I591" s="115"/>
      <c r="J591" s="115"/>
      <c r="K591" s="116"/>
      <c r="M591" s="136"/>
      <c r="N591" s="298"/>
      <c r="O591" s="298"/>
      <c r="P591" s="298"/>
      <c r="Q591" s="298"/>
      <c r="R591" s="115"/>
      <c r="S591" s="115"/>
      <c r="T591" s="115"/>
      <c r="U591" s="115"/>
      <c r="V591" s="115"/>
      <c r="W591" s="116"/>
    </row>
    <row r="592" spans="1:24" ht="18.75" customHeight="1" thickBot="1">
      <c r="A592" s="137"/>
      <c r="B592" s="138"/>
      <c r="C592" s="138"/>
      <c r="D592" s="138"/>
      <c r="E592" s="138"/>
      <c r="F592" s="138"/>
      <c r="G592" s="138"/>
      <c r="H592" s="138"/>
      <c r="I592" s="299" t="s">
        <v>87</v>
      </c>
      <c r="J592" s="299"/>
      <c r="K592" s="300"/>
      <c r="M592" s="137"/>
      <c r="N592" s="138"/>
      <c r="O592" s="138"/>
      <c r="P592" s="138"/>
      <c r="Q592" s="138"/>
      <c r="R592" s="138"/>
      <c r="S592" s="138"/>
      <c r="T592" s="138"/>
      <c r="U592" s="299" t="s">
        <v>87</v>
      </c>
      <c r="V592" s="299"/>
      <c r="W592" s="300"/>
    </row>
    <row r="594" spans="1:24" ht="18.75" customHeight="1" thickTop="1">
      <c r="A594" s="274" t="s">
        <v>35</v>
      </c>
      <c r="B594" s="275"/>
      <c r="C594" s="275"/>
      <c r="D594" s="275"/>
      <c r="E594" s="275"/>
      <c r="F594" s="275"/>
      <c r="G594" s="275"/>
      <c r="H594" s="275"/>
      <c r="I594" s="275"/>
      <c r="J594" s="275"/>
      <c r="K594" s="276"/>
      <c r="L594" s="111">
        <v>25</v>
      </c>
      <c r="M594" s="274" t="s">
        <v>35</v>
      </c>
      <c r="N594" s="275"/>
      <c r="O594" s="275"/>
      <c r="P594" s="275"/>
      <c r="Q594" s="275"/>
      <c r="R594" s="275"/>
      <c r="S594" s="275"/>
      <c r="T594" s="275"/>
      <c r="U594" s="275"/>
      <c r="V594" s="275"/>
      <c r="W594" s="276"/>
      <c r="X594" s="111">
        <v>25</v>
      </c>
    </row>
    <row r="595" spans="1:24" ht="18.75" customHeight="1">
      <c r="A595" s="112" t="s">
        <v>135</v>
      </c>
      <c r="B595" s="113"/>
      <c r="C595" s="113"/>
      <c r="D595" s="113"/>
      <c r="E595" s="113"/>
      <c r="F595" s="113"/>
      <c r="G595" s="113"/>
      <c r="H595" s="113"/>
      <c r="I595" s="113"/>
      <c r="J595" s="113"/>
      <c r="K595" s="114"/>
      <c r="M595" s="112" t="s">
        <v>136</v>
      </c>
      <c r="N595" s="113"/>
      <c r="O595" s="113"/>
      <c r="P595" s="113"/>
      <c r="Q595" s="113"/>
      <c r="R595" s="113"/>
      <c r="S595" s="113"/>
      <c r="T595" s="113"/>
      <c r="U595" s="113"/>
      <c r="V595" s="113"/>
      <c r="W595" s="114"/>
    </row>
    <row r="596" spans="1:24" ht="18.75" customHeight="1">
      <c r="A596" s="277" t="s">
        <v>39</v>
      </c>
      <c r="B596" s="278"/>
      <c r="C596" s="278"/>
      <c r="D596" s="278"/>
      <c r="E596" s="278"/>
      <c r="F596" s="278"/>
      <c r="G596" s="278"/>
      <c r="H596" s="278"/>
      <c r="I596" s="278"/>
      <c r="J596" s="278"/>
      <c r="K596" s="279"/>
      <c r="M596" s="277" t="s">
        <v>39</v>
      </c>
      <c r="N596" s="278"/>
      <c r="O596" s="278"/>
      <c r="P596" s="278"/>
      <c r="Q596" s="278"/>
      <c r="R596" s="278"/>
      <c r="S596" s="278"/>
      <c r="T596" s="278"/>
      <c r="U596" s="278"/>
      <c r="V596" s="278"/>
      <c r="W596" s="279"/>
    </row>
    <row r="597" spans="1:24" ht="18.75" customHeight="1">
      <c r="A597" s="269" t="s">
        <v>40</v>
      </c>
      <c r="B597" s="270"/>
      <c r="C597" s="270"/>
      <c r="D597" s="270"/>
      <c r="E597" s="115" t="s">
        <v>41</v>
      </c>
      <c r="F597" s="271" t="e">
        <f>'[9]Bang TH nop'!B67</f>
        <v>#REF!</v>
      </c>
      <c r="G597" s="270"/>
      <c r="H597" s="270"/>
      <c r="I597" s="270"/>
      <c r="J597" s="270"/>
      <c r="K597" s="273"/>
      <c r="M597" s="269" t="s">
        <v>40</v>
      </c>
      <c r="N597" s="270"/>
      <c r="O597" s="270"/>
      <c r="P597" s="270"/>
      <c r="Q597" s="115" t="s">
        <v>41</v>
      </c>
      <c r="R597" s="271" t="e">
        <f>'[9]Bang TH nop'!B69</f>
        <v>#REF!</v>
      </c>
      <c r="S597" s="270"/>
      <c r="T597" s="270"/>
      <c r="U597" s="270"/>
      <c r="V597" s="270"/>
      <c r="W597" s="273"/>
    </row>
    <row r="598" spans="1:24" ht="18.75" customHeight="1">
      <c r="A598" s="269" t="s">
        <v>43</v>
      </c>
      <c r="B598" s="270"/>
      <c r="C598" s="270"/>
      <c r="D598" s="270"/>
      <c r="E598" s="115" t="s">
        <v>41</v>
      </c>
      <c r="F598" s="271" t="e">
        <f>'[9]Bang TH nop'!C67</f>
        <v>#REF!</v>
      </c>
      <c r="G598" s="271"/>
      <c r="H598" s="271"/>
      <c r="I598" s="271"/>
      <c r="J598" s="271"/>
      <c r="K598" s="272"/>
      <c r="M598" s="269" t="s">
        <v>43</v>
      </c>
      <c r="N598" s="270"/>
      <c r="O598" s="270"/>
      <c r="P598" s="270"/>
      <c r="Q598" s="115" t="s">
        <v>41</v>
      </c>
      <c r="R598" s="271" t="e">
        <f>'[9]Bang TH nop'!C69</f>
        <v>#REF!</v>
      </c>
      <c r="S598" s="271"/>
      <c r="T598" s="271"/>
      <c r="U598" s="271"/>
      <c r="V598" s="271"/>
      <c r="W598" s="272"/>
    </row>
    <row r="599" spans="1:24" ht="18.75" customHeight="1">
      <c r="A599" s="269" t="s">
        <v>44</v>
      </c>
      <c r="B599" s="270"/>
      <c r="C599" s="270"/>
      <c r="D599" s="270"/>
      <c r="E599" s="115" t="s">
        <v>41</v>
      </c>
      <c r="F599" s="270" t="s">
        <v>116</v>
      </c>
      <c r="G599" s="270"/>
      <c r="H599" s="270"/>
      <c r="I599" s="270"/>
      <c r="J599" s="270"/>
      <c r="K599" s="273"/>
      <c r="M599" s="269" t="s">
        <v>44</v>
      </c>
      <c r="N599" s="270"/>
      <c r="O599" s="270"/>
      <c r="P599" s="270"/>
      <c r="Q599" s="115" t="s">
        <v>41</v>
      </c>
      <c r="R599" s="270" t="s">
        <v>116</v>
      </c>
      <c r="S599" s="270"/>
      <c r="T599" s="270"/>
      <c r="U599" s="270"/>
      <c r="V599" s="270"/>
      <c r="W599" s="273"/>
    </row>
    <row r="600" spans="1:24" ht="18.75" customHeight="1">
      <c r="A600" s="277" t="s">
        <v>45</v>
      </c>
      <c r="B600" s="278"/>
      <c r="C600" s="278"/>
      <c r="D600" s="278"/>
      <c r="E600" s="278"/>
      <c r="F600" s="278"/>
      <c r="G600" s="278"/>
      <c r="H600" s="278"/>
      <c r="I600" s="278"/>
      <c r="J600" s="278"/>
      <c r="K600" s="279"/>
      <c r="M600" s="277" t="s">
        <v>45</v>
      </c>
      <c r="N600" s="278"/>
      <c r="O600" s="278"/>
      <c r="P600" s="278"/>
      <c r="Q600" s="278"/>
      <c r="R600" s="278"/>
      <c r="S600" s="278"/>
      <c r="T600" s="278"/>
      <c r="U600" s="278"/>
      <c r="V600" s="278"/>
      <c r="W600" s="279"/>
    </row>
    <row r="601" spans="1:24" ht="18.75" customHeight="1">
      <c r="A601" s="269" t="s">
        <v>46</v>
      </c>
      <c r="B601" s="270"/>
      <c r="C601" s="270"/>
      <c r="D601" s="270"/>
      <c r="E601" s="115" t="s">
        <v>41</v>
      </c>
      <c r="F601" s="284">
        <v>2915400</v>
      </c>
      <c r="G601" s="284"/>
      <c r="H601" s="284"/>
      <c r="I601" s="284"/>
      <c r="J601" s="115" t="s">
        <v>47</v>
      </c>
      <c r="K601" s="116"/>
      <c r="M601" s="269" t="s">
        <v>46</v>
      </c>
      <c r="N601" s="270"/>
      <c r="O601" s="270"/>
      <c r="P601" s="270"/>
      <c r="Q601" s="115" t="s">
        <v>41</v>
      </c>
      <c r="R601" s="284">
        <v>2915400</v>
      </c>
      <c r="S601" s="284"/>
      <c r="T601" s="284"/>
      <c r="U601" s="284"/>
      <c r="V601" s="115" t="s">
        <v>47</v>
      </c>
      <c r="W601" s="116"/>
    </row>
    <row r="602" spans="1:24" ht="18.75" customHeight="1">
      <c r="A602" s="117" t="s">
        <v>48</v>
      </c>
      <c r="B602" s="115"/>
      <c r="C602" s="118"/>
      <c r="D602" s="119"/>
      <c r="E602" s="120"/>
      <c r="F602" s="120"/>
      <c r="G602" s="120"/>
      <c r="H602" s="115"/>
      <c r="I602" s="121" t="e">
        <f>'[9]LUONG T7'!F47</f>
        <v>#REF!</v>
      </c>
      <c r="J602" s="122"/>
      <c r="K602" s="123"/>
      <c r="M602" s="117" t="s">
        <v>48</v>
      </c>
      <c r="N602" s="115"/>
      <c r="O602" s="118"/>
      <c r="P602" s="119"/>
      <c r="Q602" s="120"/>
      <c r="R602" s="120"/>
      <c r="S602" s="120"/>
      <c r="T602" s="115"/>
      <c r="U602" s="121" t="e">
        <f>'[9]LUONG T7'!F49</f>
        <v>#REF!</v>
      </c>
      <c r="V602" s="122"/>
      <c r="W602" s="123"/>
    </row>
    <row r="603" spans="1:24" ht="18.75" customHeight="1">
      <c r="A603" s="117" t="s">
        <v>49</v>
      </c>
      <c r="B603" s="115"/>
      <c r="C603" s="118"/>
      <c r="D603" s="119"/>
      <c r="E603" s="120"/>
      <c r="F603" s="120"/>
      <c r="G603" s="120"/>
      <c r="H603" s="115"/>
      <c r="I603" s="121" t="e">
        <f>I604/C604/8</f>
        <v>#REF!</v>
      </c>
      <c r="J603" s="122"/>
      <c r="K603" s="123"/>
      <c r="M603" s="117" t="s">
        <v>49</v>
      </c>
      <c r="N603" s="115"/>
      <c r="O603" s="118"/>
      <c r="P603" s="119"/>
      <c r="Q603" s="120"/>
      <c r="R603" s="120"/>
      <c r="S603" s="120"/>
      <c r="T603" s="115"/>
      <c r="U603" s="121" t="e">
        <f>U604/O604/8</f>
        <v>#REF!</v>
      </c>
      <c r="V603" s="122"/>
      <c r="W603" s="123"/>
    </row>
    <row r="604" spans="1:24" ht="18.75" customHeight="1">
      <c r="A604" s="117" t="s">
        <v>50</v>
      </c>
      <c r="B604" s="115" t="s">
        <v>41</v>
      </c>
      <c r="C604" s="118" t="e">
        <f>'[9]LUONG T7'!I46</f>
        <v>#REF!</v>
      </c>
      <c r="D604" s="119" t="s">
        <v>51</v>
      </c>
      <c r="E604" s="282" t="s">
        <v>52</v>
      </c>
      <c r="F604" s="282"/>
      <c r="G604" s="282"/>
      <c r="H604" s="115" t="s">
        <v>41</v>
      </c>
      <c r="I604" s="283" t="e">
        <f>'[9]LUONG T7'!I47</f>
        <v>#REF!</v>
      </c>
      <c r="J604" s="283"/>
      <c r="K604" s="123" t="s">
        <v>47</v>
      </c>
      <c r="L604" s="124" t="e">
        <f>F601/L594*C604</f>
        <v>#REF!</v>
      </c>
      <c r="M604" s="117" t="s">
        <v>50</v>
      </c>
      <c r="N604" s="115" t="s">
        <v>41</v>
      </c>
      <c r="O604" s="118" t="e">
        <f>'[9]LUONG T7'!I48</f>
        <v>#REF!</v>
      </c>
      <c r="P604" s="119" t="s">
        <v>51</v>
      </c>
      <c r="Q604" s="282" t="s">
        <v>52</v>
      </c>
      <c r="R604" s="282"/>
      <c r="S604" s="282"/>
      <c r="T604" s="115" t="s">
        <v>41</v>
      </c>
      <c r="U604" s="283" t="e">
        <f>'[9]LUONG T7'!I49</f>
        <v>#REF!</v>
      </c>
      <c r="V604" s="283"/>
      <c r="W604" s="123" t="s">
        <v>47</v>
      </c>
      <c r="X604" s="124" t="e">
        <f>R601/X594*O604</f>
        <v>#REF!</v>
      </c>
    </row>
    <row r="605" spans="1:24" ht="18.75" customHeight="1">
      <c r="A605" s="117" t="s">
        <v>53</v>
      </c>
      <c r="B605" s="115" t="s">
        <v>41</v>
      </c>
      <c r="C605" s="118" t="e">
        <f>'[9]LUONG T7'!J46</f>
        <v>#REF!</v>
      </c>
      <c r="D605" s="119" t="s">
        <v>51</v>
      </c>
      <c r="E605" s="270" t="s">
        <v>54</v>
      </c>
      <c r="F605" s="270"/>
      <c r="G605" s="270"/>
      <c r="H605" s="115" t="s">
        <v>41</v>
      </c>
      <c r="I605" s="281" t="e">
        <f>$F$8/$L$1*C605</f>
        <v>#REF!</v>
      </c>
      <c r="J605" s="281"/>
      <c r="K605" s="123" t="s">
        <v>47</v>
      </c>
      <c r="L605" s="124"/>
      <c r="M605" s="117" t="s">
        <v>53</v>
      </c>
      <c r="N605" s="115" t="s">
        <v>41</v>
      </c>
      <c r="O605" s="118" t="e">
        <f>'[9]LUONG T7'!J48</f>
        <v>#REF!</v>
      </c>
      <c r="P605" s="119" t="s">
        <v>51</v>
      </c>
      <c r="Q605" s="270" t="s">
        <v>54</v>
      </c>
      <c r="R605" s="270"/>
      <c r="S605" s="270"/>
      <c r="T605" s="115" t="s">
        <v>41</v>
      </c>
      <c r="U605" s="281" t="e">
        <f>$F$8/$L$1*O605</f>
        <v>#REF!</v>
      </c>
      <c r="V605" s="281"/>
      <c r="W605" s="123" t="s">
        <v>47</v>
      </c>
      <c r="X605" s="124"/>
    </row>
    <row r="606" spans="1:24" ht="18.75" customHeight="1">
      <c r="A606" s="117" t="s">
        <v>55</v>
      </c>
      <c r="B606" s="115" t="s">
        <v>41</v>
      </c>
      <c r="C606" s="118" t="e">
        <f>'[9]LUONG T7'!K46</f>
        <v>#REF!</v>
      </c>
      <c r="D606" s="119" t="s">
        <v>51</v>
      </c>
      <c r="E606" s="280" t="s">
        <v>56</v>
      </c>
      <c r="F606" s="280"/>
      <c r="G606" s="280"/>
      <c r="H606" s="115" t="s">
        <v>41</v>
      </c>
      <c r="I606" s="281" t="e">
        <f>$F$8/$L$1*C606</f>
        <v>#REF!</v>
      </c>
      <c r="J606" s="281"/>
      <c r="K606" s="123" t="s">
        <v>47</v>
      </c>
      <c r="L606" s="124"/>
      <c r="M606" s="117" t="s">
        <v>55</v>
      </c>
      <c r="N606" s="115" t="s">
        <v>41</v>
      </c>
      <c r="O606" s="118" t="e">
        <f>'[9]LUONG T7'!K48</f>
        <v>#REF!</v>
      </c>
      <c r="P606" s="119" t="s">
        <v>51</v>
      </c>
      <c r="Q606" s="280" t="s">
        <v>56</v>
      </c>
      <c r="R606" s="280"/>
      <c r="S606" s="280"/>
      <c r="T606" s="115" t="s">
        <v>41</v>
      </c>
      <c r="U606" s="281" t="e">
        <f>$F$8/$L$1*O606</f>
        <v>#REF!</v>
      </c>
      <c r="V606" s="281"/>
      <c r="W606" s="123" t="s">
        <v>47</v>
      </c>
      <c r="X606" s="124"/>
    </row>
    <row r="607" spans="1:24" ht="18.75" customHeight="1">
      <c r="A607" s="117" t="s">
        <v>57</v>
      </c>
      <c r="B607" s="115" t="s">
        <v>41</v>
      </c>
      <c r="C607" s="118" t="e">
        <f>'[9]LUONG T7'!L46</f>
        <v>#REF!</v>
      </c>
      <c r="D607" s="119" t="s">
        <v>51</v>
      </c>
      <c r="E607" s="280" t="s">
        <v>58</v>
      </c>
      <c r="F607" s="280"/>
      <c r="G607" s="280"/>
      <c r="H607" s="115" t="s">
        <v>41</v>
      </c>
      <c r="I607" s="281" t="e">
        <f>$F$8/$L$1*C607</f>
        <v>#REF!</v>
      </c>
      <c r="J607" s="281"/>
      <c r="K607" s="123" t="s">
        <v>47</v>
      </c>
      <c r="L607" s="124"/>
      <c r="M607" s="117" t="s">
        <v>57</v>
      </c>
      <c r="N607" s="115" t="s">
        <v>41</v>
      </c>
      <c r="O607" s="118" t="e">
        <f>'[9]LUONG T7'!L48</f>
        <v>#REF!</v>
      </c>
      <c r="P607" s="119" t="s">
        <v>51</v>
      </c>
      <c r="Q607" s="280" t="s">
        <v>58</v>
      </c>
      <c r="R607" s="280"/>
      <c r="S607" s="280"/>
      <c r="T607" s="115" t="s">
        <v>41</v>
      </c>
      <c r="U607" s="281" t="e">
        <f>$F$8/$L$1*O607</f>
        <v>#REF!</v>
      </c>
      <c r="V607" s="281"/>
      <c r="W607" s="123" t="s">
        <v>47</v>
      </c>
      <c r="X607" s="124"/>
    </row>
    <row r="608" spans="1:24" ht="18.75" customHeight="1">
      <c r="A608" s="117" t="s">
        <v>59</v>
      </c>
      <c r="B608" s="115" t="s">
        <v>41</v>
      </c>
      <c r="C608" s="118" t="e">
        <f>'[9]LUONG T7'!Q46</f>
        <v>#REF!</v>
      </c>
      <c r="D608" s="119" t="s">
        <v>60</v>
      </c>
      <c r="E608" s="270" t="s">
        <v>61</v>
      </c>
      <c r="F608" s="270"/>
      <c r="G608" s="270"/>
      <c r="H608" s="115" t="s">
        <v>41</v>
      </c>
      <c r="I608" s="281" t="e">
        <f>'[9]LUONG T7'!Q47</f>
        <v>#REF!</v>
      </c>
      <c r="J608" s="281"/>
      <c r="K608" s="123" t="s">
        <v>47</v>
      </c>
      <c r="L608" s="124" t="e">
        <f>F601*C608/L594/8*1.5</f>
        <v>#REF!</v>
      </c>
      <c r="M608" s="117" t="s">
        <v>59</v>
      </c>
      <c r="N608" s="115" t="s">
        <v>41</v>
      </c>
      <c r="O608" s="118" t="e">
        <f>'[9]LUONG T7'!Q48</f>
        <v>#REF!</v>
      </c>
      <c r="P608" s="119" t="s">
        <v>60</v>
      </c>
      <c r="Q608" s="270" t="s">
        <v>61</v>
      </c>
      <c r="R608" s="270"/>
      <c r="S608" s="270"/>
      <c r="T608" s="115" t="s">
        <v>41</v>
      </c>
      <c r="U608" s="281" t="e">
        <f>'[9]LUONG T7'!Q49</f>
        <v>#REF!</v>
      </c>
      <c r="V608" s="281"/>
      <c r="W608" s="123" t="s">
        <v>47</v>
      </c>
      <c r="X608" s="124" t="e">
        <f>R601*O608/X594/8*1.5</f>
        <v>#REF!</v>
      </c>
    </row>
    <row r="609" spans="1:24" ht="18.75" customHeight="1">
      <c r="A609" s="269" t="s">
        <v>62</v>
      </c>
      <c r="B609" s="270"/>
      <c r="C609" s="118"/>
      <c r="D609" s="119" t="s">
        <v>51</v>
      </c>
      <c r="E609" s="270" t="s">
        <v>63</v>
      </c>
      <c r="F609" s="270"/>
      <c r="G609" s="270"/>
      <c r="H609" s="125" t="s">
        <v>41</v>
      </c>
      <c r="I609" s="281"/>
      <c r="J609" s="281"/>
      <c r="K609" s="123" t="s">
        <v>47</v>
      </c>
      <c r="L609" s="124"/>
      <c r="M609" s="269" t="s">
        <v>62</v>
      </c>
      <c r="N609" s="270"/>
      <c r="O609" s="118"/>
      <c r="P609" s="119" t="s">
        <v>51</v>
      </c>
      <c r="Q609" s="270" t="s">
        <v>63</v>
      </c>
      <c r="R609" s="270"/>
      <c r="S609" s="270"/>
      <c r="T609" s="125" t="s">
        <v>41</v>
      </c>
      <c r="U609" s="281"/>
      <c r="V609" s="281"/>
      <c r="W609" s="123" t="s">
        <v>47</v>
      </c>
      <c r="X609" s="124"/>
    </row>
    <row r="610" spans="1:24" ht="18.75" customHeight="1">
      <c r="A610" s="117" t="s">
        <v>64</v>
      </c>
      <c r="B610" s="115" t="s">
        <v>41</v>
      </c>
      <c r="C610" s="118"/>
      <c r="D610" s="119" t="s">
        <v>51</v>
      </c>
      <c r="E610" s="270" t="s">
        <v>65</v>
      </c>
      <c r="F610" s="270"/>
      <c r="G610" s="270"/>
      <c r="H610" s="115" t="s">
        <v>41</v>
      </c>
      <c r="I610" s="281"/>
      <c r="J610" s="281"/>
      <c r="K610" s="123" t="s">
        <v>47</v>
      </c>
      <c r="L610" s="124"/>
      <c r="M610" s="117" t="s">
        <v>64</v>
      </c>
      <c r="N610" s="115" t="s">
        <v>41</v>
      </c>
      <c r="O610" s="118"/>
      <c r="P610" s="119" t="s">
        <v>51</v>
      </c>
      <c r="Q610" s="270" t="s">
        <v>65</v>
      </c>
      <c r="R610" s="270"/>
      <c r="S610" s="270"/>
      <c r="T610" s="115" t="s">
        <v>41</v>
      </c>
      <c r="U610" s="281"/>
      <c r="V610" s="281"/>
      <c r="W610" s="123" t="s">
        <v>47</v>
      </c>
      <c r="X610" s="124"/>
    </row>
    <row r="611" spans="1:24" ht="18.75" customHeight="1">
      <c r="A611" s="126" t="s">
        <v>66</v>
      </c>
      <c r="B611" s="115"/>
      <c r="C611" s="118" t="e">
        <f>'[9]LUONG T7'!M46</f>
        <v>#REF!</v>
      </c>
      <c r="D611" s="119" t="s">
        <v>60</v>
      </c>
      <c r="E611" s="270" t="s">
        <v>67</v>
      </c>
      <c r="F611" s="270"/>
      <c r="G611" s="270"/>
      <c r="H611" s="115" t="s">
        <v>41</v>
      </c>
      <c r="I611" s="281" t="e">
        <f>$F$8*C611/8/$L$1</f>
        <v>#REF!</v>
      </c>
      <c r="J611" s="281"/>
      <c r="K611" s="123" t="s">
        <v>47</v>
      </c>
      <c r="L611" s="124"/>
      <c r="M611" s="126" t="s">
        <v>66</v>
      </c>
      <c r="N611" s="115"/>
      <c r="O611" s="118" t="e">
        <f>'[9]LUONG T7'!M48</f>
        <v>#REF!</v>
      </c>
      <c r="P611" s="119" t="s">
        <v>60</v>
      </c>
      <c r="Q611" s="270" t="s">
        <v>67</v>
      </c>
      <c r="R611" s="270"/>
      <c r="S611" s="270"/>
      <c r="T611" s="115" t="s">
        <v>41</v>
      </c>
      <c r="U611" s="281" t="e">
        <f>$F$8*O611/8/$L$1</f>
        <v>#REF!</v>
      </c>
      <c r="V611" s="281"/>
      <c r="W611" s="123" t="s">
        <v>47</v>
      </c>
      <c r="X611" s="124"/>
    </row>
    <row r="612" spans="1:24" ht="18.75" customHeight="1">
      <c r="A612" s="117" t="s">
        <v>68</v>
      </c>
      <c r="B612" s="115" t="s">
        <v>41</v>
      </c>
      <c r="C612" s="118"/>
      <c r="D612" s="119" t="s">
        <v>60</v>
      </c>
      <c r="E612" s="270" t="s">
        <v>92</v>
      </c>
      <c r="F612" s="270"/>
      <c r="G612" s="270"/>
      <c r="H612" s="115" t="s">
        <v>41</v>
      </c>
      <c r="I612" s="283"/>
      <c r="J612" s="283"/>
      <c r="K612" s="123" t="s">
        <v>47</v>
      </c>
      <c r="L612" s="124"/>
      <c r="M612" s="117" t="s">
        <v>68</v>
      </c>
      <c r="N612" s="115" t="s">
        <v>41</v>
      </c>
      <c r="O612" s="118"/>
      <c r="P612" s="119" t="s">
        <v>60</v>
      </c>
      <c r="Q612" s="270" t="s">
        <v>92</v>
      </c>
      <c r="R612" s="270"/>
      <c r="S612" s="270"/>
      <c r="T612" s="115" t="s">
        <v>41</v>
      </c>
      <c r="U612" s="283"/>
      <c r="V612" s="283"/>
      <c r="W612" s="123" t="s">
        <v>47</v>
      </c>
      <c r="X612" s="124"/>
    </row>
    <row r="613" spans="1:24" ht="18.75" customHeight="1">
      <c r="A613" s="117" t="s">
        <v>70</v>
      </c>
      <c r="B613" s="115" t="s">
        <v>41</v>
      </c>
      <c r="C613" s="118"/>
      <c r="D613" s="119" t="s">
        <v>71</v>
      </c>
      <c r="E613" s="127" t="s">
        <v>72</v>
      </c>
      <c r="F613" s="127"/>
      <c r="G613" s="127"/>
      <c r="H613" s="115" t="s">
        <v>41</v>
      </c>
      <c r="I613" s="281"/>
      <c r="J613" s="281"/>
      <c r="K613" s="123" t="s">
        <v>47</v>
      </c>
      <c r="L613" s="124" t="e">
        <f>+IF(L604-I604&lt;0,0,L604-I604)+IF(L608-I608&lt;0,0,L608-I608)</f>
        <v>#REF!</v>
      </c>
      <c r="M613" s="117" t="s">
        <v>70</v>
      </c>
      <c r="N613" s="115" t="s">
        <v>41</v>
      </c>
      <c r="O613" s="118"/>
      <c r="P613" s="119" t="s">
        <v>71</v>
      </c>
      <c r="Q613" s="127" t="s">
        <v>72</v>
      </c>
      <c r="R613" s="127"/>
      <c r="S613" s="127"/>
      <c r="T613" s="115" t="s">
        <v>41</v>
      </c>
      <c r="U613" s="281"/>
      <c r="V613" s="281"/>
      <c r="W613" s="123" t="s">
        <v>47</v>
      </c>
      <c r="X613" s="124" t="e">
        <f>+IF(X604-U604&lt;0,0,X604-U604)+IF(X608-U608&lt;0,0,X608-U608)</f>
        <v>#REF!</v>
      </c>
    </row>
    <row r="614" spans="1:24" ht="18.75" customHeight="1">
      <c r="A614" s="128" t="s">
        <v>117</v>
      </c>
      <c r="B614" s="129"/>
      <c r="C614" s="118"/>
      <c r="D614" s="119" t="s">
        <v>51</v>
      </c>
      <c r="E614" s="270" t="s">
        <v>118</v>
      </c>
      <c r="F614" s="270"/>
      <c r="G614" s="270"/>
      <c r="H614" s="115" t="s">
        <v>41</v>
      </c>
      <c r="I614" s="281"/>
      <c r="J614" s="281"/>
      <c r="K614" s="123" t="s">
        <v>47</v>
      </c>
      <c r="L614" s="124"/>
      <c r="M614" s="128" t="s">
        <v>117</v>
      </c>
      <c r="N614" s="129"/>
      <c r="O614" s="118"/>
      <c r="P614" s="119" t="s">
        <v>51</v>
      </c>
      <c r="Q614" s="270" t="s">
        <v>118</v>
      </c>
      <c r="R614" s="270"/>
      <c r="S614" s="270"/>
      <c r="T614" s="115" t="s">
        <v>41</v>
      </c>
      <c r="U614" s="281"/>
      <c r="V614" s="281"/>
      <c r="W614" s="123" t="s">
        <v>47</v>
      </c>
      <c r="X614" s="124"/>
    </row>
    <row r="615" spans="1:24" ht="18.75" customHeight="1">
      <c r="A615" s="288" t="s">
        <v>75</v>
      </c>
      <c r="B615" s="282"/>
      <c r="C615" s="118"/>
      <c r="D615" s="119"/>
      <c r="E615" s="120"/>
      <c r="F615" s="120"/>
      <c r="G615" s="120"/>
      <c r="H615" s="115" t="s">
        <v>41</v>
      </c>
      <c r="I615" s="281" t="e">
        <f>'[9]LUONG T7'!P47</f>
        <v>#REF!</v>
      </c>
      <c r="J615" s="281"/>
      <c r="K615" s="123" t="s">
        <v>47</v>
      </c>
      <c r="L615" s="124"/>
      <c r="M615" s="288" t="s">
        <v>75</v>
      </c>
      <c r="N615" s="282"/>
      <c r="O615" s="118"/>
      <c r="P615" s="119"/>
      <c r="Q615" s="120"/>
      <c r="R615" s="120"/>
      <c r="S615" s="120"/>
      <c r="T615" s="115" t="s">
        <v>41</v>
      </c>
      <c r="U615" s="281" t="e">
        <f>'[9]LUONG T7'!P49</f>
        <v>#REF!</v>
      </c>
      <c r="V615" s="281"/>
      <c r="W615" s="123" t="s">
        <v>47</v>
      </c>
      <c r="X615" s="124"/>
    </row>
    <row r="616" spans="1:24" ht="18.75" customHeight="1">
      <c r="A616" s="117" t="s">
        <v>76</v>
      </c>
      <c r="B616" s="115" t="s">
        <v>41</v>
      </c>
      <c r="C616" s="118"/>
      <c r="D616" s="119"/>
      <c r="E616" s="120" t="s">
        <v>77</v>
      </c>
      <c r="F616" s="120"/>
      <c r="G616" s="120"/>
      <c r="H616" s="115" t="s">
        <v>41</v>
      </c>
      <c r="I616" s="281" t="e">
        <f>L613</f>
        <v>#REF!</v>
      </c>
      <c r="J616" s="281"/>
      <c r="K616" s="123" t="s">
        <v>47</v>
      </c>
      <c r="L616" s="124"/>
      <c r="M616" s="117" t="s">
        <v>76</v>
      </c>
      <c r="N616" s="115" t="s">
        <v>41</v>
      </c>
      <c r="O616" s="118"/>
      <c r="P616" s="119"/>
      <c r="Q616" s="120" t="s">
        <v>77</v>
      </c>
      <c r="R616" s="120"/>
      <c r="S616" s="120"/>
      <c r="T616" s="115" t="s">
        <v>41</v>
      </c>
      <c r="U616" s="281" t="e">
        <f>X613</f>
        <v>#REF!</v>
      </c>
      <c r="V616" s="281"/>
      <c r="W616" s="123" t="s">
        <v>47</v>
      </c>
      <c r="X616" s="124"/>
    </row>
    <row r="617" spans="1:24" ht="18.75" customHeight="1">
      <c r="A617" s="285" t="s">
        <v>78</v>
      </c>
      <c r="B617" s="286"/>
      <c r="C617" s="286"/>
      <c r="D617" s="286"/>
      <c r="E617" s="286"/>
      <c r="F617" s="286"/>
      <c r="G617" s="115" t="s">
        <v>41</v>
      </c>
      <c r="H617" s="287" t="e">
        <f>I604+I605+I606+I607+I608+I611+I615+I616</f>
        <v>#REF!</v>
      </c>
      <c r="I617" s="287"/>
      <c r="J617" s="287"/>
      <c r="K617" s="123" t="s">
        <v>47</v>
      </c>
      <c r="M617" s="285" t="s">
        <v>78</v>
      </c>
      <c r="N617" s="286"/>
      <c r="O617" s="286"/>
      <c r="P617" s="286"/>
      <c r="Q617" s="286"/>
      <c r="R617" s="286"/>
      <c r="S617" s="115" t="s">
        <v>41</v>
      </c>
      <c r="T617" s="287" t="e">
        <f>U604+U605+U606+U607+U608+U611+U615+U616</f>
        <v>#REF!</v>
      </c>
      <c r="U617" s="287"/>
      <c r="V617" s="287"/>
      <c r="W617" s="123" t="s">
        <v>47</v>
      </c>
    </row>
    <row r="618" spans="1:24" ht="18.75" customHeight="1">
      <c r="A618" s="130"/>
      <c r="B618" s="131"/>
      <c r="C618" s="131"/>
      <c r="D618" s="131"/>
      <c r="E618" s="131"/>
      <c r="F618" s="131"/>
      <c r="G618" s="131"/>
      <c r="H618" s="131"/>
      <c r="I618" s="131"/>
      <c r="J618" s="131"/>
      <c r="K618" s="132"/>
      <c r="M618" s="130"/>
      <c r="N618" s="131"/>
      <c r="O618" s="131"/>
      <c r="P618" s="131"/>
      <c r="Q618" s="131"/>
      <c r="R618" s="131"/>
      <c r="S618" s="131"/>
      <c r="T618" s="131"/>
      <c r="U618" s="131"/>
      <c r="V618" s="131"/>
      <c r="W618" s="132"/>
    </row>
    <row r="619" spans="1:24" ht="18.75" customHeight="1">
      <c r="A619" s="295" t="s">
        <v>79</v>
      </c>
      <c r="B619" s="296"/>
      <c r="C619" s="296"/>
      <c r="D619" s="296"/>
      <c r="E619" s="296"/>
      <c r="F619" s="296"/>
      <c r="G619" s="115"/>
      <c r="H619" s="115"/>
      <c r="I619" s="115"/>
      <c r="J619" s="115"/>
      <c r="K619" s="123"/>
      <c r="M619" s="295" t="s">
        <v>79</v>
      </c>
      <c r="N619" s="296"/>
      <c r="O619" s="296"/>
      <c r="P619" s="296"/>
      <c r="Q619" s="296"/>
      <c r="R619" s="296"/>
      <c r="S619" s="115"/>
      <c r="T619" s="115"/>
      <c r="U619" s="115"/>
      <c r="V619" s="115"/>
      <c r="W619" s="123"/>
    </row>
    <row r="620" spans="1:24" ht="18.75" customHeight="1">
      <c r="A620" s="289" t="s">
        <v>80</v>
      </c>
      <c r="B620" s="290"/>
      <c r="C620" s="290"/>
      <c r="D620" s="290"/>
      <c r="E620" s="290"/>
      <c r="F620" s="290"/>
      <c r="G620" s="115" t="s">
        <v>41</v>
      </c>
      <c r="H620" s="297" t="e">
        <f>IF(($L$1-(C604+C605+C606+C607))&gt;12,0,F601*8%)</f>
        <v>#REF!</v>
      </c>
      <c r="I620" s="297"/>
      <c r="J620" s="297"/>
      <c r="K620" s="123" t="s">
        <v>47</v>
      </c>
      <c r="M620" s="289" t="s">
        <v>80</v>
      </c>
      <c r="N620" s="290"/>
      <c r="O620" s="290"/>
      <c r="P620" s="290"/>
      <c r="Q620" s="290"/>
      <c r="R620" s="290"/>
      <c r="S620" s="115" t="s">
        <v>41</v>
      </c>
      <c r="T620" s="297" t="e">
        <f>IF(($L$1-(O604+O605+O606+O607))&gt;12,0,R601*8%)</f>
        <v>#REF!</v>
      </c>
      <c r="U620" s="297"/>
      <c r="V620" s="297"/>
      <c r="W620" s="123" t="s">
        <v>47</v>
      </c>
    </row>
    <row r="621" spans="1:24" ht="18.75" customHeight="1">
      <c r="A621" s="289" t="s">
        <v>81</v>
      </c>
      <c r="B621" s="290"/>
      <c r="C621" s="290"/>
      <c r="D621" s="290"/>
      <c r="E621" s="290"/>
      <c r="F621" s="290"/>
      <c r="G621" s="115" t="s">
        <v>41</v>
      </c>
      <c r="H621" s="291" t="e">
        <f>IF(($L$1-(C604+C605+C606+C607))&gt;12,0,F601*1.5%)</f>
        <v>#REF!</v>
      </c>
      <c r="I621" s="291"/>
      <c r="J621" s="291"/>
      <c r="K621" s="123" t="s">
        <v>47</v>
      </c>
      <c r="M621" s="289" t="s">
        <v>81</v>
      </c>
      <c r="N621" s="290"/>
      <c r="O621" s="290"/>
      <c r="P621" s="290"/>
      <c r="Q621" s="290"/>
      <c r="R621" s="290"/>
      <c r="S621" s="115" t="s">
        <v>41</v>
      </c>
      <c r="T621" s="291" t="e">
        <f>IF(($L$1-(O604+O605+O606+O607))&gt;12,0,R601*1.5%)</f>
        <v>#REF!</v>
      </c>
      <c r="U621" s="291"/>
      <c r="V621" s="291"/>
      <c r="W621" s="123" t="s">
        <v>47</v>
      </c>
    </row>
    <row r="622" spans="1:24" ht="18.75" customHeight="1">
      <c r="A622" s="289" t="s">
        <v>82</v>
      </c>
      <c r="B622" s="290"/>
      <c r="C622" s="290"/>
      <c r="D622" s="290"/>
      <c r="E622" s="290"/>
      <c r="F622" s="290"/>
      <c r="G622" s="115" t="s">
        <v>41</v>
      </c>
      <c r="H622" s="291" t="e">
        <f>IF(($L$1-(C604+C605+C606+C607))&gt;12,0,F601*1%)</f>
        <v>#REF!</v>
      </c>
      <c r="I622" s="291"/>
      <c r="J622" s="291"/>
      <c r="K622" s="123" t="s">
        <v>47</v>
      </c>
      <c r="M622" s="289" t="s">
        <v>82</v>
      </c>
      <c r="N622" s="290"/>
      <c r="O622" s="290"/>
      <c r="P622" s="290"/>
      <c r="Q622" s="290"/>
      <c r="R622" s="290"/>
      <c r="S622" s="115" t="s">
        <v>41</v>
      </c>
      <c r="T622" s="291" t="e">
        <f>IF(($L$1-(O604+O605+O606+O607))&gt;12,0,R601*1%)</f>
        <v>#REF!</v>
      </c>
      <c r="U622" s="291"/>
      <c r="V622" s="291"/>
      <c r="W622" s="123" t="s">
        <v>47</v>
      </c>
    </row>
    <row r="623" spans="1:24" ht="18.75" customHeight="1">
      <c r="A623" s="289" t="s">
        <v>83</v>
      </c>
      <c r="B623" s="290"/>
      <c r="C623" s="290"/>
      <c r="D623" s="290"/>
      <c r="E623" s="290"/>
      <c r="F623" s="290"/>
      <c r="G623" s="115" t="s">
        <v>41</v>
      </c>
      <c r="H623" s="291">
        <v>0</v>
      </c>
      <c r="I623" s="291"/>
      <c r="J623" s="291"/>
      <c r="K623" s="123" t="s">
        <v>47</v>
      </c>
      <c r="M623" s="289" t="s">
        <v>83</v>
      </c>
      <c r="N623" s="290"/>
      <c r="O623" s="290"/>
      <c r="P623" s="290"/>
      <c r="Q623" s="290"/>
      <c r="R623" s="290"/>
      <c r="S623" s="115" t="s">
        <v>41</v>
      </c>
      <c r="T623" s="291">
        <v>0</v>
      </c>
      <c r="U623" s="291"/>
      <c r="V623" s="291"/>
      <c r="W623" s="123" t="s">
        <v>47</v>
      </c>
    </row>
    <row r="624" spans="1:24" ht="18.75" customHeight="1">
      <c r="A624" s="292" t="s">
        <v>84</v>
      </c>
      <c r="B624" s="293"/>
      <c r="C624" s="293"/>
      <c r="D624" s="293"/>
      <c r="E624" s="293"/>
      <c r="F624" s="293"/>
      <c r="G624" s="115" t="s">
        <v>41</v>
      </c>
      <c r="H624" s="294" t="e">
        <f>SUM(H620:J623)</f>
        <v>#REF!</v>
      </c>
      <c r="I624" s="294"/>
      <c r="J624" s="294"/>
      <c r="K624" s="123" t="s">
        <v>47</v>
      </c>
      <c r="M624" s="292" t="s">
        <v>84</v>
      </c>
      <c r="N624" s="293"/>
      <c r="O624" s="293"/>
      <c r="P624" s="293"/>
      <c r="Q624" s="293"/>
      <c r="R624" s="293"/>
      <c r="S624" s="115" t="s">
        <v>41</v>
      </c>
      <c r="T624" s="294" t="e">
        <f>SUM(T620:V623)</f>
        <v>#REF!</v>
      </c>
      <c r="U624" s="294"/>
      <c r="V624" s="294"/>
      <c r="W624" s="123" t="s">
        <v>47</v>
      </c>
    </row>
    <row r="625" spans="1:24" ht="18.75" customHeight="1">
      <c r="A625" s="289" t="s">
        <v>85</v>
      </c>
      <c r="B625" s="290"/>
      <c r="C625" s="290"/>
      <c r="D625" s="290"/>
      <c r="E625" s="290"/>
      <c r="F625" s="290"/>
      <c r="G625" s="115" t="s">
        <v>41</v>
      </c>
      <c r="H625" s="301" t="e">
        <f>ROUND(H617-H624,-2)</f>
        <v>#REF!</v>
      </c>
      <c r="I625" s="301"/>
      <c r="J625" s="301"/>
      <c r="K625" s="123" t="s">
        <v>47</v>
      </c>
      <c r="M625" s="289" t="s">
        <v>85</v>
      </c>
      <c r="N625" s="290"/>
      <c r="O625" s="290"/>
      <c r="P625" s="290"/>
      <c r="Q625" s="290"/>
      <c r="R625" s="290"/>
      <c r="S625" s="115" t="s">
        <v>41</v>
      </c>
      <c r="T625" s="301" t="e">
        <f>ROUND(T617-T624,-2)</f>
        <v>#REF!</v>
      </c>
      <c r="U625" s="301"/>
      <c r="V625" s="301"/>
      <c r="W625" s="123" t="s">
        <v>47</v>
      </c>
    </row>
    <row r="626" spans="1:24" ht="18.75" customHeight="1">
      <c r="A626" s="133"/>
      <c r="B626" s="134"/>
      <c r="C626" s="134"/>
      <c r="D626" s="134"/>
      <c r="E626" s="134"/>
      <c r="F626" s="134"/>
      <c r="G626" s="134"/>
      <c r="H626" s="134"/>
      <c r="I626" s="134"/>
      <c r="J626" s="134"/>
      <c r="K626" s="135"/>
      <c r="M626" s="133"/>
      <c r="N626" s="134"/>
      <c r="O626" s="134"/>
      <c r="P626" s="134"/>
      <c r="Q626" s="134"/>
      <c r="R626" s="134"/>
      <c r="S626" s="134"/>
      <c r="T626" s="134"/>
      <c r="U626" s="134"/>
      <c r="V626" s="134"/>
      <c r="W626" s="135"/>
    </row>
    <row r="627" spans="1:24" ht="18.75" customHeight="1">
      <c r="A627" s="136"/>
      <c r="B627" s="115"/>
      <c r="C627" s="115"/>
      <c r="D627" s="115"/>
      <c r="E627" s="115"/>
      <c r="F627" s="115"/>
      <c r="G627" s="115"/>
      <c r="H627" s="115"/>
      <c r="I627" s="298" t="s">
        <v>86</v>
      </c>
      <c r="J627" s="298"/>
      <c r="K627" s="302"/>
      <c r="M627" s="136"/>
      <c r="N627" s="115"/>
      <c r="O627" s="115"/>
      <c r="P627" s="115"/>
      <c r="Q627" s="115"/>
      <c r="R627" s="115"/>
      <c r="S627" s="115"/>
      <c r="T627" s="115"/>
      <c r="U627" s="298" t="s">
        <v>86</v>
      </c>
      <c r="V627" s="298"/>
      <c r="W627" s="302"/>
    </row>
    <row r="628" spans="1:24" ht="18.75" customHeight="1">
      <c r="A628" s="136"/>
      <c r="B628" s="298"/>
      <c r="C628" s="298"/>
      <c r="D628" s="298"/>
      <c r="E628" s="298"/>
      <c r="F628" s="115"/>
      <c r="G628" s="115"/>
      <c r="H628" s="115"/>
      <c r="I628" s="115"/>
      <c r="J628" s="115"/>
      <c r="K628" s="116"/>
      <c r="M628" s="136"/>
      <c r="N628" s="298"/>
      <c r="O628" s="298"/>
      <c r="P628" s="298"/>
      <c r="Q628" s="298"/>
      <c r="R628" s="115"/>
      <c r="S628" s="115"/>
      <c r="T628" s="115"/>
      <c r="U628" s="115"/>
      <c r="V628" s="115"/>
      <c r="W628" s="116"/>
    </row>
    <row r="629" spans="1:24" ht="18.75" customHeight="1" thickBot="1">
      <c r="A629" s="137"/>
      <c r="B629" s="138"/>
      <c r="C629" s="138"/>
      <c r="D629" s="138"/>
      <c r="E629" s="138"/>
      <c r="F629" s="138"/>
      <c r="G629" s="138"/>
      <c r="H629" s="138"/>
      <c r="I629" s="299" t="s">
        <v>87</v>
      </c>
      <c r="J629" s="299"/>
      <c r="K629" s="300"/>
      <c r="M629" s="137"/>
      <c r="N629" s="138"/>
      <c r="O629" s="138"/>
      <c r="P629" s="138"/>
      <c r="Q629" s="138"/>
      <c r="R629" s="138"/>
      <c r="S629" s="138"/>
      <c r="T629" s="138"/>
      <c r="U629" s="299" t="s">
        <v>87</v>
      </c>
      <c r="V629" s="299"/>
      <c r="W629" s="300"/>
    </row>
    <row r="631" spans="1:24" ht="18.75" customHeight="1" thickTop="1">
      <c r="A631" s="274" t="s">
        <v>35</v>
      </c>
      <c r="B631" s="275"/>
      <c r="C631" s="275"/>
      <c r="D631" s="275"/>
      <c r="E631" s="275"/>
      <c r="F631" s="275"/>
      <c r="G631" s="275"/>
      <c r="H631" s="275"/>
      <c r="I631" s="275"/>
      <c r="J631" s="275"/>
      <c r="K631" s="276"/>
      <c r="L631" s="111">
        <v>25</v>
      </c>
      <c r="M631" s="274" t="s">
        <v>35</v>
      </c>
      <c r="N631" s="275"/>
      <c r="O631" s="275"/>
      <c r="P631" s="275"/>
      <c r="Q631" s="275"/>
      <c r="R631" s="275"/>
      <c r="S631" s="275"/>
      <c r="T631" s="275"/>
      <c r="U631" s="275"/>
      <c r="V631" s="275"/>
      <c r="W631" s="276"/>
      <c r="X631" s="111">
        <v>25</v>
      </c>
    </row>
    <row r="632" spans="1:24" ht="18.75" customHeight="1">
      <c r="A632" s="112" t="s">
        <v>137</v>
      </c>
      <c r="B632" s="113"/>
      <c r="C632" s="113"/>
      <c r="D632" s="113"/>
      <c r="E632" s="113"/>
      <c r="F632" s="113"/>
      <c r="G632" s="113"/>
      <c r="H632" s="113"/>
      <c r="I632" s="113"/>
      <c r="J632" s="113"/>
      <c r="K632" s="114"/>
      <c r="M632" s="112" t="s">
        <v>138</v>
      </c>
      <c r="N632" s="113"/>
      <c r="O632" s="113"/>
      <c r="P632" s="113"/>
      <c r="Q632" s="113"/>
      <c r="R632" s="113"/>
      <c r="S632" s="113"/>
      <c r="T632" s="113"/>
      <c r="U632" s="113"/>
      <c r="V632" s="113"/>
      <c r="W632" s="114"/>
    </row>
    <row r="633" spans="1:24" ht="18.75" customHeight="1">
      <c r="A633" s="277" t="s">
        <v>39</v>
      </c>
      <c r="B633" s="278"/>
      <c r="C633" s="278"/>
      <c r="D633" s="278"/>
      <c r="E633" s="278"/>
      <c r="F633" s="278"/>
      <c r="G633" s="278"/>
      <c r="H633" s="278"/>
      <c r="I633" s="278"/>
      <c r="J633" s="278"/>
      <c r="K633" s="279"/>
      <c r="M633" s="277" t="s">
        <v>39</v>
      </c>
      <c r="N633" s="278"/>
      <c r="O633" s="278"/>
      <c r="P633" s="278"/>
      <c r="Q633" s="278"/>
      <c r="R633" s="278"/>
      <c r="S633" s="278"/>
      <c r="T633" s="278"/>
      <c r="U633" s="278"/>
      <c r="V633" s="278"/>
      <c r="W633" s="279"/>
    </row>
    <row r="634" spans="1:24" ht="18.75" customHeight="1">
      <c r="A634" s="269" t="s">
        <v>40</v>
      </c>
      <c r="B634" s="270"/>
      <c r="C634" s="270"/>
      <c r="D634" s="270"/>
      <c r="E634" s="115" t="s">
        <v>41</v>
      </c>
      <c r="F634" s="271" t="e">
        <f>'[9]Bang TH nop'!B71</f>
        <v>#REF!</v>
      </c>
      <c r="G634" s="270"/>
      <c r="H634" s="270"/>
      <c r="I634" s="270"/>
      <c r="J634" s="270"/>
      <c r="K634" s="273"/>
      <c r="M634" s="269" t="s">
        <v>40</v>
      </c>
      <c r="N634" s="270"/>
      <c r="O634" s="270"/>
      <c r="P634" s="270"/>
      <c r="Q634" s="115" t="s">
        <v>41</v>
      </c>
      <c r="R634" s="271" t="e">
        <f>'[9]Bang TH nop'!B73</f>
        <v>#REF!</v>
      </c>
      <c r="S634" s="270"/>
      <c r="T634" s="270"/>
      <c r="U634" s="270"/>
      <c r="V634" s="270"/>
      <c r="W634" s="273"/>
    </row>
    <row r="635" spans="1:24" ht="18.75" customHeight="1">
      <c r="A635" s="269" t="s">
        <v>43</v>
      </c>
      <c r="B635" s="270"/>
      <c r="C635" s="270"/>
      <c r="D635" s="270"/>
      <c r="E635" s="115" t="s">
        <v>41</v>
      </c>
      <c r="F635" s="271" t="e">
        <f>'[9]Bang TH nop'!C71</f>
        <v>#REF!</v>
      </c>
      <c r="G635" s="271"/>
      <c r="H635" s="271"/>
      <c r="I635" s="271"/>
      <c r="J635" s="271"/>
      <c r="K635" s="272"/>
      <c r="M635" s="269" t="s">
        <v>43</v>
      </c>
      <c r="N635" s="270"/>
      <c r="O635" s="270"/>
      <c r="P635" s="270"/>
      <c r="Q635" s="115" t="s">
        <v>41</v>
      </c>
      <c r="R635" s="271" t="e">
        <f>'[9]Bang TH nop'!C73</f>
        <v>#REF!</v>
      </c>
      <c r="S635" s="271"/>
      <c r="T635" s="271"/>
      <c r="U635" s="271"/>
      <c r="V635" s="271"/>
      <c r="W635" s="272"/>
    </row>
    <row r="636" spans="1:24" ht="18.75" customHeight="1">
      <c r="A636" s="269" t="s">
        <v>44</v>
      </c>
      <c r="B636" s="270"/>
      <c r="C636" s="270"/>
      <c r="D636" s="270"/>
      <c r="E636" s="115" t="s">
        <v>41</v>
      </c>
      <c r="F636" s="270" t="s">
        <v>116</v>
      </c>
      <c r="G636" s="270"/>
      <c r="H636" s="270"/>
      <c r="I636" s="270"/>
      <c r="J636" s="270"/>
      <c r="K636" s="273"/>
      <c r="M636" s="269" t="s">
        <v>44</v>
      </c>
      <c r="N636" s="270"/>
      <c r="O636" s="270"/>
      <c r="P636" s="270"/>
      <c r="Q636" s="115" t="s">
        <v>41</v>
      </c>
      <c r="R636" s="270" t="s">
        <v>116</v>
      </c>
      <c r="S636" s="270"/>
      <c r="T636" s="270"/>
      <c r="U636" s="270"/>
      <c r="V636" s="270"/>
      <c r="W636" s="273"/>
    </row>
    <row r="637" spans="1:24" ht="18.75" customHeight="1">
      <c r="A637" s="277" t="s">
        <v>45</v>
      </c>
      <c r="B637" s="278"/>
      <c r="C637" s="278"/>
      <c r="D637" s="278"/>
      <c r="E637" s="278"/>
      <c r="F637" s="278"/>
      <c r="G637" s="278"/>
      <c r="H637" s="278"/>
      <c r="I637" s="278"/>
      <c r="J637" s="278"/>
      <c r="K637" s="279"/>
      <c r="M637" s="277" t="s">
        <v>45</v>
      </c>
      <c r="N637" s="278"/>
      <c r="O637" s="278"/>
      <c r="P637" s="278"/>
      <c r="Q637" s="278"/>
      <c r="R637" s="278"/>
      <c r="S637" s="278"/>
      <c r="T637" s="278"/>
      <c r="U637" s="278"/>
      <c r="V637" s="278"/>
      <c r="W637" s="279"/>
    </row>
    <row r="638" spans="1:24" ht="18.75" customHeight="1">
      <c r="A638" s="269" t="s">
        <v>46</v>
      </c>
      <c r="B638" s="270"/>
      <c r="C638" s="270"/>
      <c r="D638" s="270"/>
      <c r="E638" s="115" t="s">
        <v>41</v>
      </c>
      <c r="F638" s="284">
        <v>2915400</v>
      </c>
      <c r="G638" s="284"/>
      <c r="H638" s="284"/>
      <c r="I638" s="284"/>
      <c r="J638" s="115" t="s">
        <v>47</v>
      </c>
      <c r="K638" s="116"/>
      <c r="M638" s="269" t="s">
        <v>46</v>
      </c>
      <c r="N638" s="270"/>
      <c r="O638" s="270"/>
      <c r="P638" s="270"/>
      <c r="Q638" s="115" t="s">
        <v>41</v>
      </c>
      <c r="R638" s="284">
        <v>2915400</v>
      </c>
      <c r="S638" s="284"/>
      <c r="T638" s="284"/>
      <c r="U638" s="284"/>
      <c r="V638" s="115" t="s">
        <v>47</v>
      </c>
      <c r="W638" s="116"/>
    </row>
    <row r="639" spans="1:24" ht="18.75" customHeight="1">
      <c r="A639" s="117" t="s">
        <v>48</v>
      </c>
      <c r="B639" s="115"/>
      <c r="C639" s="118"/>
      <c r="D639" s="119"/>
      <c r="E639" s="120"/>
      <c r="F639" s="120"/>
      <c r="G639" s="120"/>
      <c r="H639" s="115"/>
      <c r="I639" s="121" t="e">
        <f>'[9]LUONG T7'!F51</f>
        <v>#REF!</v>
      </c>
      <c r="J639" s="122"/>
      <c r="K639" s="123"/>
      <c r="M639" s="117" t="s">
        <v>48</v>
      </c>
      <c r="N639" s="115"/>
      <c r="O639" s="118"/>
      <c r="P639" s="119"/>
      <c r="Q639" s="120"/>
      <c r="R639" s="120"/>
      <c r="S639" s="120"/>
      <c r="T639" s="115"/>
      <c r="U639" s="121" t="e">
        <f>'[9]LUONG T7'!F53</f>
        <v>#REF!</v>
      </c>
      <c r="V639" s="122"/>
      <c r="W639" s="123"/>
    </row>
    <row r="640" spans="1:24" ht="18.75" customHeight="1">
      <c r="A640" s="117" t="s">
        <v>49</v>
      </c>
      <c r="B640" s="115"/>
      <c r="C640" s="118"/>
      <c r="D640" s="119"/>
      <c r="E640" s="120"/>
      <c r="F640" s="120"/>
      <c r="G640" s="120"/>
      <c r="H640" s="115"/>
      <c r="I640" s="121" t="e">
        <f>I641/C641/8</f>
        <v>#REF!</v>
      </c>
      <c r="J640" s="122"/>
      <c r="K640" s="123"/>
      <c r="M640" s="117" t="s">
        <v>49</v>
      </c>
      <c r="N640" s="115"/>
      <c r="O640" s="118"/>
      <c r="P640" s="119"/>
      <c r="Q640" s="120"/>
      <c r="R640" s="120"/>
      <c r="S640" s="120"/>
      <c r="T640" s="115"/>
      <c r="U640" s="121" t="e">
        <f>U641/O641/8</f>
        <v>#REF!</v>
      </c>
      <c r="V640" s="122"/>
      <c r="W640" s="123"/>
    </row>
    <row r="641" spans="1:24" ht="18.75" customHeight="1">
      <c r="A641" s="117" t="s">
        <v>50</v>
      </c>
      <c r="B641" s="115" t="s">
        <v>41</v>
      </c>
      <c r="C641" s="118" t="e">
        <f>'[9]LUONG T7'!I50</f>
        <v>#REF!</v>
      </c>
      <c r="D641" s="119" t="s">
        <v>51</v>
      </c>
      <c r="E641" s="282" t="s">
        <v>52</v>
      </c>
      <c r="F641" s="282"/>
      <c r="G641" s="282"/>
      <c r="H641" s="115" t="s">
        <v>41</v>
      </c>
      <c r="I641" s="283" t="e">
        <f>'[9]LUONG T7'!I51</f>
        <v>#REF!</v>
      </c>
      <c r="J641" s="283"/>
      <c r="K641" s="123" t="s">
        <v>47</v>
      </c>
      <c r="L641" s="124" t="e">
        <f>F638/L631*C641</f>
        <v>#REF!</v>
      </c>
      <c r="M641" s="117" t="s">
        <v>50</v>
      </c>
      <c r="N641" s="115" t="s">
        <v>41</v>
      </c>
      <c r="O641" s="118" t="e">
        <f>'[9]LUONG T7'!I52</f>
        <v>#REF!</v>
      </c>
      <c r="P641" s="119" t="s">
        <v>51</v>
      </c>
      <c r="Q641" s="282" t="s">
        <v>52</v>
      </c>
      <c r="R641" s="282"/>
      <c r="S641" s="282"/>
      <c r="T641" s="115" t="s">
        <v>41</v>
      </c>
      <c r="U641" s="283" t="e">
        <f>'[9]LUONG T7'!I53</f>
        <v>#REF!</v>
      </c>
      <c r="V641" s="283"/>
      <c r="W641" s="123" t="s">
        <v>47</v>
      </c>
      <c r="X641" s="124" t="e">
        <f>R638/X631*O641</f>
        <v>#REF!</v>
      </c>
    </row>
    <row r="642" spans="1:24" ht="18.75" customHeight="1">
      <c r="A642" s="117" t="s">
        <v>53</v>
      </c>
      <c r="B642" s="115" t="s">
        <v>41</v>
      </c>
      <c r="C642" s="118" t="e">
        <f>'[9]LUONG T7'!J50</f>
        <v>#REF!</v>
      </c>
      <c r="D642" s="119" t="s">
        <v>51</v>
      </c>
      <c r="E642" s="270" t="s">
        <v>54</v>
      </c>
      <c r="F642" s="270"/>
      <c r="G642" s="270"/>
      <c r="H642" s="115" t="s">
        <v>41</v>
      </c>
      <c r="I642" s="281" t="e">
        <f>$F$8/$L$1*C642</f>
        <v>#REF!</v>
      </c>
      <c r="J642" s="281"/>
      <c r="K642" s="123" t="s">
        <v>47</v>
      </c>
      <c r="L642" s="124"/>
      <c r="M642" s="117" t="s">
        <v>53</v>
      </c>
      <c r="N642" s="115" t="s">
        <v>41</v>
      </c>
      <c r="O642" s="118" t="e">
        <f>'[9]LUONG T7'!J52</f>
        <v>#REF!</v>
      </c>
      <c r="P642" s="119" t="s">
        <v>51</v>
      </c>
      <c r="Q642" s="270" t="s">
        <v>54</v>
      </c>
      <c r="R642" s="270"/>
      <c r="S642" s="270"/>
      <c r="T642" s="115" t="s">
        <v>41</v>
      </c>
      <c r="U642" s="281" t="e">
        <f>$F$8/$L$1*O642</f>
        <v>#REF!</v>
      </c>
      <c r="V642" s="281"/>
      <c r="W642" s="123" t="s">
        <v>47</v>
      </c>
      <c r="X642" s="124"/>
    </row>
    <row r="643" spans="1:24" ht="18.75" customHeight="1">
      <c r="A643" s="117" t="s">
        <v>55</v>
      </c>
      <c r="B643" s="115" t="s">
        <v>41</v>
      </c>
      <c r="C643" s="118" t="e">
        <f>'[9]LUONG T7'!K50</f>
        <v>#REF!</v>
      </c>
      <c r="D643" s="119" t="s">
        <v>51</v>
      </c>
      <c r="E643" s="280" t="s">
        <v>56</v>
      </c>
      <c r="F643" s="280"/>
      <c r="G643" s="280"/>
      <c r="H643" s="115" t="s">
        <v>41</v>
      </c>
      <c r="I643" s="281" t="e">
        <f>$F$8/$L$1*C643</f>
        <v>#REF!</v>
      </c>
      <c r="J643" s="281"/>
      <c r="K643" s="123" t="s">
        <v>47</v>
      </c>
      <c r="L643" s="124"/>
      <c r="M643" s="117" t="s">
        <v>55</v>
      </c>
      <c r="N643" s="115" t="s">
        <v>41</v>
      </c>
      <c r="O643" s="118" t="e">
        <f>'[9]LUONG T7'!K52</f>
        <v>#REF!</v>
      </c>
      <c r="P643" s="119" t="s">
        <v>51</v>
      </c>
      <c r="Q643" s="280" t="s">
        <v>56</v>
      </c>
      <c r="R643" s="280"/>
      <c r="S643" s="280"/>
      <c r="T643" s="115" t="s">
        <v>41</v>
      </c>
      <c r="U643" s="281" t="e">
        <f>$F$8/$L$1*O643</f>
        <v>#REF!</v>
      </c>
      <c r="V643" s="281"/>
      <c r="W643" s="123" t="s">
        <v>47</v>
      </c>
      <c r="X643" s="124"/>
    </row>
    <row r="644" spans="1:24" ht="18.75" customHeight="1">
      <c r="A644" s="117" t="s">
        <v>57</v>
      </c>
      <c r="B644" s="115" t="s">
        <v>41</v>
      </c>
      <c r="C644" s="118" t="e">
        <f>'[9]LUONG T7'!L50</f>
        <v>#REF!</v>
      </c>
      <c r="D644" s="119" t="s">
        <v>51</v>
      </c>
      <c r="E644" s="280" t="s">
        <v>58</v>
      </c>
      <c r="F644" s="280"/>
      <c r="G644" s="280"/>
      <c r="H644" s="115" t="s">
        <v>41</v>
      </c>
      <c r="I644" s="281" t="e">
        <f>$F$8/$L$1*C644</f>
        <v>#REF!</v>
      </c>
      <c r="J644" s="281"/>
      <c r="K644" s="123" t="s">
        <v>47</v>
      </c>
      <c r="L644" s="124"/>
      <c r="M644" s="117" t="s">
        <v>57</v>
      </c>
      <c r="N644" s="115" t="s">
        <v>41</v>
      </c>
      <c r="O644" s="118" t="e">
        <f>'[9]LUONG T7'!L52</f>
        <v>#REF!</v>
      </c>
      <c r="P644" s="119" t="s">
        <v>51</v>
      </c>
      <c r="Q644" s="280" t="s">
        <v>58</v>
      </c>
      <c r="R644" s="280"/>
      <c r="S644" s="280"/>
      <c r="T644" s="115" t="s">
        <v>41</v>
      </c>
      <c r="U644" s="281" t="e">
        <f>$F$8/$L$1*O644</f>
        <v>#REF!</v>
      </c>
      <c r="V644" s="281"/>
      <c r="W644" s="123" t="s">
        <v>47</v>
      </c>
      <c r="X644" s="124"/>
    </row>
    <row r="645" spans="1:24" ht="18.75" customHeight="1">
      <c r="A645" s="117" t="s">
        <v>59</v>
      </c>
      <c r="B645" s="115" t="s">
        <v>41</v>
      </c>
      <c r="C645" s="118" t="e">
        <f>'[9]LUONG T7'!Q50</f>
        <v>#REF!</v>
      </c>
      <c r="D645" s="119" t="s">
        <v>60</v>
      </c>
      <c r="E645" s="270" t="s">
        <v>61</v>
      </c>
      <c r="F645" s="270"/>
      <c r="G645" s="270"/>
      <c r="H645" s="115" t="s">
        <v>41</v>
      </c>
      <c r="I645" s="281" t="e">
        <f>'[9]LUONG T7'!Q51</f>
        <v>#REF!</v>
      </c>
      <c r="J645" s="281"/>
      <c r="K645" s="123" t="s">
        <v>47</v>
      </c>
      <c r="L645" s="124" t="e">
        <f>F638*C645/L631/8*1.5</f>
        <v>#REF!</v>
      </c>
      <c r="M645" s="117" t="s">
        <v>59</v>
      </c>
      <c r="N645" s="115" t="s">
        <v>41</v>
      </c>
      <c r="O645" s="118" t="e">
        <f>'[9]LUONG T7'!Q52</f>
        <v>#REF!</v>
      </c>
      <c r="P645" s="119" t="s">
        <v>60</v>
      </c>
      <c r="Q645" s="270" t="s">
        <v>61</v>
      </c>
      <c r="R645" s="270"/>
      <c r="S645" s="270"/>
      <c r="T645" s="115" t="s">
        <v>41</v>
      </c>
      <c r="U645" s="281" t="e">
        <f>'[9]LUONG T7'!Q53</f>
        <v>#REF!</v>
      </c>
      <c r="V645" s="281"/>
      <c r="W645" s="123" t="s">
        <v>47</v>
      </c>
      <c r="X645" s="124" t="e">
        <f>R638*O645/X631/8*1.5</f>
        <v>#REF!</v>
      </c>
    </row>
    <row r="646" spans="1:24" ht="18.75" customHeight="1">
      <c r="A646" s="269" t="s">
        <v>62</v>
      </c>
      <c r="B646" s="270"/>
      <c r="C646" s="118"/>
      <c r="D646" s="119" t="s">
        <v>51</v>
      </c>
      <c r="E646" s="270" t="s">
        <v>63</v>
      </c>
      <c r="F646" s="270"/>
      <c r="G646" s="270"/>
      <c r="H646" s="125" t="s">
        <v>41</v>
      </c>
      <c r="I646" s="281"/>
      <c r="J646" s="281"/>
      <c r="K646" s="123" t="s">
        <v>47</v>
      </c>
      <c r="L646" s="124"/>
      <c r="M646" s="269" t="s">
        <v>62</v>
      </c>
      <c r="N646" s="270"/>
      <c r="O646" s="118"/>
      <c r="P646" s="119" t="s">
        <v>51</v>
      </c>
      <c r="Q646" s="270" t="s">
        <v>63</v>
      </c>
      <c r="R646" s="270"/>
      <c r="S646" s="270"/>
      <c r="T646" s="125" t="s">
        <v>41</v>
      </c>
      <c r="U646" s="281"/>
      <c r="V646" s="281"/>
      <c r="W646" s="123" t="s">
        <v>47</v>
      </c>
      <c r="X646" s="124"/>
    </row>
    <row r="647" spans="1:24" ht="18.75" customHeight="1">
      <c r="A647" s="117" t="s">
        <v>64</v>
      </c>
      <c r="B647" s="115" t="s">
        <v>41</v>
      </c>
      <c r="C647" s="118"/>
      <c r="D647" s="119" t="s">
        <v>51</v>
      </c>
      <c r="E647" s="270" t="s">
        <v>65</v>
      </c>
      <c r="F647" s="270"/>
      <c r="G647" s="270"/>
      <c r="H647" s="115" t="s">
        <v>41</v>
      </c>
      <c r="I647" s="281"/>
      <c r="J647" s="281"/>
      <c r="K647" s="123" t="s">
        <v>47</v>
      </c>
      <c r="L647" s="124"/>
      <c r="M647" s="117" t="s">
        <v>64</v>
      </c>
      <c r="N647" s="115" t="s">
        <v>41</v>
      </c>
      <c r="O647" s="118"/>
      <c r="P647" s="119" t="s">
        <v>51</v>
      </c>
      <c r="Q647" s="270" t="s">
        <v>65</v>
      </c>
      <c r="R647" s="270"/>
      <c r="S647" s="270"/>
      <c r="T647" s="115" t="s">
        <v>41</v>
      </c>
      <c r="U647" s="281"/>
      <c r="V647" s="281"/>
      <c r="W647" s="123" t="s">
        <v>47</v>
      </c>
      <c r="X647" s="124"/>
    </row>
    <row r="648" spans="1:24" ht="18.75" customHeight="1">
      <c r="A648" s="126" t="s">
        <v>66</v>
      </c>
      <c r="B648" s="115"/>
      <c r="C648" s="118" t="e">
        <f>'[9]LUONG T7'!M50</f>
        <v>#REF!</v>
      </c>
      <c r="D648" s="119" t="s">
        <v>60</v>
      </c>
      <c r="E648" s="270" t="s">
        <v>67</v>
      </c>
      <c r="F648" s="270"/>
      <c r="G648" s="270"/>
      <c r="H648" s="115" t="s">
        <v>41</v>
      </c>
      <c r="I648" s="281" t="e">
        <f>$F$8*C648/8/$L$1</f>
        <v>#REF!</v>
      </c>
      <c r="J648" s="281"/>
      <c r="K648" s="123" t="s">
        <v>47</v>
      </c>
      <c r="L648" s="124"/>
      <c r="M648" s="126" t="s">
        <v>66</v>
      </c>
      <c r="N648" s="115"/>
      <c r="O648" s="118" t="e">
        <f>'[9]LUONG T7'!M52</f>
        <v>#REF!</v>
      </c>
      <c r="P648" s="119" t="s">
        <v>60</v>
      </c>
      <c r="Q648" s="270" t="s">
        <v>67</v>
      </c>
      <c r="R648" s="270"/>
      <c r="S648" s="270"/>
      <c r="T648" s="115" t="s">
        <v>41</v>
      </c>
      <c r="U648" s="281" t="e">
        <f>$F$8*O648/8/$L$1</f>
        <v>#REF!</v>
      </c>
      <c r="V648" s="281"/>
      <c r="W648" s="123" t="s">
        <v>47</v>
      </c>
      <c r="X648" s="124"/>
    </row>
    <row r="649" spans="1:24" ht="18.75" customHeight="1">
      <c r="A649" s="117" t="s">
        <v>68</v>
      </c>
      <c r="B649" s="115" t="s">
        <v>41</v>
      </c>
      <c r="C649" s="118"/>
      <c r="D649" s="119" t="s">
        <v>60</v>
      </c>
      <c r="E649" s="270" t="s">
        <v>92</v>
      </c>
      <c r="F649" s="270"/>
      <c r="G649" s="270"/>
      <c r="H649" s="115" t="s">
        <v>41</v>
      </c>
      <c r="I649" s="283"/>
      <c r="J649" s="283"/>
      <c r="K649" s="123" t="s">
        <v>47</v>
      </c>
      <c r="L649" s="124"/>
      <c r="M649" s="117" t="s">
        <v>68</v>
      </c>
      <c r="N649" s="115" t="s">
        <v>41</v>
      </c>
      <c r="O649" s="118"/>
      <c r="P649" s="119" t="s">
        <v>60</v>
      </c>
      <c r="Q649" s="270" t="s">
        <v>92</v>
      </c>
      <c r="R649" s="270"/>
      <c r="S649" s="270"/>
      <c r="T649" s="115" t="s">
        <v>41</v>
      </c>
      <c r="U649" s="283"/>
      <c r="V649" s="283"/>
      <c r="W649" s="123" t="s">
        <v>47</v>
      </c>
      <c r="X649" s="124"/>
    </row>
    <row r="650" spans="1:24" ht="18.75" customHeight="1">
      <c r="A650" s="117" t="s">
        <v>70</v>
      </c>
      <c r="B650" s="115" t="s">
        <v>41</v>
      </c>
      <c r="C650" s="118"/>
      <c r="D650" s="119" t="s">
        <v>71</v>
      </c>
      <c r="E650" s="127" t="s">
        <v>72</v>
      </c>
      <c r="F650" s="127"/>
      <c r="G650" s="127"/>
      <c r="H650" s="115" t="s">
        <v>41</v>
      </c>
      <c r="I650" s="281"/>
      <c r="J650" s="281"/>
      <c r="K650" s="123" t="s">
        <v>47</v>
      </c>
      <c r="L650" s="124" t="e">
        <f>+IF(L641-I641&lt;0,0,L641-I641)+IF(L645-I645&lt;0,0,L645-I645)</f>
        <v>#REF!</v>
      </c>
      <c r="M650" s="117" t="s">
        <v>70</v>
      </c>
      <c r="N650" s="115" t="s">
        <v>41</v>
      </c>
      <c r="O650" s="118"/>
      <c r="P650" s="119" t="s">
        <v>71</v>
      </c>
      <c r="Q650" s="127" t="s">
        <v>72</v>
      </c>
      <c r="R650" s="127"/>
      <c r="S650" s="127"/>
      <c r="T650" s="115" t="s">
        <v>41</v>
      </c>
      <c r="U650" s="281"/>
      <c r="V650" s="281"/>
      <c r="W650" s="123" t="s">
        <v>47</v>
      </c>
      <c r="X650" s="124" t="e">
        <f>+IF(X641-U641&lt;0,0,X641-U641)+IF(X645-U645&lt;0,0,X645-U645)</f>
        <v>#REF!</v>
      </c>
    </row>
    <row r="651" spans="1:24" ht="18.75" customHeight="1">
      <c r="A651" s="128" t="s">
        <v>117</v>
      </c>
      <c r="B651" s="129"/>
      <c r="C651" s="118"/>
      <c r="D651" s="119" t="s">
        <v>51</v>
      </c>
      <c r="E651" s="270" t="s">
        <v>118</v>
      </c>
      <c r="F651" s="270"/>
      <c r="G651" s="270"/>
      <c r="H651" s="115" t="s">
        <v>41</v>
      </c>
      <c r="I651" s="281"/>
      <c r="J651" s="281"/>
      <c r="K651" s="123" t="s">
        <v>47</v>
      </c>
      <c r="L651" s="124"/>
      <c r="M651" s="128" t="s">
        <v>117</v>
      </c>
      <c r="N651" s="129"/>
      <c r="O651" s="118"/>
      <c r="P651" s="119" t="s">
        <v>51</v>
      </c>
      <c r="Q651" s="270" t="s">
        <v>118</v>
      </c>
      <c r="R651" s="270"/>
      <c r="S651" s="270"/>
      <c r="T651" s="115" t="s">
        <v>41</v>
      </c>
      <c r="U651" s="281"/>
      <c r="V651" s="281"/>
      <c r="W651" s="123" t="s">
        <v>47</v>
      </c>
      <c r="X651" s="124"/>
    </row>
    <row r="652" spans="1:24" ht="18.75" customHeight="1">
      <c r="A652" s="288" t="s">
        <v>75</v>
      </c>
      <c r="B652" s="282"/>
      <c r="C652" s="118"/>
      <c r="D652" s="119"/>
      <c r="E652" s="120"/>
      <c r="F652" s="120"/>
      <c r="G652" s="120"/>
      <c r="H652" s="115" t="s">
        <v>41</v>
      </c>
      <c r="I652" s="281" t="e">
        <f>'[9]LUONG T7'!P51</f>
        <v>#REF!</v>
      </c>
      <c r="J652" s="281"/>
      <c r="K652" s="123" t="s">
        <v>47</v>
      </c>
      <c r="L652" s="124"/>
      <c r="M652" s="288" t="s">
        <v>75</v>
      </c>
      <c r="N652" s="282"/>
      <c r="O652" s="118"/>
      <c r="P652" s="119"/>
      <c r="Q652" s="120"/>
      <c r="R652" s="120"/>
      <c r="S652" s="120"/>
      <c r="T652" s="115" t="s">
        <v>41</v>
      </c>
      <c r="U652" s="281" t="e">
        <f>'[9]LUONG T7'!P53</f>
        <v>#REF!</v>
      </c>
      <c r="V652" s="281"/>
      <c r="W652" s="123" t="s">
        <v>47</v>
      </c>
      <c r="X652" s="124"/>
    </row>
    <row r="653" spans="1:24" ht="18.75" customHeight="1">
      <c r="A653" s="117" t="s">
        <v>76</v>
      </c>
      <c r="B653" s="115" t="s">
        <v>41</v>
      </c>
      <c r="C653" s="118"/>
      <c r="D653" s="119"/>
      <c r="E653" s="120" t="s">
        <v>77</v>
      </c>
      <c r="F653" s="120"/>
      <c r="G653" s="120"/>
      <c r="H653" s="115" t="s">
        <v>41</v>
      </c>
      <c r="I653" s="281" t="e">
        <f>L650</f>
        <v>#REF!</v>
      </c>
      <c r="J653" s="281"/>
      <c r="K653" s="123" t="s">
        <v>47</v>
      </c>
      <c r="L653" s="124"/>
      <c r="M653" s="117" t="s">
        <v>76</v>
      </c>
      <c r="N653" s="115" t="s">
        <v>41</v>
      </c>
      <c r="O653" s="118"/>
      <c r="P653" s="119"/>
      <c r="Q653" s="120" t="s">
        <v>77</v>
      </c>
      <c r="R653" s="120"/>
      <c r="S653" s="120"/>
      <c r="T653" s="115" t="s">
        <v>41</v>
      </c>
      <c r="U653" s="281" t="e">
        <f>X650</f>
        <v>#REF!</v>
      </c>
      <c r="V653" s="281"/>
      <c r="W653" s="123" t="s">
        <v>47</v>
      </c>
      <c r="X653" s="124"/>
    </row>
    <row r="654" spans="1:24" ht="18.75" customHeight="1">
      <c r="A654" s="285" t="s">
        <v>78</v>
      </c>
      <c r="B654" s="286"/>
      <c r="C654" s="286"/>
      <c r="D654" s="286"/>
      <c r="E654" s="286"/>
      <c r="F654" s="286"/>
      <c r="G654" s="115" t="s">
        <v>41</v>
      </c>
      <c r="H654" s="287" t="e">
        <f>I641+I642+I643+I644+I645+I648+I652+I653</f>
        <v>#REF!</v>
      </c>
      <c r="I654" s="287"/>
      <c r="J654" s="287"/>
      <c r="K654" s="123" t="s">
        <v>47</v>
      </c>
      <c r="M654" s="285" t="s">
        <v>78</v>
      </c>
      <c r="N654" s="286"/>
      <c r="O654" s="286"/>
      <c r="P654" s="286"/>
      <c r="Q654" s="286"/>
      <c r="R654" s="286"/>
      <c r="S654" s="115" t="s">
        <v>41</v>
      </c>
      <c r="T654" s="287" t="e">
        <f>U641+U642+U643+U644+U645+U648+U652+U653</f>
        <v>#REF!</v>
      </c>
      <c r="U654" s="287"/>
      <c r="V654" s="287"/>
      <c r="W654" s="123" t="s">
        <v>47</v>
      </c>
    </row>
    <row r="655" spans="1:24" ht="18.75" customHeight="1">
      <c r="A655" s="130"/>
      <c r="B655" s="131"/>
      <c r="C655" s="131"/>
      <c r="D655" s="131"/>
      <c r="E655" s="131"/>
      <c r="F655" s="131"/>
      <c r="G655" s="131"/>
      <c r="H655" s="131"/>
      <c r="I655" s="131"/>
      <c r="J655" s="131"/>
      <c r="K655" s="132"/>
      <c r="M655" s="130"/>
      <c r="N655" s="131"/>
      <c r="O655" s="131"/>
      <c r="P655" s="131"/>
      <c r="Q655" s="131"/>
      <c r="R655" s="131"/>
      <c r="S655" s="131"/>
      <c r="T655" s="131"/>
      <c r="U655" s="131"/>
      <c r="V655" s="131"/>
      <c r="W655" s="132"/>
    </row>
    <row r="656" spans="1:24" ht="18.75" customHeight="1">
      <c r="A656" s="295" t="s">
        <v>79</v>
      </c>
      <c r="B656" s="296"/>
      <c r="C656" s="296"/>
      <c r="D656" s="296"/>
      <c r="E656" s="296"/>
      <c r="F656" s="296"/>
      <c r="G656" s="115"/>
      <c r="H656" s="115"/>
      <c r="I656" s="115"/>
      <c r="J656" s="115"/>
      <c r="K656" s="123"/>
      <c r="M656" s="295" t="s">
        <v>79</v>
      </c>
      <c r="N656" s="296"/>
      <c r="O656" s="296"/>
      <c r="P656" s="296"/>
      <c r="Q656" s="296"/>
      <c r="R656" s="296"/>
      <c r="S656" s="115"/>
      <c r="T656" s="115"/>
      <c r="U656" s="115"/>
      <c r="V656" s="115"/>
      <c r="W656" s="123"/>
    </row>
    <row r="657" spans="1:24" ht="18.75" customHeight="1">
      <c r="A657" s="289" t="s">
        <v>80</v>
      </c>
      <c r="B657" s="290"/>
      <c r="C657" s="290"/>
      <c r="D657" s="290"/>
      <c r="E657" s="290"/>
      <c r="F657" s="290"/>
      <c r="G657" s="115" t="s">
        <v>41</v>
      </c>
      <c r="H657" s="297" t="e">
        <f>IF(($L$1-(C641+C642+C643+C644))&gt;12,0,F638*8%)</f>
        <v>#REF!</v>
      </c>
      <c r="I657" s="297"/>
      <c r="J657" s="297"/>
      <c r="K657" s="123" t="s">
        <v>47</v>
      </c>
      <c r="M657" s="289" t="s">
        <v>80</v>
      </c>
      <c r="N657" s="290"/>
      <c r="O657" s="290"/>
      <c r="P657" s="290"/>
      <c r="Q657" s="290"/>
      <c r="R657" s="290"/>
      <c r="S657" s="115" t="s">
        <v>41</v>
      </c>
      <c r="T657" s="297" t="e">
        <f>IF(($L$1-(O641+O642+O643+O644))&gt;12,0,R638*8%)</f>
        <v>#REF!</v>
      </c>
      <c r="U657" s="297"/>
      <c r="V657" s="297"/>
      <c r="W657" s="123" t="s">
        <v>47</v>
      </c>
    </row>
    <row r="658" spans="1:24" ht="18.75" customHeight="1">
      <c r="A658" s="289" t="s">
        <v>81</v>
      </c>
      <c r="B658" s="290"/>
      <c r="C658" s="290"/>
      <c r="D658" s="290"/>
      <c r="E658" s="290"/>
      <c r="F658" s="290"/>
      <c r="G658" s="115" t="s">
        <v>41</v>
      </c>
      <c r="H658" s="291" t="e">
        <f>IF(($L$1-(C641+C642+C643+C644))&gt;12,0,F638*1.5%)</f>
        <v>#REF!</v>
      </c>
      <c r="I658" s="291"/>
      <c r="J658" s="291"/>
      <c r="K658" s="123" t="s">
        <v>47</v>
      </c>
      <c r="M658" s="289" t="s">
        <v>81</v>
      </c>
      <c r="N658" s="290"/>
      <c r="O658" s="290"/>
      <c r="P658" s="290"/>
      <c r="Q658" s="290"/>
      <c r="R658" s="290"/>
      <c r="S658" s="115" t="s">
        <v>41</v>
      </c>
      <c r="T658" s="291" t="e">
        <f>IF(($L$1-(O641+O642+O643+O644))&gt;12,0,R638*1.5%)</f>
        <v>#REF!</v>
      </c>
      <c r="U658" s="291"/>
      <c r="V658" s="291"/>
      <c r="W658" s="123" t="s">
        <v>47</v>
      </c>
    </row>
    <row r="659" spans="1:24" ht="18.75" customHeight="1">
      <c r="A659" s="289" t="s">
        <v>82</v>
      </c>
      <c r="B659" s="290"/>
      <c r="C659" s="290"/>
      <c r="D659" s="290"/>
      <c r="E659" s="290"/>
      <c r="F659" s="290"/>
      <c r="G659" s="115" t="s">
        <v>41</v>
      </c>
      <c r="H659" s="291" t="e">
        <f>IF(($L$1-(C641+C642+C643+C644))&gt;12,0,F638*1%)</f>
        <v>#REF!</v>
      </c>
      <c r="I659" s="291"/>
      <c r="J659" s="291"/>
      <c r="K659" s="123" t="s">
        <v>47</v>
      </c>
      <c r="M659" s="289" t="s">
        <v>82</v>
      </c>
      <c r="N659" s="290"/>
      <c r="O659" s="290"/>
      <c r="P659" s="290"/>
      <c r="Q659" s="290"/>
      <c r="R659" s="290"/>
      <c r="S659" s="115" t="s">
        <v>41</v>
      </c>
      <c r="T659" s="291" t="e">
        <f>IF(($L$1-(O641+O642+O643+O644))&gt;12,0,R638*1%)</f>
        <v>#REF!</v>
      </c>
      <c r="U659" s="291"/>
      <c r="V659" s="291"/>
      <c r="W659" s="123" t="s">
        <v>47</v>
      </c>
    </row>
    <row r="660" spans="1:24" ht="18.75" customHeight="1">
      <c r="A660" s="289" t="s">
        <v>83</v>
      </c>
      <c r="B660" s="290"/>
      <c r="C660" s="290"/>
      <c r="D660" s="290"/>
      <c r="E660" s="290"/>
      <c r="F660" s="290"/>
      <c r="G660" s="115" t="s">
        <v>41</v>
      </c>
      <c r="H660" s="291">
        <v>0</v>
      </c>
      <c r="I660" s="291"/>
      <c r="J660" s="291"/>
      <c r="K660" s="123" t="s">
        <v>47</v>
      </c>
      <c r="M660" s="289" t="s">
        <v>83</v>
      </c>
      <c r="N660" s="290"/>
      <c r="O660" s="290"/>
      <c r="P660" s="290"/>
      <c r="Q660" s="290"/>
      <c r="R660" s="290"/>
      <c r="S660" s="115" t="s">
        <v>41</v>
      </c>
      <c r="T660" s="291">
        <v>0</v>
      </c>
      <c r="U660" s="291"/>
      <c r="V660" s="291"/>
      <c r="W660" s="123" t="s">
        <v>47</v>
      </c>
    </row>
    <row r="661" spans="1:24" ht="18.75" customHeight="1">
      <c r="A661" s="292" t="s">
        <v>84</v>
      </c>
      <c r="B661" s="293"/>
      <c r="C661" s="293"/>
      <c r="D661" s="293"/>
      <c r="E661" s="293"/>
      <c r="F661" s="293"/>
      <c r="G661" s="115" t="s">
        <v>41</v>
      </c>
      <c r="H661" s="294" t="e">
        <f>SUM(H657:J660)</f>
        <v>#REF!</v>
      </c>
      <c r="I661" s="294"/>
      <c r="J661" s="294"/>
      <c r="K661" s="123" t="s">
        <v>47</v>
      </c>
      <c r="M661" s="292" t="s">
        <v>84</v>
      </c>
      <c r="N661" s="293"/>
      <c r="O661" s="293"/>
      <c r="P661" s="293"/>
      <c r="Q661" s="293"/>
      <c r="R661" s="293"/>
      <c r="S661" s="115" t="s">
        <v>41</v>
      </c>
      <c r="T661" s="294" t="e">
        <f>SUM(T657:V660)</f>
        <v>#REF!</v>
      </c>
      <c r="U661" s="294"/>
      <c r="V661" s="294"/>
      <c r="W661" s="123" t="s">
        <v>47</v>
      </c>
    </row>
    <row r="662" spans="1:24" ht="18.75" customHeight="1">
      <c r="A662" s="289" t="s">
        <v>85</v>
      </c>
      <c r="B662" s="290"/>
      <c r="C662" s="290"/>
      <c r="D662" s="290"/>
      <c r="E662" s="290"/>
      <c r="F662" s="290"/>
      <c r="G662" s="115" t="s">
        <v>41</v>
      </c>
      <c r="H662" s="301" t="e">
        <f>ROUND(H654-H661,-2)</f>
        <v>#REF!</v>
      </c>
      <c r="I662" s="301"/>
      <c r="J662" s="301"/>
      <c r="K662" s="123" t="s">
        <v>47</v>
      </c>
      <c r="M662" s="289" t="s">
        <v>85</v>
      </c>
      <c r="N662" s="290"/>
      <c r="O662" s="290"/>
      <c r="P662" s="290"/>
      <c r="Q662" s="290"/>
      <c r="R662" s="290"/>
      <c r="S662" s="115" t="s">
        <v>41</v>
      </c>
      <c r="T662" s="301" t="e">
        <f>ROUND(T654-T661,-2)</f>
        <v>#REF!</v>
      </c>
      <c r="U662" s="301"/>
      <c r="V662" s="301"/>
      <c r="W662" s="123" t="s">
        <v>47</v>
      </c>
    </row>
    <row r="663" spans="1:24" ht="18.75" customHeight="1">
      <c r="A663" s="133"/>
      <c r="B663" s="134"/>
      <c r="C663" s="134"/>
      <c r="D663" s="134"/>
      <c r="E663" s="134"/>
      <c r="F663" s="134"/>
      <c r="G663" s="134"/>
      <c r="H663" s="134"/>
      <c r="I663" s="134"/>
      <c r="J663" s="134"/>
      <c r="K663" s="135"/>
      <c r="M663" s="133"/>
      <c r="N663" s="134"/>
      <c r="O663" s="134"/>
      <c r="P663" s="134"/>
      <c r="Q663" s="134"/>
      <c r="R663" s="134"/>
      <c r="S663" s="134"/>
      <c r="T663" s="134"/>
      <c r="U663" s="134"/>
      <c r="V663" s="134"/>
      <c r="W663" s="135"/>
    </row>
    <row r="664" spans="1:24" ht="18.75" customHeight="1">
      <c r="A664" s="136"/>
      <c r="B664" s="115"/>
      <c r="C664" s="115"/>
      <c r="D664" s="115"/>
      <c r="E664" s="115"/>
      <c r="F664" s="115"/>
      <c r="G664" s="115"/>
      <c r="H664" s="115"/>
      <c r="I664" s="298" t="s">
        <v>86</v>
      </c>
      <c r="J664" s="298"/>
      <c r="K664" s="302"/>
      <c r="M664" s="136"/>
      <c r="N664" s="115"/>
      <c r="O664" s="115"/>
      <c r="P664" s="115"/>
      <c r="Q664" s="115"/>
      <c r="R664" s="115"/>
      <c r="S664" s="115"/>
      <c r="T664" s="115"/>
      <c r="U664" s="298" t="s">
        <v>86</v>
      </c>
      <c r="V664" s="298"/>
      <c r="W664" s="302"/>
    </row>
    <row r="665" spans="1:24" ht="18.75" customHeight="1">
      <c r="A665" s="136"/>
      <c r="B665" s="298"/>
      <c r="C665" s="298"/>
      <c r="D665" s="298"/>
      <c r="E665" s="298"/>
      <c r="F665" s="115"/>
      <c r="G665" s="115"/>
      <c r="H665" s="115"/>
      <c r="I665" s="115"/>
      <c r="J665" s="115"/>
      <c r="K665" s="116"/>
      <c r="M665" s="136"/>
      <c r="N665" s="298"/>
      <c r="O665" s="298"/>
      <c r="P665" s="298"/>
      <c r="Q665" s="298"/>
      <c r="R665" s="115"/>
      <c r="S665" s="115"/>
      <c r="T665" s="115"/>
      <c r="U665" s="115"/>
      <c r="V665" s="115"/>
      <c r="W665" s="116"/>
    </row>
    <row r="666" spans="1:24" ht="18.75" customHeight="1" thickBot="1">
      <c r="A666" s="137"/>
      <c r="B666" s="138"/>
      <c r="C666" s="138"/>
      <c r="D666" s="138"/>
      <c r="E666" s="138"/>
      <c r="F666" s="138"/>
      <c r="G666" s="138"/>
      <c r="H666" s="138"/>
      <c r="I666" s="299" t="s">
        <v>87</v>
      </c>
      <c r="J666" s="299"/>
      <c r="K666" s="300"/>
      <c r="M666" s="137"/>
      <c r="N666" s="138"/>
      <c r="O666" s="138"/>
      <c r="P666" s="138"/>
      <c r="Q666" s="138"/>
      <c r="R666" s="138"/>
      <c r="S666" s="138"/>
      <c r="T666" s="138"/>
      <c r="U666" s="299" t="s">
        <v>87</v>
      </c>
      <c r="V666" s="299"/>
      <c r="W666" s="300"/>
    </row>
    <row r="668" spans="1:24" ht="18.75" customHeight="1" thickTop="1">
      <c r="A668" s="274" t="s">
        <v>35</v>
      </c>
      <c r="B668" s="275"/>
      <c r="C668" s="275"/>
      <c r="D668" s="275"/>
      <c r="E668" s="275"/>
      <c r="F668" s="275"/>
      <c r="G668" s="275"/>
      <c r="H668" s="275"/>
      <c r="I668" s="275"/>
      <c r="J668" s="275"/>
      <c r="K668" s="276"/>
      <c r="L668" s="111">
        <v>25</v>
      </c>
      <c r="M668" s="274" t="s">
        <v>35</v>
      </c>
      <c r="N668" s="275"/>
      <c r="O668" s="275"/>
      <c r="P668" s="275"/>
      <c r="Q668" s="275"/>
      <c r="R668" s="275"/>
      <c r="S668" s="275"/>
      <c r="T668" s="275"/>
      <c r="U668" s="275"/>
      <c r="V668" s="275"/>
      <c r="W668" s="276"/>
      <c r="X668" s="111">
        <v>25</v>
      </c>
    </row>
    <row r="669" spans="1:24" ht="18.75" customHeight="1">
      <c r="A669" s="112" t="s">
        <v>139</v>
      </c>
      <c r="B669" s="113"/>
      <c r="C669" s="113"/>
      <c r="D669" s="113"/>
      <c r="E669" s="113"/>
      <c r="F669" s="113"/>
      <c r="G669" s="113"/>
      <c r="H669" s="113"/>
      <c r="I669" s="113"/>
      <c r="J669" s="113"/>
      <c r="K669" s="114"/>
      <c r="M669" s="112" t="s">
        <v>140</v>
      </c>
      <c r="N669" s="113"/>
      <c r="O669" s="113"/>
      <c r="P669" s="113"/>
      <c r="Q669" s="113"/>
      <c r="R669" s="113"/>
      <c r="S669" s="113"/>
      <c r="T669" s="113"/>
      <c r="U669" s="113"/>
      <c r="V669" s="113"/>
      <c r="W669" s="114"/>
    </row>
    <row r="670" spans="1:24" ht="18.75" customHeight="1">
      <c r="A670" s="277" t="s">
        <v>39</v>
      </c>
      <c r="B670" s="278"/>
      <c r="C670" s="278"/>
      <c r="D670" s="278"/>
      <c r="E670" s="278"/>
      <c r="F670" s="278"/>
      <c r="G670" s="278"/>
      <c r="H670" s="278"/>
      <c r="I670" s="278"/>
      <c r="J670" s="278"/>
      <c r="K670" s="279"/>
      <c r="M670" s="277" t="s">
        <v>39</v>
      </c>
      <c r="N670" s="278"/>
      <c r="O670" s="278"/>
      <c r="P670" s="278"/>
      <c r="Q670" s="278"/>
      <c r="R670" s="278"/>
      <c r="S670" s="278"/>
      <c r="T670" s="278"/>
      <c r="U670" s="278"/>
      <c r="V670" s="278"/>
      <c r="W670" s="279"/>
    </row>
    <row r="671" spans="1:24" ht="18.75" customHeight="1">
      <c r="A671" s="269" t="s">
        <v>40</v>
      </c>
      <c r="B671" s="270"/>
      <c r="C671" s="270"/>
      <c r="D671" s="270"/>
      <c r="E671" s="115" t="s">
        <v>41</v>
      </c>
      <c r="F671" s="271" t="e">
        <f>'[9]Bang TH nop'!B75</f>
        <v>#REF!</v>
      </c>
      <c r="G671" s="270"/>
      <c r="H671" s="270"/>
      <c r="I671" s="270"/>
      <c r="J671" s="270"/>
      <c r="K671" s="273"/>
      <c r="M671" s="269" t="s">
        <v>40</v>
      </c>
      <c r="N671" s="270"/>
      <c r="O671" s="270"/>
      <c r="P671" s="270"/>
      <c r="Q671" s="115" t="s">
        <v>41</v>
      </c>
      <c r="R671" s="271" t="e">
        <f>'[9]Bang TH nop'!B77</f>
        <v>#REF!</v>
      </c>
      <c r="S671" s="270"/>
      <c r="T671" s="270"/>
      <c r="U671" s="270"/>
      <c r="V671" s="270"/>
      <c r="W671" s="273"/>
    </row>
    <row r="672" spans="1:24" ht="18.75" customHeight="1">
      <c r="A672" s="269" t="s">
        <v>43</v>
      </c>
      <c r="B672" s="270"/>
      <c r="C672" s="270"/>
      <c r="D672" s="270"/>
      <c r="E672" s="115" t="s">
        <v>41</v>
      </c>
      <c r="F672" s="271" t="e">
        <f>'[9]Bang TH nop'!C75</f>
        <v>#REF!</v>
      </c>
      <c r="G672" s="271"/>
      <c r="H672" s="271"/>
      <c r="I672" s="271"/>
      <c r="J672" s="271"/>
      <c r="K672" s="272"/>
      <c r="M672" s="269" t="s">
        <v>43</v>
      </c>
      <c r="N672" s="270"/>
      <c r="O672" s="270"/>
      <c r="P672" s="270"/>
      <c r="Q672" s="115" t="s">
        <v>41</v>
      </c>
      <c r="R672" s="271" t="e">
        <f>'[9]Bang TH nop'!C77</f>
        <v>#REF!</v>
      </c>
      <c r="S672" s="271"/>
      <c r="T672" s="271"/>
      <c r="U672" s="271"/>
      <c r="V672" s="271"/>
      <c r="W672" s="272"/>
    </row>
    <row r="673" spans="1:24" ht="18.75" customHeight="1">
      <c r="A673" s="269" t="s">
        <v>44</v>
      </c>
      <c r="B673" s="270"/>
      <c r="C673" s="270"/>
      <c r="D673" s="270"/>
      <c r="E673" s="115" t="s">
        <v>41</v>
      </c>
      <c r="F673" s="270" t="s">
        <v>116</v>
      </c>
      <c r="G673" s="270"/>
      <c r="H673" s="270"/>
      <c r="I673" s="270"/>
      <c r="J673" s="270"/>
      <c r="K673" s="273"/>
      <c r="M673" s="269" t="s">
        <v>44</v>
      </c>
      <c r="N673" s="270"/>
      <c r="O673" s="270"/>
      <c r="P673" s="270"/>
      <c r="Q673" s="115" t="s">
        <v>41</v>
      </c>
      <c r="R673" s="270" t="s">
        <v>116</v>
      </c>
      <c r="S673" s="270"/>
      <c r="T673" s="270"/>
      <c r="U673" s="270"/>
      <c r="V673" s="270"/>
      <c r="W673" s="273"/>
    </row>
    <row r="674" spans="1:24" ht="18.75" customHeight="1">
      <c r="A674" s="277" t="s">
        <v>45</v>
      </c>
      <c r="B674" s="278"/>
      <c r="C674" s="278"/>
      <c r="D674" s="278"/>
      <c r="E674" s="278"/>
      <c r="F674" s="278"/>
      <c r="G674" s="278"/>
      <c r="H674" s="278"/>
      <c r="I674" s="278"/>
      <c r="J674" s="278"/>
      <c r="K674" s="279"/>
      <c r="M674" s="277" t="s">
        <v>45</v>
      </c>
      <c r="N674" s="278"/>
      <c r="O674" s="278"/>
      <c r="P674" s="278"/>
      <c r="Q674" s="278"/>
      <c r="R674" s="278"/>
      <c r="S674" s="278"/>
      <c r="T674" s="278"/>
      <c r="U674" s="278"/>
      <c r="V674" s="278"/>
      <c r="W674" s="279"/>
    </row>
    <row r="675" spans="1:24" ht="18.75" customHeight="1">
      <c r="A675" s="269" t="s">
        <v>46</v>
      </c>
      <c r="B675" s="270"/>
      <c r="C675" s="270"/>
      <c r="D675" s="270"/>
      <c r="E675" s="115" t="s">
        <v>41</v>
      </c>
      <c r="F675" s="284">
        <v>2915400</v>
      </c>
      <c r="G675" s="284"/>
      <c r="H675" s="284"/>
      <c r="I675" s="284"/>
      <c r="J675" s="115" t="s">
        <v>47</v>
      </c>
      <c r="K675" s="116"/>
      <c r="M675" s="269" t="s">
        <v>46</v>
      </c>
      <c r="N675" s="270"/>
      <c r="O675" s="270"/>
      <c r="P675" s="270"/>
      <c r="Q675" s="115" t="s">
        <v>41</v>
      </c>
      <c r="R675" s="284">
        <v>2915400</v>
      </c>
      <c r="S675" s="284"/>
      <c r="T675" s="284"/>
      <c r="U675" s="284"/>
      <c r="V675" s="115" t="s">
        <v>47</v>
      </c>
      <c r="W675" s="116"/>
    </row>
    <row r="676" spans="1:24" ht="18.75" customHeight="1">
      <c r="A676" s="117" t="s">
        <v>48</v>
      </c>
      <c r="B676" s="115"/>
      <c r="C676" s="118"/>
      <c r="D676" s="119"/>
      <c r="E676" s="120"/>
      <c r="F676" s="120"/>
      <c r="G676" s="120"/>
      <c r="H676" s="115"/>
      <c r="I676" s="121" t="e">
        <f>'[9]LUONG T7'!F55</f>
        <v>#REF!</v>
      </c>
      <c r="J676" s="122"/>
      <c r="K676" s="123"/>
      <c r="M676" s="117" t="s">
        <v>48</v>
      </c>
      <c r="N676" s="115"/>
      <c r="O676" s="118"/>
      <c r="P676" s="119"/>
      <c r="Q676" s="120"/>
      <c r="R676" s="120"/>
      <c r="S676" s="120"/>
      <c r="T676" s="115"/>
      <c r="U676" s="121" t="e">
        <f>'[9]LUONG T7'!F57</f>
        <v>#REF!</v>
      </c>
      <c r="V676" s="122"/>
      <c r="W676" s="123"/>
    </row>
    <row r="677" spans="1:24" ht="18.75" customHeight="1">
      <c r="A677" s="117" t="s">
        <v>49</v>
      </c>
      <c r="B677" s="115"/>
      <c r="C677" s="118"/>
      <c r="D677" s="119"/>
      <c r="E677" s="120"/>
      <c r="F677" s="120"/>
      <c r="G677" s="120"/>
      <c r="H677" s="115"/>
      <c r="I677" s="121" t="e">
        <f>I678/C678/8</f>
        <v>#REF!</v>
      </c>
      <c r="J677" s="122"/>
      <c r="K677" s="123"/>
      <c r="M677" s="117" t="s">
        <v>49</v>
      </c>
      <c r="N677" s="115"/>
      <c r="O677" s="118"/>
      <c r="P677" s="119"/>
      <c r="Q677" s="120"/>
      <c r="R677" s="120"/>
      <c r="S677" s="120"/>
      <c r="T677" s="115"/>
      <c r="U677" s="121" t="e">
        <f>U678/O678/8</f>
        <v>#REF!</v>
      </c>
      <c r="V677" s="122"/>
      <c r="W677" s="123"/>
    </row>
    <row r="678" spans="1:24" ht="18.75" customHeight="1">
      <c r="A678" s="117" t="s">
        <v>50</v>
      </c>
      <c r="B678" s="115" t="s">
        <v>41</v>
      </c>
      <c r="C678" s="118" t="e">
        <f>'[9]LUONG T7'!I54</f>
        <v>#REF!</v>
      </c>
      <c r="D678" s="119" t="s">
        <v>51</v>
      </c>
      <c r="E678" s="282" t="s">
        <v>52</v>
      </c>
      <c r="F678" s="282"/>
      <c r="G678" s="282"/>
      <c r="H678" s="115" t="s">
        <v>41</v>
      </c>
      <c r="I678" s="283" t="e">
        <f>'[9]LUONG T7'!I55</f>
        <v>#REF!</v>
      </c>
      <c r="J678" s="283"/>
      <c r="K678" s="123" t="s">
        <v>47</v>
      </c>
      <c r="L678" s="124" t="e">
        <f>F675/L668*C678</f>
        <v>#REF!</v>
      </c>
      <c r="M678" s="117" t="s">
        <v>50</v>
      </c>
      <c r="N678" s="115" t="s">
        <v>41</v>
      </c>
      <c r="O678" s="118" t="e">
        <f>'[9]LUONG T7'!I56</f>
        <v>#REF!</v>
      </c>
      <c r="P678" s="119" t="s">
        <v>51</v>
      </c>
      <c r="Q678" s="282" t="s">
        <v>52</v>
      </c>
      <c r="R678" s="282"/>
      <c r="S678" s="282"/>
      <c r="T678" s="115" t="s">
        <v>41</v>
      </c>
      <c r="U678" s="283" t="e">
        <f>'[9]LUONG T7'!I57</f>
        <v>#REF!</v>
      </c>
      <c r="V678" s="283"/>
      <c r="W678" s="123" t="s">
        <v>47</v>
      </c>
      <c r="X678" s="124" t="e">
        <f>R675/X668*O678</f>
        <v>#REF!</v>
      </c>
    </row>
    <row r="679" spans="1:24" ht="18.75" customHeight="1">
      <c r="A679" s="117" t="s">
        <v>53</v>
      </c>
      <c r="B679" s="115" t="s">
        <v>41</v>
      </c>
      <c r="C679" s="118" t="e">
        <f>'[9]LUONG T7'!J54</f>
        <v>#REF!</v>
      </c>
      <c r="D679" s="119" t="s">
        <v>51</v>
      </c>
      <c r="E679" s="270" t="s">
        <v>54</v>
      </c>
      <c r="F679" s="270"/>
      <c r="G679" s="270"/>
      <c r="H679" s="115" t="s">
        <v>41</v>
      </c>
      <c r="I679" s="281" t="e">
        <f>$F$8/$L$1*C679</f>
        <v>#REF!</v>
      </c>
      <c r="J679" s="281"/>
      <c r="K679" s="123" t="s">
        <v>47</v>
      </c>
      <c r="L679" s="124"/>
      <c r="M679" s="117" t="s">
        <v>53</v>
      </c>
      <c r="N679" s="115" t="s">
        <v>41</v>
      </c>
      <c r="O679" s="118" t="e">
        <f>'[9]LUONG T7'!J56</f>
        <v>#REF!</v>
      </c>
      <c r="P679" s="119" t="s">
        <v>51</v>
      </c>
      <c r="Q679" s="270" t="s">
        <v>54</v>
      </c>
      <c r="R679" s="270"/>
      <c r="S679" s="270"/>
      <c r="T679" s="115" t="s">
        <v>41</v>
      </c>
      <c r="U679" s="281" t="e">
        <f>$F$8/$L$1*O679</f>
        <v>#REF!</v>
      </c>
      <c r="V679" s="281"/>
      <c r="W679" s="123" t="s">
        <v>47</v>
      </c>
      <c r="X679" s="124"/>
    </row>
    <row r="680" spans="1:24" ht="18.75" customHeight="1">
      <c r="A680" s="117" t="s">
        <v>55</v>
      </c>
      <c r="B680" s="115" t="s">
        <v>41</v>
      </c>
      <c r="C680" s="118" t="e">
        <f>'[9]LUONG T7'!K54</f>
        <v>#REF!</v>
      </c>
      <c r="D680" s="119" t="s">
        <v>51</v>
      </c>
      <c r="E680" s="280" t="s">
        <v>56</v>
      </c>
      <c r="F680" s="280"/>
      <c r="G680" s="280"/>
      <c r="H680" s="115" t="s">
        <v>41</v>
      </c>
      <c r="I680" s="281" t="e">
        <f>$F$8/$L$1*C680</f>
        <v>#REF!</v>
      </c>
      <c r="J680" s="281"/>
      <c r="K680" s="123" t="s">
        <v>47</v>
      </c>
      <c r="L680" s="124"/>
      <c r="M680" s="117" t="s">
        <v>55</v>
      </c>
      <c r="N680" s="115" t="s">
        <v>41</v>
      </c>
      <c r="O680" s="118" t="e">
        <f>'[9]LUONG T7'!K56</f>
        <v>#REF!</v>
      </c>
      <c r="P680" s="119" t="s">
        <v>51</v>
      </c>
      <c r="Q680" s="280" t="s">
        <v>56</v>
      </c>
      <c r="R680" s="280"/>
      <c r="S680" s="280"/>
      <c r="T680" s="115" t="s">
        <v>41</v>
      </c>
      <c r="U680" s="281" t="e">
        <f>$F$8/$L$1*O680</f>
        <v>#REF!</v>
      </c>
      <c r="V680" s="281"/>
      <c r="W680" s="123" t="s">
        <v>47</v>
      </c>
      <c r="X680" s="124"/>
    </row>
    <row r="681" spans="1:24" ht="18.75" customHeight="1">
      <c r="A681" s="117" t="s">
        <v>57</v>
      </c>
      <c r="B681" s="115" t="s">
        <v>41</v>
      </c>
      <c r="C681" s="118" t="e">
        <f>'[9]LUONG T7'!L54</f>
        <v>#REF!</v>
      </c>
      <c r="D681" s="119" t="s">
        <v>51</v>
      </c>
      <c r="E681" s="280" t="s">
        <v>58</v>
      </c>
      <c r="F681" s="280"/>
      <c r="G681" s="280"/>
      <c r="H681" s="115" t="s">
        <v>41</v>
      </c>
      <c r="I681" s="281" t="e">
        <f>$F$8/$L$1*C681</f>
        <v>#REF!</v>
      </c>
      <c r="J681" s="281"/>
      <c r="K681" s="123" t="s">
        <v>47</v>
      </c>
      <c r="L681" s="124"/>
      <c r="M681" s="117" t="s">
        <v>57</v>
      </c>
      <c r="N681" s="115" t="s">
        <v>41</v>
      </c>
      <c r="O681" s="118" t="e">
        <f>'[9]LUONG T7'!L56</f>
        <v>#REF!</v>
      </c>
      <c r="P681" s="119" t="s">
        <v>51</v>
      </c>
      <c r="Q681" s="280" t="s">
        <v>58</v>
      </c>
      <c r="R681" s="280"/>
      <c r="S681" s="280"/>
      <c r="T681" s="115" t="s">
        <v>41</v>
      </c>
      <c r="U681" s="281" t="e">
        <f>$F$8/$L$1*O681</f>
        <v>#REF!</v>
      </c>
      <c r="V681" s="281"/>
      <c r="W681" s="123" t="s">
        <v>47</v>
      </c>
      <c r="X681" s="124"/>
    </row>
    <row r="682" spans="1:24" ht="18.75" customHeight="1">
      <c r="A682" s="117" t="s">
        <v>59</v>
      </c>
      <c r="B682" s="115" t="s">
        <v>41</v>
      </c>
      <c r="C682" s="118" t="e">
        <f>'[9]LUONG T7'!Q54</f>
        <v>#REF!</v>
      </c>
      <c r="D682" s="119" t="s">
        <v>60</v>
      </c>
      <c r="E682" s="270" t="s">
        <v>61</v>
      </c>
      <c r="F682" s="270"/>
      <c r="G682" s="270"/>
      <c r="H682" s="115" t="s">
        <v>41</v>
      </c>
      <c r="I682" s="281" t="e">
        <f>'[9]LUONG T7'!Q55</f>
        <v>#REF!</v>
      </c>
      <c r="J682" s="281"/>
      <c r="K682" s="123" t="s">
        <v>47</v>
      </c>
      <c r="L682" s="124" t="e">
        <f>F675*C682/L668/8*1.5</f>
        <v>#REF!</v>
      </c>
      <c r="M682" s="117" t="s">
        <v>59</v>
      </c>
      <c r="N682" s="115" t="s">
        <v>41</v>
      </c>
      <c r="O682" s="118" t="e">
        <f>'[9]LUONG T7'!Q56</f>
        <v>#REF!</v>
      </c>
      <c r="P682" s="119" t="s">
        <v>60</v>
      </c>
      <c r="Q682" s="270" t="s">
        <v>61</v>
      </c>
      <c r="R682" s="270"/>
      <c r="S682" s="270"/>
      <c r="T682" s="115" t="s">
        <v>41</v>
      </c>
      <c r="U682" s="281" t="e">
        <f>'[9]LUONG T7'!Q57</f>
        <v>#REF!</v>
      </c>
      <c r="V682" s="281"/>
      <c r="W682" s="123" t="s">
        <v>47</v>
      </c>
      <c r="X682" s="124" t="e">
        <f>R675*O682/X668/8*1.5</f>
        <v>#REF!</v>
      </c>
    </row>
    <row r="683" spans="1:24" ht="18.75" customHeight="1">
      <c r="A683" s="269" t="s">
        <v>62</v>
      </c>
      <c r="B683" s="270"/>
      <c r="C683" s="118"/>
      <c r="D683" s="119" t="s">
        <v>51</v>
      </c>
      <c r="E683" s="270" t="s">
        <v>63</v>
      </c>
      <c r="F683" s="270"/>
      <c r="G683" s="270"/>
      <c r="H683" s="125" t="s">
        <v>41</v>
      </c>
      <c r="I683" s="281"/>
      <c r="J683" s="281"/>
      <c r="K683" s="123" t="s">
        <v>47</v>
      </c>
      <c r="L683" s="124"/>
      <c r="M683" s="269" t="s">
        <v>62</v>
      </c>
      <c r="N683" s="270"/>
      <c r="O683" s="118"/>
      <c r="P683" s="119" t="s">
        <v>51</v>
      </c>
      <c r="Q683" s="270" t="s">
        <v>63</v>
      </c>
      <c r="R683" s="270"/>
      <c r="S683" s="270"/>
      <c r="T683" s="125" t="s">
        <v>41</v>
      </c>
      <c r="U683" s="281"/>
      <c r="V683" s="281"/>
      <c r="W683" s="123" t="s">
        <v>47</v>
      </c>
      <c r="X683" s="124"/>
    </row>
    <row r="684" spans="1:24" ht="18.75" customHeight="1">
      <c r="A684" s="117" t="s">
        <v>64</v>
      </c>
      <c r="B684" s="115" t="s">
        <v>41</v>
      </c>
      <c r="C684" s="118"/>
      <c r="D684" s="119" t="s">
        <v>51</v>
      </c>
      <c r="E684" s="270" t="s">
        <v>65</v>
      </c>
      <c r="F684" s="270"/>
      <c r="G684" s="270"/>
      <c r="H684" s="115" t="s">
        <v>41</v>
      </c>
      <c r="I684" s="281"/>
      <c r="J684" s="281"/>
      <c r="K684" s="123" t="s">
        <v>47</v>
      </c>
      <c r="L684" s="124"/>
      <c r="M684" s="117" t="s">
        <v>64</v>
      </c>
      <c r="N684" s="115" t="s">
        <v>41</v>
      </c>
      <c r="O684" s="118"/>
      <c r="P684" s="119" t="s">
        <v>51</v>
      </c>
      <c r="Q684" s="270" t="s">
        <v>65</v>
      </c>
      <c r="R684" s="270"/>
      <c r="S684" s="270"/>
      <c r="T684" s="115" t="s">
        <v>41</v>
      </c>
      <c r="U684" s="281"/>
      <c r="V684" s="281"/>
      <c r="W684" s="123" t="s">
        <v>47</v>
      </c>
      <c r="X684" s="124"/>
    </row>
    <row r="685" spans="1:24" ht="18.75" customHeight="1">
      <c r="A685" s="126" t="s">
        <v>66</v>
      </c>
      <c r="B685" s="115"/>
      <c r="C685" s="118" t="e">
        <f>'[9]LUONG T7'!M54</f>
        <v>#REF!</v>
      </c>
      <c r="D685" s="119" t="s">
        <v>60</v>
      </c>
      <c r="E685" s="270" t="s">
        <v>67</v>
      </c>
      <c r="F685" s="270"/>
      <c r="G685" s="270"/>
      <c r="H685" s="115" t="s">
        <v>41</v>
      </c>
      <c r="I685" s="281" t="e">
        <f>$F$8*C685/8/$L$1</f>
        <v>#REF!</v>
      </c>
      <c r="J685" s="281"/>
      <c r="K685" s="123" t="s">
        <v>47</v>
      </c>
      <c r="L685" s="124"/>
      <c r="M685" s="126" t="s">
        <v>66</v>
      </c>
      <c r="N685" s="115"/>
      <c r="O685" s="118" t="e">
        <f>'[9]LUONG T7'!M56</f>
        <v>#REF!</v>
      </c>
      <c r="P685" s="119" t="s">
        <v>60</v>
      </c>
      <c r="Q685" s="270" t="s">
        <v>67</v>
      </c>
      <c r="R685" s="270"/>
      <c r="S685" s="270"/>
      <c r="T685" s="115" t="s">
        <v>41</v>
      </c>
      <c r="U685" s="281" t="e">
        <f>$F$8*O685/8/$L$1</f>
        <v>#REF!</v>
      </c>
      <c r="V685" s="281"/>
      <c r="W685" s="123" t="s">
        <v>47</v>
      </c>
      <c r="X685" s="124"/>
    </row>
    <row r="686" spans="1:24" ht="18.75" customHeight="1">
      <c r="A686" s="117" t="s">
        <v>68</v>
      </c>
      <c r="B686" s="115" t="s">
        <v>41</v>
      </c>
      <c r="C686" s="118"/>
      <c r="D686" s="119" t="s">
        <v>60</v>
      </c>
      <c r="E686" s="270" t="s">
        <v>92</v>
      </c>
      <c r="F686" s="270"/>
      <c r="G686" s="270"/>
      <c r="H686" s="115" t="s">
        <v>41</v>
      </c>
      <c r="I686" s="283"/>
      <c r="J686" s="283"/>
      <c r="K686" s="123" t="s">
        <v>47</v>
      </c>
      <c r="L686" s="124"/>
      <c r="M686" s="117" t="s">
        <v>68</v>
      </c>
      <c r="N686" s="115" t="s">
        <v>41</v>
      </c>
      <c r="O686" s="118"/>
      <c r="P686" s="119" t="s">
        <v>60</v>
      </c>
      <c r="Q686" s="270" t="s">
        <v>92</v>
      </c>
      <c r="R686" s="270"/>
      <c r="S686" s="270"/>
      <c r="T686" s="115" t="s">
        <v>41</v>
      </c>
      <c r="U686" s="283"/>
      <c r="V686" s="283"/>
      <c r="W686" s="123" t="s">
        <v>47</v>
      </c>
      <c r="X686" s="124"/>
    </row>
    <row r="687" spans="1:24" ht="18.75" customHeight="1">
      <c r="A687" s="117" t="s">
        <v>70</v>
      </c>
      <c r="B687" s="115" t="s">
        <v>41</v>
      </c>
      <c r="C687" s="118"/>
      <c r="D687" s="119" t="s">
        <v>71</v>
      </c>
      <c r="E687" s="127" t="s">
        <v>72</v>
      </c>
      <c r="F687" s="127"/>
      <c r="G687" s="127"/>
      <c r="H687" s="115" t="s">
        <v>41</v>
      </c>
      <c r="I687" s="281"/>
      <c r="J687" s="281"/>
      <c r="K687" s="123" t="s">
        <v>47</v>
      </c>
      <c r="L687" s="124" t="e">
        <f>+IF(L678-I678&lt;0,0,L678-I678)+IF(L682-I682&lt;0,0,L682-I682)</f>
        <v>#REF!</v>
      </c>
      <c r="M687" s="117" t="s">
        <v>70</v>
      </c>
      <c r="N687" s="115" t="s">
        <v>41</v>
      </c>
      <c r="O687" s="118"/>
      <c r="P687" s="119" t="s">
        <v>71</v>
      </c>
      <c r="Q687" s="127" t="s">
        <v>72</v>
      </c>
      <c r="R687" s="127"/>
      <c r="S687" s="127"/>
      <c r="T687" s="115" t="s">
        <v>41</v>
      </c>
      <c r="U687" s="281"/>
      <c r="V687" s="281"/>
      <c r="W687" s="123" t="s">
        <v>47</v>
      </c>
      <c r="X687" s="124" t="e">
        <f>+IF(X678-U678&lt;0,0,X678-U678)+IF(X682-U682&lt;0,0,X682-U682)</f>
        <v>#REF!</v>
      </c>
    </row>
    <row r="688" spans="1:24" ht="18.75" customHeight="1">
      <c r="A688" s="128" t="s">
        <v>117</v>
      </c>
      <c r="B688" s="129"/>
      <c r="C688" s="118"/>
      <c r="D688" s="119" t="s">
        <v>51</v>
      </c>
      <c r="E688" s="270" t="s">
        <v>118</v>
      </c>
      <c r="F688" s="270"/>
      <c r="G688" s="270"/>
      <c r="H688" s="115" t="s">
        <v>41</v>
      </c>
      <c r="I688" s="281"/>
      <c r="J688" s="281"/>
      <c r="K688" s="123" t="s">
        <v>47</v>
      </c>
      <c r="L688" s="124"/>
      <c r="M688" s="128" t="s">
        <v>117</v>
      </c>
      <c r="N688" s="129"/>
      <c r="O688" s="118"/>
      <c r="P688" s="119" t="s">
        <v>51</v>
      </c>
      <c r="Q688" s="270" t="s">
        <v>118</v>
      </c>
      <c r="R688" s="270"/>
      <c r="S688" s="270"/>
      <c r="T688" s="115" t="s">
        <v>41</v>
      </c>
      <c r="U688" s="281"/>
      <c r="V688" s="281"/>
      <c r="W688" s="123" t="s">
        <v>47</v>
      </c>
      <c r="X688" s="124"/>
    </row>
    <row r="689" spans="1:24" ht="18.75" customHeight="1">
      <c r="A689" s="288" t="s">
        <v>75</v>
      </c>
      <c r="B689" s="282"/>
      <c r="C689" s="118"/>
      <c r="D689" s="119"/>
      <c r="E689" s="120"/>
      <c r="F689" s="120"/>
      <c r="G689" s="120"/>
      <c r="H689" s="115" t="s">
        <v>41</v>
      </c>
      <c r="I689" s="281" t="e">
        <f>'[9]LUONG T7'!P55</f>
        <v>#REF!</v>
      </c>
      <c r="J689" s="281"/>
      <c r="K689" s="123" t="s">
        <v>47</v>
      </c>
      <c r="L689" s="124"/>
      <c r="M689" s="288" t="s">
        <v>75</v>
      </c>
      <c r="N689" s="282"/>
      <c r="O689" s="118"/>
      <c r="P689" s="119"/>
      <c r="Q689" s="120"/>
      <c r="R689" s="120"/>
      <c r="S689" s="120"/>
      <c r="T689" s="115" t="s">
        <v>41</v>
      </c>
      <c r="U689" s="281" t="e">
        <f>'[9]LUONG T7'!P57</f>
        <v>#REF!</v>
      </c>
      <c r="V689" s="281"/>
      <c r="W689" s="123" t="s">
        <v>47</v>
      </c>
      <c r="X689" s="124"/>
    </row>
    <row r="690" spans="1:24" ht="18.75" customHeight="1">
      <c r="A690" s="117" t="s">
        <v>76</v>
      </c>
      <c r="B690" s="115" t="s">
        <v>41</v>
      </c>
      <c r="C690" s="118"/>
      <c r="D690" s="119"/>
      <c r="E690" s="120" t="s">
        <v>77</v>
      </c>
      <c r="F690" s="120"/>
      <c r="G690" s="120"/>
      <c r="H690" s="115" t="s">
        <v>41</v>
      </c>
      <c r="I690" s="281" t="e">
        <f>L687</f>
        <v>#REF!</v>
      </c>
      <c r="J690" s="281"/>
      <c r="K690" s="123" t="s">
        <v>47</v>
      </c>
      <c r="L690" s="124"/>
      <c r="M690" s="117" t="s">
        <v>76</v>
      </c>
      <c r="N690" s="115" t="s">
        <v>41</v>
      </c>
      <c r="O690" s="118"/>
      <c r="P690" s="119"/>
      <c r="Q690" s="120" t="s">
        <v>77</v>
      </c>
      <c r="R690" s="120"/>
      <c r="S690" s="120"/>
      <c r="T690" s="115" t="s">
        <v>41</v>
      </c>
      <c r="U690" s="281" t="e">
        <f>X687</f>
        <v>#REF!</v>
      </c>
      <c r="V690" s="281"/>
      <c r="W690" s="123" t="s">
        <v>47</v>
      </c>
      <c r="X690" s="124"/>
    </row>
    <row r="691" spans="1:24" ht="18.75" customHeight="1">
      <c r="A691" s="285" t="s">
        <v>78</v>
      </c>
      <c r="B691" s="286"/>
      <c r="C691" s="286"/>
      <c r="D691" s="286"/>
      <c r="E691" s="286"/>
      <c r="F691" s="286"/>
      <c r="G691" s="115" t="s">
        <v>41</v>
      </c>
      <c r="H691" s="287" t="e">
        <f>I678+I679+I680+I681+I682+I685+I689+I690</f>
        <v>#REF!</v>
      </c>
      <c r="I691" s="287"/>
      <c r="J691" s="287"/>
      <c r="K691" s="123" t="s">
        <v>47</v>
      </c>
      <c r="M691" s="285" t="s">
        <v>78</v>
      </c>
      <c r="N691" s="286"/>
      <c r="O691" s="286"/>
      <c r="P691" s="286"/>
      <c r="Q691" s="286"/>
      <c r="R691" s="286"/>
      <c r="S691" s="115" t="s">
        <v>41</v>
      </c>
      <c r="T691" s="287" t="e">
        <f>U678+U679+U680+U681+U682+U685+U689+U690</f>
        <v>#REF!</v>
      </c>
      <c r="U691" s="287"/>
      <c r="V691" s="287"/>
      <c r="W691" s="123" t="s">
        <v>47</v>
      </c>
    </row>
    <row r="692" spans="1:24" ht="18.75" customHeight="1">
      <c r="A692" s="130"/>
      <c r="B692" s="131"/>
      <c r="C692" s="131"/>
      <c r="D692" s="131"/>
      <c r="E692" s="131"/>
      <c r="F692" s="131"/>
      <c r="G692" s="131"/>
      <c r="H692" s="131"/>
      <c r="I692" s="131"/>
      <c r="J692" s="131"/>
      <c r="K692" s="132"/>
      <c r="M692" s="130"/>
      <c r="N692" s="131"/>
      <c r="O692" s="131"/>
      <c r="P692" s="131"/>
      <c r="Q692" s="131"/>
      <c r="R692" s="131"/>
      <c r="S692" s="131"/>
      <c r="T692" s="131"/>
      <c r="U692" s="131"/>
      <c r="V692" s="131"/>
      <c r="W692" s="132"/>
    </row>
    <row r="693" spans="1:24" ht="18.75" customHeight="1">
      <c r="A693" s="295" t="s">
        <v>79</v>
      </c>
      <c r="B693" s="296"/>
      <c r="C693" s="296"/>
      <c r="D693" s="296"/>
      <c r="E693" s="296"/>
      <c r="F693" s="296"/>
      <c r="G693" s="115"/>
      <c r="H693" s="115"/>
      <c r="I693" s="115"/>
      <c r="J693" s="115"/>
      <c r="K693" s="123"/>
      <c r="M693" s="295" t="s">
        <v>79</v>
      </c>
      <c r="N693" s="296"/>
      <c r="O693" s="296"/>
      <c r="P693" s="296"/>
      <c r="Q693" s="296"/>
      <c r="R693" s="296"/>
      <c r="S693" s="115"/>
      <c r="T693" s="115"/>
      <c r="U693" s="115"/>
      <c r="V693" s="115"/>
      <c r="W693" s="123"/>
    </row>
    <row r="694" spans="1:24" ht="18.75" customHeight="1">
      <c r="A694" s="289" t="s">
        <v>80</v>
      </c>
      <c r="B694" s="290"/>
      <c r="C694" s="290"/>
      <c r="D694" s="290"/>
      <c r="E694" s="290"/>
      <c r="F694" s="290"/>
      <c r="G694" s="115" t="s">
        <v>41</v>
      </c>
      <c r="H694" s="297" t="e">
        <f>IF(($L$1-(C678+C679+C680+C681))&gt;12,0,F675*8%)</f>
        <v>#REF!</v>
      </c>
      <c r="I694" s="297"/>
      <c r="J694" s="297"/>
      <c r="K694" s="123" t="s">
        <v>47</v>
      </c>
      <c r="M694" s="289" t="s">
        <v>80</v>
      </c>
      <c r="N694" s="290"/>
      <c r="O694" s="290"/>
      <c r="P694" s="290"/>
      <c r="Q694" s="290"/>
      <c r="R694" s="290"/>
      <c r="S694" s="115" t="s">
        <v>41</v>
      </c>
      <c r="T694" s="297" t="e">
        <f>IF(($L$1-(O678+O679+O680+O681))&gt;12,0,R675*8%)</f>
        <v>#REF!</v>
      </c>
      <c r="U694" s="297"/>
      <c r="V694" s="297"/>
      <c r="W694" s="123" t="s">
        <v>47</v>
      </c>
    </row>
    <row r="695" spans="1:24" ht="18.75" customHeight="1">
      <c r="A695" s="289" t="s">
        <v>81</v>
      </c>
      <c r="B695" s="290"/>
      <c r="C695" s="290"/>
      <c r="D695" s="290"/>
      <c r="E695" s="290"/>
      <c r="F695" s="290"/>
      <c r="G695" s="115" t="s">
        <v>41</v>
      </c>
      <c r="H695" s="291" t="e">
        <f>IF(($L$1-(C678+C679+C680+C681))&gt;12,0,F675*1.5%)</f>
        <v>#REF!</v>
      </c>
      <c r="I695" s="291"/>
      <c r="J695" s="291"/>
      <c r="K695" s="123" t="s">
        <v>47</v>
      </c>
      <c r="M695" s="289" t="s">
        <v>81</v>
      </c>
      <c r="N695" s="290"/>
      <c r="O695" s="290"/>
      <c r="P695" s="290"/>
      <c r="Q695" s="290"/>
      <c r="R695" s="290"/>
      <c r="S695" s="115" t="s">
        <v>41</v>
      </c>
      <c r="T695" s="291" t="e">
        <f>IF(($L$1-(O678+O679+O680+O681))&gt;12,0,R675*1.5%)</f>
        <v>#REF!</v>
      </c>
      <c r="U695" s="291"/>
      <c r="V695" s="291"/>
      <c r="W695" s="123" t="s">
        <v>47</v>
      </c>
    </row>
    <row r="696" spans="1:24" ht="18.75" customHeight="1">
      <c r="A696" s="289" t="s">
        <v>82</v>
      </c>
      <c r="B696" s="290"/>
      <c r="C696" s="290"/>
      <c r="D696" s="290"/>
      <c r="E696" s="290"/>
      <c r="F696" s="290"/>
      <c r="G696" s="115" t="s">
        <v>41</v>
      </c>
      <c r="H696" s="291" t="e">
        <f>IF(($L$1-(C678+C679+C680+C681))&gt;12,0,F675*1%)</f>
        <v>#REF!</v>
      </c>
      <c r="I696" s="291"/>
      <c r="J696" s="291"/>
      <c r="K696" s="123" t="s">
        <v>47</v>
      </c>
      <c r="M696" s="289" t="s">
        <v>82</v>
      </c>
      <c r="N696" s="290"/>
      <c r="O696" s="290"/>
      <c r="P696" s="290"/>
      <c r="Q696" s="290"/>
      <c r="R696" s="290"/>
      <c r="S696" s="115" t="s">
        <v>41</v>
      </c>
      <c r="T696" s="291" t="e">
        <f>IF(($L$1-(O678+O679+O680+O681))&gt;12,0,R675*1%)</f>
        <v>#REF!</v>
      </c>
      <c r="U696" s="291"/>
      <c r="V696" s="291"/>
      <c r="W696" s="123" t="s">
        <v>47</v>
      </c>
    </row>
    <row r="697" spans="1:24" ht="18.75" customHeight="1">
      <c r="A697" s="289" t="s">
        <v>83</v>
      </c>
      <c r="B697" s="290"/>
      <c r="C697" s="290"/>
      <c r="D697" s="290"/>
      <c r="E697" s="290"/>
      <c r="F697" s="290"/>
      <c r="G697" s="115" t="s">
        <v>41</v>
      </c>
      <c r="H697" s="291">
        <v>0</v>
      </c>
      <c r="I697" s="291"/>
      <c r="J697" s="291"/>
      <c r="K697" s="123" t="s">
        <v>47</v>
      </c>
      <c r="M697" s="289" t="s">
        <v>83</v>
      </c>
      <c r="N697" s="290"/>
      <c r="O697" s="290"/>
      <c r="P697" s="290"/>
      <c r="Q697" s="290"/>
      <c r="R697" s="290"/>
      <c r="S697" s="115" t="s">
        <v>41</v>
      </c>
      <c r="T697" s="291">
        <v>0</v>
      </c>
      <c r="U697" s="291"/>
      <c r="V697" s="291"/>
      <c r="W697" s="123" t="s">
        <v>47</v>
      </c>
    </row>
    <row r="698" spans="1:24" ht="18.75" customHeight="1">
      <c r="A698" s="292" t="s">
        <v>84</v>
      </c>
      <c r="B698" s="293"/>
      <c r="C698" s="293"/>
      <c r="D698" s="293"/>
      <c r="E698" s="293"/>
      <c r="F698" s="293"/>
      <c r="G698" s="115" t="s">
        <v>41</v>
      </c>
      <c r="H698" s="294" t="e">
        <f>SUM(H694:J697)</f>
        <v>#REF!</v>
      </c>
      <c r="I698" s="294"/>
      <c r="J698" s="294"/>
      <c r="K698" s="123" t="s">
        <v>47</v>
      </c>
      <c r="M698" s="292" t="s">
        <v>84</v>
      </c>
      <c r="N698" s="293"/>
      <c r="O698" s="293"/>
      <c r="P698" s="293"/>
      <c r="Q698" s="293"/>
      <c r="R698" s="293"/>
      <c r="S698" s="115" t="s">
        <v>41</v>
      </c>
      <c r="T698" s="294" t="e">
        <f>SUM(T694:V697)</f>
        <v>#REF!</v>
      </c>
      <c r="U698" s="294"/>
      <c r="V698" s="294"/>
      <c r="W698" s="123" t="s">
        <v>47</v>
      </c>
    </row>
    <row r="699" spans="1:24" ht="18.75" customHeight="1">
      <c r="A699" s="289" t="s">
        <v>85</v>
      </c>
      <c r="B699" s="290"/>
      <c r="C699" s="290"/>
      <c r="D699" s="290"/>
      <c r="E699" s="290"/>
      <c r="F699" s="290"/>
      <c r="G699" s="115" t="s">
        <v>41</v>
      </c>
      <c r="H699" s="301" t="e">
        <f>ROUND(H691-H698,-2)</f>
        <v>#REF!</v>
      </c>
      <c r="I699" s="301"/>
      <c r="J699" s="301"/>
      <c r="K699" s="123" t="s">
        <v>47</v>
      </c>
      <c r="M699" s="289" t="s">
        <v>85</v>
      </c>
      <c r="N699" s="290"/>
      <c r="O699" s="290"/>
      <c r="P699" s="290"/>
      <c r="Q699" s="290"/>
      <c r="R699" s="290"/>
      <c r="S699" s="115" t="s">
        <v>41</v>
      </c>
      <c r="T699" s="301" t="e">
        <f>ROUND(T691-T698,-2)</f>
        <v>#REF!</v>
      </c>
      <c r="U699" s="301"/>
      <c r="V699" s="301"/>
      <c r="W699" s="123" t="s">
        <v>47</v>
      </c>
    </row>
    <row r="700" spans="1:24" ht="18.75" customHeight="1">
      <c r="A700" s="133"/>
      <c r="B700" s="134"/>
      <c r="C700" s="134"/>
      <c r="D700" s="134"/>
      <c r="E700" s="134"/>
      <c r="F700" s="134"/>
      <c r="G700" s="134"/>
      <c r="H700" s="134"/>
      <c r="I700" s="134"/>
      <c r="J700" s="134"/>
      <c r="K700" s="135"/>
      <c r="M700" s="133"/>
      <c r="N700" s="134"/>
      <c r="O700" s="134"/>
      <c r="P700" s="134"/>
      <c r="Q700" s="134"/>
      <c r="R700" s="134"/>
      <c r="S700" s="134"/>
      <c r="T700" s="134"/>
      <c r="U700" s="134"/>
      <c r="V700" s="134"/>
      <c r="W700" s="135"/>
    </row>
    <row r="701" spans="1:24" ht="18.75" customHeight="1">
      <c r="A701" s="136"/>
      <c r="B701" s="115"/>
      <c r="C701" s="115"/>
      <c r="D701" s="115"/>
      <c r="E701" s="115"/>
      <c r="F701" s="115"/>
      <c r="G701" s="115"/>
      <c r="H701" s="115"/>
      <c r="I701" s="298" t="s">
        <v>86</v>
      </c>
      <c r="J701" s="298"/>
      <c r="K701" s="302"/>
      <c r="M701" s="136"/>
      <c r="N701" s="115"/>
      <c r="O701" s="115"/>
      <c r="P701" s="115"/>
      <c r="Q701" s="115"/>
      <c r="R701" s="115"/>
      <c r="S701" s="115"/>
      <c r="T701" s="115"/>
      <c r="U701" s="298" t="s">
        <v>86</v>
      </c>
      <c r="V701" s="298"/>
      <c r="W701" s="302"/>
    </row>
    <row r="702" spans="1:24" ht="18.75" customHeight="1">
      <c r="A702" s="136"/>
      <c r="B702" s="298"/>
      <c r="C702" s="298"/>
      <c r="D702" s="298"/>
      <c r="E702" s="298"/>
      <c r="F702" s="115"/>
      <c r="G702" s="115"/>
      <c r="H702" s="115"/>
      <c r="I702" s="115"/>
      <c r="J702" s="115"/>
      <c r="K702" s="116"/>
      <c r="M702" s="136"/>
      <c r="N702" s="298"/>
      <c r="O702" s="298"/>
      <c r="P702" s="298"/>
      <c r="Q702" s="298"/>
      <c r="R702" s="115"/>
      <c r="S702" s="115"/>
      <c r="T702" s="115"/>
      <c r="U702" s="115"/>
      <c r="V702" s="115"/>
      <c r="W702" s="116"/>
    </row>
    <row r="703" spans="1:24" ht="18.75" customHeight="1" thickBot="1">
      <c r="A703" s="137"/>
      <c r="B703" s="138"/>
      <c r="C703" s="138"/>
      <c r="D703" s="138"/>
      <c r="E703" s="138"/>
      <c r="F703" s="138"/>
      <c r="G703" s="138"/>
      <c r="H703" s="138"/>
      <c r="I703" s="299" t="s">
        <v>87</v>
      </c>
      <c r="J703" s="299"/>
      <c r="K703" s="300"/>
      <c r="M703" s="137"/>
      <c r="N703" s="138"/>
      <c r="O703" s="138"/>
      <c r="P703" s="138"/>
      <c r="Q703" s="138"/>
      <c r="R703" s="138"/>
      <c r="S703" s="138"/>
      <c r="T703" s="138"/>
      <c r="U703" s="299" t="s">
        <v>87</v>
      </c>
      <c r="V703" s="299"/>
      <c r="W703" s="300"/>
    </row>
    <row r="705" spans="1:24" ht="18.75" customHeight="1" thickTop="1">
      <c r="A705" s="274" t="s">
        <v>35</v>
      </c>
      <c r="B705" s="275"/>
      <c r="C705" s="275"/>
      <c r="D705" s="275"/>
      <c r="E705" s="275"/>
      <c r="F705" s="275"/>
      <c r="G705" s="275"/>
      <c r="H705" s="275"/>
      <c r="I705" s="275"/>
      <c r="J705" s="275"/>
      <c r="K705" s="276"/>
      <c r="L705" s="111">
        <v>25</v>
      </c>
      <c r="M705" s="274" t="s">
        <v>35</v>
      </c>
      <c r="N705" s="275"/>
      <c r="O705" s="275"/>
      <c r="P705" s="275"/>
      <c r="Q705" s="275"/>
      <c r="R705" s="275"/>
      <c r="S705" s="275"/>
      <c r="T705" s="275"/>
      <c r="U705" s="275"/>
      <c r="V705" s="275"/>
      <c r="W705" s="276"/>
      <c r="X705" s="111">
        <v>25</v>
      </c>
    </row>
    <row r="706" spans="1:24" ht="18.75" customHeight="1">
      <c r="A706" s="112" t="s">
        <v>141</v>
      </c>
      <c r="B706" s="113"/>
      <c r="C706" s="113"/>
      <c r="D706" s="113"/>
      <c r="E706" s="113"/>
      <c r="F706" s="113"/>
      <c r="G706" s="113"/>
      <c r="H706" s="113"/>
      <c r="I706" s="113"/>
      <c r="J706" s="113"/>
      <c r="K706" s="114"/>
      <c r="M706" s="112" t="s">
        <v>142</v>
      </c>
      <c r="N706" s="113"/>
      <c r="O706" s="113"/>
      <c r="P706" s="113"/>
      <c r="Q706" s="113"/>
      <c r="R706" s="113"/>
      <c r="S706" s="113"/>
      <c r="T706" s="113"/>
      <c r="U706" s="113"/>
      <c r="V706" s="113"/>
      <c r="W706" s="114"/>
    </row>
    <row r="707" spans="1:24" ht="18.75" customHeight="1">
      <c r="A707" s="277" t="s">
        <v>39</v>
      </c>
      <c r="B707" s="278"/>
      <c r="C707" s="278"/>
      <c r="D707" s="278"/>
      <c r="E707" s="278"/>
      <c r="F707" s="278"/>
      <c r="G707" s="278"/>
      <c r="H707" s="278"/>
      <c r="I707" s="278"/>
      <c r="J707" s="278"/>
      <c r="K707" s="279"/>
      <c r="M707" s="277" t="s">
        <v>39</v>
      </c>
      <c r="N707" s="278"/>
      <c r="O707" s="278"/>
      <c r="P707" s="278"/>
      <c r="Q707" s="278"/>
      <c r="R707" s="278"/>
      <c r="S707" s="278"/>
      <c r="T707" s="278"/>
      <c r="U707" s="278"/>
      <c r="V707" s="278"/>
      <c r="W707" s="279"/>
    </row>
    <row r="708" spans="1:24" ht="18.75" customHeight="1">
      <c r="A708" s="269" t="s">
        <v>40</v>
      </c>
      <c r="B708" s="270"/>
      <c r="C708" s="270"/>
      <c r="D708" s="270"/>
      <c r="E708" s="115" t="s">
        <v>41</v>
      </c>
      <c r="F708" s="271" t="e">
        <f>'[9]Bang TH nop'!B79</f>
        <v>#REF!</v>
      </c>
      <c r="G708" s="270"/>
      <c r="H708" s="270"/>
      <c r="I708" s="270"/>
      <c r="J708" s="270"/>
      <c r="K708" s="273"/>
      <c r="M708" s="269" t="s">
        <v>40</v>
      </c>
      <c r="N708" s="270"/>
      <c r="O708" s="270"/>
      <c r="P708" s="270"/>
      <c r="Q708" s="115" t="s">
        <v>41</v>
      </c>
      <c r="R708" s="271" t="e">
        <f>'[9]Bang TH nop'!B81</f>
        <v>#REF!</v>
      </c>
      <c r="S708" s="270"/>
      <c r="T708" s="270"/>
      <c r="U708" s="270"/>
      <c r="V708" s="270"/>
      <c r="W708" s="273"/>
    </row>
    <row r="709" spans="1:24" ht="18.75" customHeight="1">
      <c r="A709" s="269" t="s">
        <v>43</v>
      </c>
      <c r="B709" s="270"/>
      <c r="C709" s="270"/>
      <c r="D709" s="270"/>
      <c r="E709" s="115" t="s">
        <v>41</v>
      </c>
      <c r="F709" s="271" t="e">
        <f>'[9]Bang TH nop'!C79</f>
        <v>#REF!</v>
      </c>
      <c r="G709" s="271"/>
      <c r="H709" s="271"/>
      <c r="I709" s="271"/>
      <c r="J709" s="271"/>
      <c r="K709" s="272"/>
      <c r="M709" s="269" t="s">
        <v>43</v>
      </c>
      <c r="N709" s="270"/>
      <c r="O709" s="270"/>
      <c r="P709" s="270"/>
      <c r="Q709" s="115" t="s">
        <v>41</v>
      </c>
      <c r="R709" s="271" t="e">
        <f>'[9]Bang TH nop'!C81</f>
        <v>#REF!</v>
      </c>
      <c r="S709" s="271"/>
      <c r="T709" s="271"/>
      <c r="U709" s="271"/>
      <c r="V709" s="271"/>
      <c r="W709" s="272"/>
    </row>
    <row r="710" spans="1:24" ht="18.75" customHeight="1">
      <c r="A710" s="269" t="s">
        <v>44</v>
      </c>
      <c r="B710" s="270"/>
      <c r="C710" s="270"/>
      <c r="D710" s="270"/>
      <c r="E710" s="115" t="s">
        <v>41</v>
      </c>
      <c r="F710" s="270" t="s">
        <v>116</v>
      </c>
      <c r="G710" s="270"/>
      <c r="H710" s="270"/>
      <c r="I710" s="270"/>
      <c r="J710" s="270"/>
      <c r="K710" s="273"/>
      <c r="M710" s="269" t="s">
        <v>44</v>
      </c>
      <c r="N710" s="270"/>
      <c r="O710" s="270"/>
      <c r="P710" s="270"/>
      <c r="Q710" s="115" t="s">
        <v>41</v>
      </c>
      <c r="R710" s="270" t="s">
        <v>116</v>
      </c>
      <c r="S710" s="270"/>
      <c r="T710" s="270"/>
      <c r="U710" s="270"/>
      <c r="V710" s="270"/>
      <c r="W710" s="273"/>
    </row>
    <row r="711" spans="1:24" ht="18.75" customHeight="1">
      <c r="A711" s="277" t="s">
        <v>45</v>
      </c>
      <c r="B711" s="278"/>
      <c r="C711" s="278"/>
      <c r="D711" s="278"/>
      <c r="E711" s="278"/>
      <c r="F711" s="278"/>
      <c r="G711" s="278"/>
      <c r="H711" s="278"/>
      <c r="I711" s="278"/>
      <c r="J711" s="278"/>
      <c r="K711" s="279"/>
      <c r="M711" s="277" t="s">
        <v>45</v>
      </c>
      <c r="N711" s="278"/>
      <c r="O711" s="278"/>
      <c r="P711" s="278"/>
      <c r="Q711" s="278"/>
      <c r="R711" s="278"/>
      <c r="S711" s="278"/>
      <c r="T711" s="278"/>
      <c r="U711" s="278"/>
      <c r="V711" s="278"/>
      <c r="W711" s="279"/>
    </row>
    <row r="712" spans="1:24" ht="18.75" customHeight="1">
      <c r="A712" s="269" t="s">
        <v>46</v>
      </c>
      <c r="B712" s="270"/>
      <c r="C712" s="270"/>
      <c r="D712" s="270"/>
      <c r="E712" s="115" t="s">
        <v>41</v>
      </c>
      <c r="F712" s="284">
        <v>2915400</v>
      </c>
      <c r="G712" s="284"/>
      <c r="H712" s="284"/>
      <c r="I712" s="284"/>
      <c r="J712" s="115" t="s">
        <v>47</v>
      </c>
      <c r="K712" s="116"/>
      <c r="M712" s="269" t="s">
        <v>46</v>
      </c>
      <c r="N712" s="270"/>
      <c r="O712" s="270"/>
      <c r="P712" s="270"/>
      <c r="Q712" s="115" t="s">
        <v>41</v>
      </c>
      <c r="R712" s="284">
        <v>2915400</v>
      </c>
      <c r="S712" s="284"/>
      <c r="T712" s="284"/>
      <c r="U712" s="284"/>
      <c r="V712" s="115" t="s">
        <v>47</v>
      </c>
      <c r="W712" s="116"/>
    </row>
    <row r="713" spans="1:24" ht="18.75" customHeight="1">
      <c r="A713" s="117" t="s">
        <v>48</v>
      </c>
      <c r="B713" s="115"/>
      <c r="C713" s="118"/>
      <c r="D713" s="119"/>
      <c r="E713" s="120"/>
      <c r="F713" s="120"/>
      <c r="G713" s="120"/>
      <c r="H713" s="115"/>
      <c r="I713" s="121" t="e">
        <f>'[9]LUONG T7'!F59</f>
        <v>#REF!</v>
      </c>
      <c r="J713" s="122"/>
      <c r="K713" s="123"/>
      <c r="M713" s="117" t="s">
        <v>48</v>
      </c>
      <c r="N713" s="115"/>
      <c r="O713" s="118"/>
      <c r="P713" s="119"/>
      <c r="Q713" s="120"/>
      <c r="R713" s="120"/>
      <c r="S713" s="120"/>
      <c r="T713" s="115"/>
      <c r="U713" s="121" t="e">
        <f>'[9]LUONG T7'!F61</f>
        <v>#REF!</v>
      </c>
      <c r="V713" s="122"/>
      <c r="W713" s="123"/>
    </row>
    <row r="714" spans="1:24" ht="18.75" customHeight="1">
      <c r="A714" s="117" t="s">
        <v>49</v>
      </c>
      <c r="B714" s="115"/>
      <c r="C714" s="118"/>
      <c r="D714" s="119"/>
      <c r="E714" s="120"/>
      <c r="F714" s="120"/>
      <c r="G714" s="120"/>
      <c r="H714" s="115"/>
      <c r="I714" s="121" t="e">
        <f>I715/C715/8</f>
        <v>#REF!</v>
      </c>
      <c r="J714" s="122"/>
      <c r="K714" s="123"/>
      <c r="M714" s="117" t="s">
        <v>49</v>
      </c>
      <c r="N714" s="115"/>
      <c r="O714" s="118"/>
      <c r="P714" s="119"/>
      <c r="Q714" s="120"/>
      <c r="R714" s="120"/>
      <c r="S714" s="120"/>
      <c r="T714" s="115"/>
      <c r="U714" s="121" t="e">
        <f>U715/O715/8</f>
        <v>#REF!</v>
      </c>
      <c r="V714" s="122"/>
      <c r="W714" s="123"/>
    </row>
    <row r="715" spans="1:24" ht="18.75" customHeight="1">
      <c r="A715" s="117" t="s">
        <v>50</v>
      </c>
      <c r="B715" s="115" t="s">
        <v>41</v>
      </c>
      <c r="C715" s="118" t="e">
        <f>'[9]LUONG T7'!I58</f>
        <v>#REF!</v>
      </c>
      <c r="D715" s="119" t="s">
        <v>51</v>
      </c>
      <c r="E715" s="282" t="s">
        <v>52</v>
      </c>
      <c r="F715" s="282"/>
      <c r="G715" s="282"/>
      <c r="H715" s="115" t="s">
        <v>41</v>
      </c>
      <c r="I715" s="283" t="e">
        <f>'[9]LUONG T7'!I59</f>
        <v>#REF!</v>
      </c>
      <c r="J715" s="283"/>
      <c r="K715" s="123" t="s">
        <v>47</v>
      </c>
      <c r="L715" s="124" t="e">
        <f>F712/L705*C715</f>
        <v>#REF!</v>
      </c>
      <c r="M715" s="117" t="s">
        <v>50</v>
      </c>
      <c r="N715" s="115" t="s">
        <v>41</v>
      </c>
      <c r="O715" s="118" t="e">
        <f>'[9]LUONG T7'!I60</f>
        <v>#REF!</v>
      </c>
      <c r="P715" s="119" t="s">
        <v>51</v>
      </c>
      <c r="Q715" s="282" t="s">
        <v>52</v>
      </c>
      <c r="R715" s="282"/>
      <c r="S715" s="282"/>
      <c r="T715" s="115" t="s">
        <v>41</v>
      </c>
      <c r="U715" s="283" t="e">
        <f>'[9]LUONG T7'!I61</f>
        <v>#REF!</v>
      </c>
      <c r="V715" s="283"/>
      <c r="W715" s="123" t="s">
        <v>47</v>
      </c>
      <c r="X715" s="124" t="e">
        <f>R712/X705*O715</f>
        <v>#REF!</v>
      </c>
    </row>
    <row r="716" spans="1:24" ht="18.75" customHeight="1">
      <c r="A716" s="117" t="s">
        <v>53</v>
      </c>
      <c r="B716" s="115" t="s">
        <v>41</v>
      </c>
      <c r="C716" s="118" t="e">
        <f>'[9]LUONG T7'!J58</f>
        <v>#REF!</v>
      </c>
      <c r="D716" s="119" t="s">
        <v>51</v>
      </c>
      <c r="E716" s="270" t="s">
        <v>54</v>
      </c>
      <c r="F716" s="270"/>
      <c r="G716" s="270"/>
      <c r="H716" s="115" t="s">
        <v>41</v>
      </c>
      <c r="I716" s="281" t="e">
        <f>$F$8/$L$1*C716</f>
        <v>#REF!</v>
      </c>
      <c r="J716" s="281"/>
      <c r="K716" s="123" t="s">
        <v>47</v>
      </c>
      <c r="L716" s="124"/>
      <c r="M716" s="117" t="s">
        <v>53</v>
      </c>
      <c r="N716" s="115" t="s">
        <v>41</v>
      </c>
      <c r="O716" s="118" t="e">
        <f>'[9]LUONG T7'!J60</f>
        <v>#REF!</v>
      </c>
      <c r="P716" s="119" t="s">
        <v>51</v>
      </c>
      <c r="Q716" s="270" t="s">
        <v>54</v>
      </c>
      <c r="R716" s="270"/>
      <c r="S716" s="270"/>
      <c r="T716" s="115" t="s">
        <v>41</v>
      </c>
      <c r="U716" s="281" t="e">
        <f>$F$8/$L$1*O716</f>
        <v>#REF!</v>
      </c>
      <c r="V716" s="281"/>
      <c r="W716" s="123" t="s">
        <v>47</v>
      </c>
      <c r="X716" s="124"/>
    </row>
    <row r="717" spans="1:24" ht="18.75" customHeight="1">
      <c r="A717" s="117" t="s">
        <v>55</v>
      </c>
      <c r="B717" s="115" t="s">
        <v>41</v>
      </c>
      <c r="C717" s="118" t="e">
        <f>'[9]LUONG T7'!K58</f>
        <v>#REF!</v>
      </c>
      <c r="D717" s="119" t="s">
        <v>51</v>
      </c>
      <c r="E717" s="280" t="s">
        <v>56</v>
      </c>
      <c r="F717" s="280"/>
      <c r="G717" s="280"/>
      <c r="H717" s="115" t="s">
        <v>41</v>
      </c>
      <c r="I717" s="281" t="e">
        <f>$F$8/$L$1*C717</f>
        <v>#REF!</v>
      </c>
      <c r="J717" s="281"/>
      <c r="K717" s="123" t="s">
        <v>47</v>
      </c>
      <c r="L717" s="124"/>
      <c r="M717" s="117" t="s">
        <v>55</v>
      </c>
      <c r="N717" s="115" t="s">
        <v>41</v>
      </c>
      <c r="O717" s="118" t="e">
        <f>'[9]LUONG T7'!K60</f>
        <v>#REF!</v>
      </c>
      <c r="P717" s="119" t="s">
        <v>51</v>
      </c>
      <c r="Q717" s="280" t="s">
        <v>56</v>
      </c>
      <c r="R717" s="280"/>
      <c r="S717" s="280"/>
      <c r="T717" s="115" t="s">
        <v>41</v>
      </c>
      <c r="U717" s="281" t="e">
        <f>$F$8/$L$1*O717</f>
        <v>#REF!</v>
      </c>
      <c r="V717" s="281"/>
      <c r="W717" s="123" t="s">
        <v>47</v>
      </c>
      <c r="X717" s="124"/>
    </row>
    <row r="718" spans="1:24" ht="18.75" customHeight="1">
      <c r="A718" s="117" t="s">
        <v>57</v>
      </c>
      <c r="B718" s="115" t="s">
        <v>41</v>
      </c>
      <c r="C718" s="118" t="e">
        <f>'[9]LUONG T7'!K58</f>
        <v>#REF!</v>
      </c>
      <c r="D718" s="119" t="s">
        <v>51</v>
      </c>
      <c r="E718" s="280" t="s">
        <v>58</v>
      </c>
      <c r="F718" s="280"/>
      <c r="G718" s="280"/>
      <c r="H718" s="115" t="s">
        <v>41</v>
      </c>
      <c r="I718" s="281" t="e">
        <f>$F$8/$L$1*C718</f>
        <v>#REF!</v>
      </c>
      <c r="J718" s="281"/>
      <c r="K718" s="123" t="s">
        <v>47</v>
      </c>
      <c r="L718" s="124"/>
      <c r="M718" s="117" t="s">
        <v>57</v>
      </c>
      <c r="N718" s="115" t="s">
        <v>41</v>
      </c>
      <c r="O718" s="118" t="e">
        <f>'[9]LUONG T7'!L60</f>
        <v>#REF!</v>
      </c>
      <c r="P718" s="119" t="s">
        <v>51</v>
      </c>
      <c r="Q718" s="280" t="s">
        <v>58</v>
      </c>
      <c r="R718" s="280"/>
      <c r="S718" s="280"/>
      <c r="T718" s="115" t="s">
        <v>41</v>
      </c>
      <c r="U718" s="281" t="e">
        <f>$F$8/$L$1*O718</f>
        <v>#REF!</v>
      </c>
      <c r="V718" s="281"/>
      <c r="W718" s="123" t="s">
        <v>47</v>
      </c>
      <c r="X718" s="124"/>
    </row>
    <row r="719" spans="1:24" ht="18.75" customHeight="1">
      <c r="A719" s="117" t="s">
        <v>59</v>
      </c>
      <c r="B719" s="115" t="s">
        <v>41</v>
      </c>
      <c r="C719" s="118" t="e">
        <f>'[9]LUONG T7'!Q58</f>
        <v>#REF!</v>
      </c>
      <c r="D719" s="119" t="s">
        <v>60</v>
      </c>
      <c r="E719" s="270" t="s">
        <v>61</v>
      </c>
      <c r="F719" s="270"/>
      <c r="G719" s="270"/>
      <c r="H719" s="115" t="s">
        <v>41</v>
      </c>
      <c r="I719" s="281" t="e">
        <f>'[9]LUONG T7'!Q59</f>
        <v>#REF!</v>
      </c>
      <c r="J719" s="281"/>
      <c r="K719" s="123" t="s">
        <v>47</v>
      </c>
      <c r="L719" s="124" t="e">
        <f>F712*C719/L705/8*1.5</f>
        <v>#REF!</v>
      </c>
      <c r="M719" s="117" t="s">
        <v>59</v>
      </c>
      <c r="N719" s="115" t="s">
        <v>41</v>
      </c>
      <c r="O719" s="118" t="e">
        <f>'[9]LUONG T7'!Q60</f>
        <v>#REF!</v>
      </c>
      <c r="P719" s="119" t="s">
        <v>60</v>
      </c>
      <c r="Q719" s="270" t="s">
        <v>61</v>
      </c>
      <c r="R719" s="270"/>
      <c r="S719" s="270"/>
      <c r="T719" s="115" t="s">
        <v>41</v>
      </c>
      <c r="U719" s="281" t="e">
        <f>'[9]LUONG T7'!Q61</f>
        <v>#REF!</v>
      </c>
      <c r="V719" s="281"/>
      <c r="W719" s="123" t="s">
        <v>47</v>
      </c>
      <c r="X719" s="124" t="e">
        <f>R712*O719/X705/8*1.5</f>
        <v>#REF!</v>
      </c>
    </row>
    <row r="720" spans="1:24" ht="18.75" customHeight="1">
      <c r="A720" s="269" t="s">
        <v>62</v>
      </c>
      <c r="B720" s="270"/>
      <c r="C720" s="118"/>
      <c r="D720" s="119" t="s">
        <v>51</v>
      </c>
      <c r="E720" s="270" t="s">
        <v>63</v>
      </c>
      <c r="F720" s="270"/>
      <c r="G720" s="270"/>
      <c r="H720" s="125" t="s">
        <v>41</v>
      </c>
      <c r="I720" s="281"/>
      <c r="J720" s="281"/>
      <c r="K720" s="123" t="s">
        <v>47</v>
      </c>
      <c r="L720" s="124"/>
      <c r="M720" s="269" t="s">
        <v>62</v>
      </c>
      <c r="N720" s="270"/>
      <c r="O720" s="118"/>
      <c r="P720" s="119" t="s">
        <v>51</v>
      </c>
      <c r="Q720" s="270" t="s">
        <v>63</v>
      </c>
      <c r="R720" s="270"/>
      <c r="S720" s="270"/>
      <c r="T720" s="125" t="s">
        <v>41</v>
      </c>
      <c r="U720" s="281"/>
      <c r="V720" s="281"/>
      <c r="W720" s="123" t="s">
        <v>47</v>
      </c>
      <c r="X720" s="124"/>
    </row>
    <row r="721" spans="1:24" ht="18.75" customHeight="1">
      <c r="A721" s="117" t="s">
        <v>64</v>
      </c>
      <c r="B721" s="115" t="s">
        <v>41</v>
      </c>
      <c r="C721" s="118"/>
      <c r="D721" s="119" t="s">
        <v>51</v>
      </c>
      <c r="E721" s="270" t="s">
        <v>65</v>
      </c>
      <c r="F721" s="270"/>
      <c r="G721" s="270"/>
      <c r="H721" s="115" t="s">
        <v>41</v>
      </c>
      <c r="I721" s="281"/>
      <c r="J721" s="281"/>
      <c r="K721" s="123" t="s">
        <v>47</v>
      </c>
      <c r="L721" s="124"/>
      <c r="M721" s="117" t="s">
        <v>64</v>
      </c>
      <c r="N721" s="115" t="s">
        <v>41</v>
      </c>
      <c r="O721" s="118"/>
      <c r="P721" s="119" t="s">
        <v>51</v>
      </c>
      <c r="Q721" s="270" t="s">
        <v>65</v>
      </c>
      <c r="R721" s="270"/>
      <c r="S721" s="270"/>
      <c r="T721" s="115" t="s">
        <v>41</v>
      </c>
      <c r="U721" s="281"/>
      <c r="V721" s="281"/>
      <c r="W721" s="123" t="s">
        <v>47</v>
      </c>
      <c r="X721" s="124"/>
    </row>
    <row r="722" spans="1:24" ht="18.75" customHeight="1">
      <c r="A722" s="126" t="s">
        <v>66</v>
      </c>
      <c r="B722" s="115"/>
      <c r="C722" s="118" t="e">
        <f>'[9]LUONG T7'!M58</f>
        <v>#REF!</v>
      </c>
      <c r="D722" s="119" t="s">
        <v>60</v>
      </c>
      <c r="E722" s="270" t="s">
        <v>67</v>
      </c>
      <c r="F722" s="270"/>
      <c r="G722" s="270"/>
      <c r="H722" s="115" t="s">
        <v>41</v>
      </c>
      <c r="I722" s="281" t="e">
        <f>$F$8*C722/8/$L$1</f>
        <v>#REF!</v>
      </c>
      <c r="J722" s="281"/>
      <c r="K722" s="123" t="s">
        <v>47</v>
      </c>
      <c r="L722" s="124"/>
      <c r="M722" s="126" t="s">
        <v>66</v>
      </c>
      <c r="N722" s="115"/>
      <c r="O722" s="118" t="e">
        <f>'[9]LUONG T7'!M60</f>
        <v>#REF!</v>
      </c>
      <c r="P722" s="119" t="s">
        <v>60</v>
      </c>
      <c r="Q722" s="270" t="s">
        <v>67</v>
      </c>
      <c r="R722" s="270"/>
      <c r="S722" s="270"/>
      <c r="T722" s="115" t="s">
        <v>41</v>
      </c>
      <c r="U722" s="281" t="e">
        <f>$F$8*O722/8/$L$1</f>
        <v>#REF!</v>
      </c>
      <c r="V722" s="281"/>
      <c r="W722" s="123" t="s">
        <v>47</v>
      </c>
      <c r="X722" s="124"/>
    </row>
    <row r="723" spans="1:24" ht="18.75" customHeight="1">
      <c r="A723" s="117" t="s">
        <v>68</v>
      </c>
      <c r="B723" s="115" t="s">
        <v>41</v>
      </c>
      <c r="C723" s="118"/>
      <c r="D723" s="119" t="s">
        <v>60</v>
      </c>
      <c r="E723" s="270" t="s">
        <v>92</v>
      </c>
      <c r="F723" s="270"/>
      <c r="G723" s="270"/>
      <c r="H723" s="115" t="s">
        <v>41</v>
      </c>
      <c r="I723" s="283"/>
      <c r="J723" s="283"/>
      <c r="K723" s="123" t="s">
        <v>47</v>
      </c>
      <c r="L723" s="124"/>
      <c r="M723" s="117" t="s">
        <v>68</v>
      </c>
      <c r="N723" s="115" t="s">
        <v>41</v>
      </c>
      <c r="O723" s="118"/>
      <c r="P723" s="119" t="s">
        <v>60</v>
      </c>
      <c r="Q723" s="270" t="s">
        <v>92</v>
      </c>
      <c r="R723" s="270"/>
      <c r="S723" s="270"/>
      <c r="T723" s="115" t="s">
        <v>41</v>
      </c>
      <c r="U723" s="283"/>
      <c r="V723" s="283"/>
      <c r="W723" s="123" t="s">
        <v>47</v>
      </c>
      <c r="X723" s="124"/>
    </row>
    <row r="724" spans="1:24" ht="18.75" customHeight="1">
      <c r="A724" s="117" t="s">
        <v>70</v>
      </c>
      <c r="B724" s="115" t="s">
        <v>41</v>
      </c>
      <c r="C724" s="118"/>
      <c r="D724" s="119" t="s">
        <v>71</v>
      </c>
      <c r="E724" s="127" t="s">
        <v>72</v>
      </c>
      <c r="F724" s="127"/>
      <c r="G724" s="127"/>
      <c r="H724" s="115" t="s">
        <v>41</v>
      </c>
      <c r="I724" s="281"/>
      <c r="J724" s="281"/>
      <c r="K724" s="123" t="s">
        <v>47</v>
      </c>
      <c r="L724" s="124" t="e">
        <f>+IF(L715-I715&lt;0,0,L715-I715)+IF(L719-I719&lt;0,0,L719-I719)</f>
        <v>#REF!</v>
      </c>
      <c r="M724" s="117" t="s">
        <v>70</v>
      </c>
      <c r="N724" s="115" t="s">
        <v>41</v>
      </c>
      <c r="O724" s="118"/>
      <c r="P724" s="119" t="s">
        <v>71</v>
      </c>
      <c r="Q724" s="127" t="s">
        <v>72</v>
      </c>
      <c r="R724" s="127"/>
      <c r="S724" s="127"/>
      <c r="T724" s="115" t="s">
        <v>41</v>
      </c>
      <c r="U724" s="281"/>
      <c r="V724" s="281"/>
      <c r="W724" s="123" t="s">
        <v>47</v>
      </c>
      <c r="X724" s="124" t="e">
        <f>+IF(X715-U715&lt;0,0,X715-U715)+IF(X719-U719&lt;0,0,X719-U719)</f>
        <v>#REF!</v>
      </c>
    </row>
    <row r="725" spans="1:24" ht="18.75" customHeight="1">
      <c r="A725" s="128" t="s">
        <v>117</v>
      </c>
      <c r="B725" s="129"/>
      <c r="C725" s="118"/>
      <c r="D725" s="119" t="s">
        <v>51</v>
      </c>
      <c r="E725" s="270" t="s">
        <v>118</v>
      </c>
      <c r="F725" s="270"/>
      <c r="G725" s="270"/>
      <c r="H725" s="115" t="s">
        <v>41</v>
      </c>
      <c r="I725" s="281"/>
      <c r="J725" s="281"/>
      <c r="K725" s="123" t="s">
        <v>47</v>
      </c>
      <c r="L725" s="124"/>
      <c r="M725" s="128" t="s">
        <v>117</v>
      </c>
      <c r="N725" s="129"/>
      <c r="O725" s="118"/>
      <c r="P725" s="119" t="s">
        <v>51</v>
      </c>
      <c r="Q725" s="270" t="s">
        <v>118</v>
      </c>
      <c r="R725" s="270"/>
      <c r="S725" s="270"/>
      <c r="T725" s="115" t="s">
        <v>41</v>
      </c>
      <c r="U725" s="281"/>
      <c r="V725" s="281"/>
      <c r="W725" s="123" t="s">
        <v>47</v>
      </c>
      <c r="X725" s="124"/>
    </row>
    <row r="726" spans="1:24" ht="18.75" customHeight="1">
      <c r="A726" s="288" t="s">
        <v>75</v>
      </c>
      <c r="B726" s="282"/>
      <c r="C726" s="118"/>
      <c r="D726" s="119"/>
      <c r="E726" s="120"/>
      <c r="F726" s="120"/>
      <c r="G726" s="120"/>
      <c r="H726" s="115" t="s">
        <v>41</v>
      </c>
      <c r="I726" s="281" t="e">
        <f>'[9]LUONG T7'!P59</f>
        <v>#REF!</v>
      </c>
      <c r="J726" s="281"/>
      <c r="K726" s="123" t="s">
        <v>47</v>
      </c>
      <c r="L726" s="124"/>
      <c r="M726" s="288" t="s">
        <v>75</v>
      </c>
      <c r="N726" s="282"/>
      <c r="O726" s="118"/>
      <c r="P726" s="119"/>
      <c r="Q726" s="120"/>
      <c r="R726" s="120"/>
      <c r="S726" s="120"/>
      <c r="T726" s="115" t="s">
        <v>41</v>
      </c>
      <c r="U726" s="281" t="e">
        <f>'[9]LUONG T7'!P61</f>
        <v>#REF!</v>
      </c>
      <c r="V726" s="281"/>
      <c r="W726" s="123" t="s">
        <v>47</v>
      </c>
      <c r="X726" s="124"/>
    </row>
    <row r="727" spans="1:24" ht="18.75" customHeight="1">
      <c r="A727" s="117" t="s">
        <v>76</v>
      </c>
      <c r="B727" s="115" t="s">
        <v>41</v>
      </c>
      <c r="C727" s="118"/>
      <c r="D727" s="119"/>
      <c r="E727" s="120" t="s">
        <v>77</v>
      </c>
      <c r="F727" s="120"/>
      <c r="G727" s="120"/>
      <c r="H727" s="115" t="s">
        <v>41</v>
      </c>
      <c r="I727" s="281" t="e">
        <f>L724</f>
        <v>#REF!</v>
      </c>
      <c r="J727" s="281"/>
      <c r="K727" s="123" t="s">
        <v>47</v>
      </c>
      <c r="L727" s="124"/>
      <c r="M727" s="117" t="s">
        <v>76</v>
      </c>
      <c r="N727" s="115" t="s">
        <v>41</v>
      </c>
      <c r="O727" s="118"/>
      <c r="P727" s="119"/>
      <c r="Q727" s="120" t="s">
        <v>77</v>
      </c>
      <c r="R727" s="120"/>
      <c r="S727" s="120"/>
      <c r="T727" s="115" t="s">
        <v>41</v>
      </c>
      <c r="U727" s="281" t="e">
        <f>X724</f>
        <v>#REF!</v>
      </c>
      <c r="V727" s="281"/>
      <c r="W727" s="123" t="s">
        <v>47</v>
      </c>
      <c r="X727" s="124"/>
    </row>
    <row r="728" spans="1:24" ht="18.75" customHeight="1">
      <c r="A728" s="285" t="s">
        <v>78</v>
      </c>
      <c r="B728" s="286"/>
      <c r="C728" s="286"/>
      <c r="D728" s="286"/>
      <c r="E728" s="286"/>
      <c r="F728" s="286"/>
      <c r="G728" s="115" t="s">
        <v>41</v>
      </c>
      <c r="H728" s="287" t="e">
        <f>I715+I716+I717+I718+I719+I722+I726+I727</f>
        <v>#REF!</v>
      </c>
      <c r="I728" s="287"/>
      <c r="J728" s="287"/>
      <c r="K728" s="123" t="s">
        <v>47</v>
      </c>
      <c r="M728" s="285" t="s">
        <v>78</v>
      </c>
      <c r="N728" s="286"/>
      <c r="O728" s="286"/>
      <c r="P728" s="286"/>
      <c r="Q728" s="286"/>
      <c r="R728" s="286"/>
      <c r="S728" s="115" t="s">
        <v>41</v>
      </c>
      <c r="T728" s="287" t="e">
        <f>U715+U716+U717+U718+U719+U722+U726+U727</f>
        <v>#REF!</v>
      </c>
      <c r="U728" s="287"/>
      <c r="V728" s="287"/>
      <c r="W728" s="123" t="s">
        <v>47</v>
      </c>
    </row>
    <row r="729" spans="1:24" ht="18.75" customHeight="1">
      <c r="A729" s="130"/>
      <c r="B729" s="131"/>
      <c r="C729" s="131"/>
      <c r="D729" s="131"/>
      <c r="E729" s="131"/>
      <c r="F729" s="131"/>
      <c r="G729" s="131"/>
      <c r="H729" s="131"/>
      <c r="I729" s="131"/>
      <c r="J729" s="131"/>
      <c r="K729" s="132"/>
      <c r="M729" s="130"/>
      <c r="N729" s="131"/>
      <c r="O729" s="131"/>
      <c r="P729" s="131"/>
      <c r="Q729" s="131"/>
      <c r="R729" s="131"/>
      <c r="S729" s="131"/>
      <c r="T729" s="131"/>
      <c r="U729" s="131"/>
      <c r="V729" s="131"/>
      <c r="W729" s="132"/>
    </row>
    <row r="730" spans="1:24" ht="18.75" customHeight="1">
      <c r="A730" s="295" t="s">
        <v>79</v>
      </c>
      <c r="B730" s="296"/>
      <c r="C730" s="296"/>
      <c r="D730" s="296"/>
      <c r="E730" s="296"/>
      <c r="F730" s="296"/>
      <c r="G730" s="115"/>
      <c r="H730" s="115"/>
      <c r="I730" s="115"/>
      <c r="J730" s="115"/>
      <c r="K730" s="123"/>
      <c r="M730" s="295" t="s">
        <v>79</v>
      </c>
      <c r="N730" s="296"/>
      <c r="O730" s="296"/>
      <c r="P730" s="296"/>
      <c r="Q730" s="296"/>
      <c r="R730" s="296"/>
      <c r="S730" s="115"/>
      <c r="T730" s="115"/>
      <c r="U730" s="115"/>
      <c r="V730" s="115"/>
      <c r="W730" s="123"/>
    </row>
    <row r="731" spans="1:24" ht="18.75" customHeight="1">
      <c r="A731" s="289" t="s">
        <v>80</v>
      </c>
      <c r="B731" s="290"/>
      <c r="C731" s="290"/>
      <c r="D731" s="290"/>
      <c r="E731" s="290"/>
      <c r="F731" s="290"/>
      <c r="G731" s="115" t="s">
        <v>41</v>
      </c>
      <c r="H731" s="297" t="e">
        <f>IF(($L$1-(C715+C716+C717+C718))&gt;12,0,F712*8%)</f>
        <v>#REF!</v>
      </c>
      <c r="I731" s="297"/>
      <c r="J731" s="297"/>
      <c r="K731" s="123" t="s">
        <v>47</v>
      </c>
      <c r="M731" s="289" t="s">
        <v>80</v>
      </c>
      <c r="N731" s="290"/>
      <c r="O731" s="290"/>
      <c r="P731" s="290"/>
      <c r="Q731" s="290"/>
      <c r="R731" s="290"/>
      <c r="S731" s="115" t="s">
        <v>41</v>
      </c>
      <c r="T731" s="297" t="e">
        <f>IF(($L$1-(O715+O716+O717+O718))&gt;12,0,R712*8%)</f>
        <v>#REF!</v>
      </c>
      <c r="U731" s="297"/>
      <c r="V731" s="297"/>
      <c r="W731" s="123" t="s">
        <v>47</v>
      </c>
    </row>
    <row r="732" spans="1:24" ht="18.75" customHeight="1">
      <c r="A732" s="289" t="s">
        <v>81</v>
      </c>
      <c r="B732" s="290"/>
      <c r="C732" s="290"/>
      <c r="D732" s="290"/>
      <c r="E732" s="290"/>
      <c r="F732" s="290"/>
      <c r="G732" s="115" t="s">
        <v>41</v>
      </c>
      <c r="H732" s="291" t="e">
        <f>IF(($L$1-(C715+C716+C717+C718))&gt;12,0,F712*1.5%)</f>
        <v>#REF!</v>
      </c>
      <c r="I732" s="291"/>
      <c r="J732" s="291"/>
      <c r="K732" s="123" t="s">
        <v>47</v>
      </c>
      <c r="M732" s="289" t="s">
        <v>81</v>
      </c>
      <c r="N732" s="290"/>
      <c r="O732" s="290"/>
      <c r="P732" s="290"/>
      <c r="Q732" s="290"/>
      <c r="R732" s="290"/>
      <c r="S732" s="115" t="s">
        <v>41</v>
      </c>
      <c r="T732" s="291" t="e">
        <f>IF(($L$1-(O715+O716+O717+O718))&gt;12,0,R712*1.5%)</f>
        <v>#REF!</v>
      </c>
      <c r="U732" s="291"/>
      <c r="V732" s="291"/>
      <c r="W732" s="123" t="s">
        <v>47</v>
      </c>
    </row>
    <row r="733" spans="1:24" ht="18.75" customHeight="1">
      <c r="A733" s="289" t="s">
        <v>82</v>
      </c>
      <c r="B733" s="290"/>
      <c r="C733" s="290"/>
      <c r="D733" s="290"/>
      <c r="E733" s="290"/>
      <c r="F733" s="290"/>
      <c r="G733" s="115" t="s">
        <v>41</v>
      </c>
      <c r="H733" s="291" t="e">
        <f>IF(($L$1-(C715+C716+C717+C718))&gt;12,0,F712*1%)</f>
        <v>#REF!</v>
      </c>
      <c r="I733" s="291"/>
      <c r="J733" s="291"/>
      <c r="K733" s="123" t="s">
        <v>47</v>
      </c>
      <c r="M733" s="289" t="s">
        <v>82</v>
      </c>
      <c r="N733" s="290"/>
      <c r="O733" s="290"/>
      <c r="P733" s="290"/>
      <c r="Q733" s="290"/>
      <c r="R733" s="290"/>
      <c r="S733" s="115" t="s">
        <v>41</v>
      </c>
      <c r="T733" s="291" t="e">
        <f>IF(($L$1-(O715+O716+O717+O718))&gt;12,0,R712*1%)</f>
        <v>#REF!</v>
      </c>
      <c r="U733" s="291"/>
      <c r="V733" s="291"/>
      <c r="W733" s="123" t="s">
        <v>47</v>
      </c>
    </row>
    <row r="734" spans="1:24" ht="18.75" customHeight="1">
      <c r="A734" s="289" t="s">
        <v>83</v>
      </c>
      <c r="B734" s="290"/>
      <c r="C734" s="290"/>
      <c r="D734" s="290"/>
      <c r="E734" s="290"/>
      <c r="F734" s="290"/>
      <c r="G734" s="115" t="s">
        <v>41</v>
      </c>
      <c r="H734" s="291">
        <v>0</v>
      </c>
      <c r="I734" s="291"/>
      <c r="J734" s="291"/>
      <c r="K734" s="123" t="s">
        <v>47</v>
      </c>
      <c r="M734" s="289" t="s">
        <v>83</v>
      </c>
      <c r="N734" s="290"/>
      <c r="O734" s="290"/>
      <c r="P734" s="290"/>
      <c r="Q734" s="290"/>
      <c r="R734" s="290"/>
      <c r="S734" s="115" t="s">
        <v>41</v>
      </c>
      <c r="T734" s="291">
        <v>0</v>
      </c>
      <c r="U734" s="291"/>
      <c r="V734" s="291"/>
      <c r="W734" s="123" t="s">
        <v>47</v>
      </c>
    </row>
    <row r="735" spans="1:24" ht="18.75" customHeight="1">
      <c r="A735" s="292" t="s">
        <v>84</v>
      </c>
      <c r="B735" s="293"/>
      <c r="C735" s="293"/>
      <c r="D735" s="293"/>
      <c r="E735" s="293"/>
      <c r="F735" s="293"/>
      <c r="G735" s="115" t="s">
        <v>41</v>
      </c>
      <c r="H735" s="294" t="e">
        <f>SUM(H731:J734)</f>
        <v>#REF!</v>
      </c>
      <c r="I735" s="294"/>
      <c r="J735" s="294"/>
      <c r="K735" s="123" t="s">
        <v>47</v>
      </c>
      <c r="M735" s="292" t="s">
        <v>84</v>
      </c>
      <c r="N735" s="293"/>
      <c r="O735" s="293"/>
      <c r="P735" s="293"/>
      <c r="Q735" s="293"/>
      <c r="R735" s="293"/>
      <c r="S735" s="115" t="s">
        <v>41</v>
      </c>
      <c r="T735" s="294" t="e">
        <f>SUM(T731:V734)</f>
        <v>#REF!</v>
      </c>
      <c r="U735" s="294"/>
      <c r="V735" s="294"/>
      <c r="W735" s="123" t="s">
        <v>47</v>
      </c>
    </row>
    <row r="736" spans="1:24" ht="18.75" customHeight="1">
      <c r="A736" s="289" t="s">
        <v>85</v>
      </c>
      <c r="B736" s="290"/>
      <c r="C736" s="290"/>
      <c r="D736" s="290"/>
      <c r="E736" s="290"/>
      <c r="F736" s="290"/>
      <c r="G736" s="115" t="s">
        <v>41</v>
      </c>
      <c r="H736" s="301" t="e">
        <f>ROUND(H728-H735,-2)</f>
        <v>#REF!</v>
      </c>
      <c r="I736" s="301"/>
      <c r="J736" s="301"/>
      <c r="K736" s="123" t="s">
        <v>47</v>
      </c>
      <c r="M736" s="289" t="s">
        <v>85</v>
      </c>
      <c r="N736" s="290"/>
      <c r="O736" s="290"/>
      <c r="P736" s="290"/>
      <c r="Q736" s="290"/>
      <c r="R736" s="290"/>
      <c r="S736" s="115" t="s">
        <v>41</v>
      </c>
      <c r="T736" s="301" t="e">
        <f>ROUND(T728-T735,-2)</f>
        <v>#REF!</v>
      </c>
      <c r="U736" s="301"/>
      <c r="V736" s="301"/>
      <c r="W736" s="123" t="s">
        <v>47</v>
      </c>
    </row>
    <row r="737" spans="1:24" ht="18.75" customHeight="1">
      <c r="A737" s="133"/>
      <c r="B737" s="134"/>
      <c r="C737" s="134"/>
      <c r="D737" s="134"/>
      <c r="E737" s="134"/>
      <c r="F737" s="134"/>
      <c r="G737" s="134"/>
      <c r="H737" s="134"/>
      <c r="I737" s="134"/>
      <c r="J737" s="134"/>
      <c r="K737" s="135"/>
      <c r="M737" s="133"/>
      <c r="N737" s="134"/>
      <c r="O737" s="134"/>
      <c r="P737" s="134"/>
      <c r="Q737" s="134"/>
      <c r="R737" s="134"/>
      <c r="S737" s="134"/>
      <c r="T737" s="134"/>
      <c r="U737" s="134"/>
      <c r="V737" s="134"/>
      <c r="W737" s="135"/>
    </row>
    <row r="738" spans="1:24" ht="18.75" customHeight="1">
      <c r="A738" s="136"/>
      <c r="B738" s="115"/>
      <c r="C738" s="115"/>
      <c r="D738" s="115"/>
      <c r="E738" s="115"/>
      <c r="F738" s="115"/>
      <c r="G738" s="115"/>
      <c r="H738" s="115"/>
      <c r="I738" s="298" t="s">
        <v>86</v>
      </c>
      <c r="J738" s="298"/>
      <c r="K738" s="302"/>
      <c r="M738" s="136"/>
      <c r="N738" s="115"/>
      <c r="O738" s="115"/>
      <c r="P738" s="115"/>
      <c r="Q738" s="115"/>
      <c r="R738" s="115"/>
      <c r="S738" s="115"/>
      <c r="T738" s="115"/>
      <c r="U738" s="298" t="s">
        <v>86</v>
      </c>
      <c r="V738" s="298"/>
      <c r="W738" s="302"/>
    </row>
    <row r="739" spans="1:24" ht="18.75" customHeight="1">
      <c r="A739" s="136"/>
      <c r="B739" s="298"/>
      <c r="C739" s="298"/>
      <c r="D739" s="298"/>
      <c r="E739" s="298"/>
      <c r="F739" s="115"/>
      <c r="G739" s="115"/>
      <c r="H739" s="115"/>
      <c r="I739" s="115"/>
      <c r="J739" s="115"/>
      <c r="K739" s="116"/>
      <c r="M739" s="136"/>
      <c r="N739" s="298"/>
      <c r="O739" s="298"/>
      <c r="P739" s="298"/>
      <c r="Q739" s="298"/>
      <c r="R739" s="115"/>
      <c r="S739" s="115"/>
      <c r="T739" s="115"/>
      <c r="U739" s="115"/>
      <c r="V739" s="115"/>
      <c r="W739" s="116"/>
    </row>
    <row r="740" spans="1:24" ht="18.75" customHeight="1" thickBot="1">
      <c r="A740" s="137"/>
      <c r="B740" s="138"/>
      <c r="C740" s="138"/>
      <c r="D740" s="138"/>
      <c r="E740" s="138"/>
      <c r="F740" s="138"/>
      <c r="G740" s="138"/>
      <c r="H740" s="138"/>
      <c r="I740" s="299" t="s">
        <v>87</v>
      </c>
      <c r="J740" s="299"/>
      <c r="K740" s="300"/>
      <c r="M740" s="137"/>
      <c r="N740" s="138"/>
      <c r="O740" s="138"/>
      <c r="P740" s="138"/>
      <c r="Q740" s="138"/>
      <c r="R740" s="138"/>
      <c r="S740" s="138"/>
      <c r="T740" s="138"/>
      <c r="U740" s="299" t="s">
        <v>87</v>
      </c>
      <c r="V740" s="299"/>
      <c r="W740" s="300"/>
    </row>
    <row r="742" spans="1:24" ht="18.75" customHeight="1" thickTop="1">
      <c r="A742" s="274" t="s">
        <v>35</v>
      </c>
      <c r="B742" s="275"/>
      <c r="C742" s="275"/>
      <c r="D742" s="275"/>
      <c r="E742" s="275"/>
      <c r="F742" s="275"/>
      <c r="G742" s="275"/>
      <c r="H742" s="275"/>
      <c r="I742" s="275"/>
      <c r="J742" s="275"/>
      <c r="K742" s="276"/>
      <c r="L742" s="111">
        <v>25</v>
      </c>
      <c r="M742" s="274" t="s">
        <v>35</v>
      </c>
      <c r="N742" s="275"/>
      <c r="O742" s="275"/>
      <c r="P742" s="275"/>
      <c r="Q742" s="275"/>
      <c r="R742" s="275"/>
      <c r="S742" s="275"/>
      <c r="T742" s="275"/>
      <c r="U742" s="275"/>
      <c r="V742" s="275"/>
      <c r="W742" s="276"/>
      <c r="X742" s="111">
        <v>25</v>
      </c>
    </row>
    <row r="743" spans="1:24" ht="18.75" customHeight="1">
      <c r="A743" s="112" t="s">
        <v>143</v>
      </c>
      <c r="B743" s="113"/>
      <c r="C743" s="113"/>
      <c r="D743" s="113"/>
      <c r="E743" s="113"/>
      <c r="F743" s="113"/>
      <c r="G743" s="113"/>
      <c r="H743" s="113"/>
      <c r="I743" s="113"/>
      <c r="J743" s="113"/>
      <c r="K743" s="114"/>
      <c r="M743" s="112" t="s">
        <v>144</v>
      </c>
      <c r="N743" s="113"/>
      <c r="O743" s="113"/>
      <c r="P743" s="113"/>
      <c r="Q743" s="113"/>
      <c r="R743" s="113"/>
      <c r="S743" s="113"/>
      <c r="T743" s="113"/>
      <c r="U743" s="113"/>
      <c r="V743" s="113"/>
      <c r="W743" s="114"/>
    </row>
    <row r="744" spans="1:24" ht="18.75" customHeight="1">
      <c r="A744" s="277" t="s">
        <v>39</v>
      </c>
      <c r="B744" s="278"/>
      <c r="C744" s="278"/>
      <c r="D744" s="278"/>
      <c r="E744" s="278"/>
      <c r="F744" s="278"/>
      <c r="G744" s="278"/>
      <c r="H744" s="278"/>
      <c r="I744" s="278"/>
      <c r="J744" s="278"/>
      <c r="K744" s="279"/>
      <c r="M744" s="277" t="s">
        <v>39</v>
      </c>
      <c r="N744" s="278"/>
      <c r="O744" s="278"/>
      <c r="P744" s="278"/>
      <c r="Q744" s="278"/>
      <c r="R744" s="278"/>
      <c r="S744" s="278"/>
      <c r="T744" s="278"/>
      <c r="U744" s="278"/>
      <c r="V744" s="278"/>
      <c r="W744" s="279"/>
    </row>
    <row r="745" spans="1:24" ht="18.75" customHeight="1">
      <c r="A745" s="269" t="s">
        <v>40</v>
      </c>
      <c r="B745" s="270"/>
      <c r="C745" s="270"/>
      <c r="D745" s="270"/>
      <c r="E745" s="115" t="s">
        <v>41</v>
      </c>
      <c r="F745" s="271" t="e">
        <f>'[9]Bang TH nop'!B83</f>
        <v>#REF!</v>
      </c>
      <c r="G745" s="270"/>
      <c r="H745" s="270"/>
      <c r="I745" s="270"/>
      <c r="J745" s="270"/>
      <c r="K745" s="273"/>
      <c r="M745" s="269" t="s">
        <v>40</v>
      </c>
      <c r="N745" s="270"/>
      <c r="O745" s="270"/>
      <c r="P745" s="270"/>
      <c r="Q745" s="115" t="s">
        <v>41</v>
      </c>
      <c r="R745" s="271" t="e">
        <f>'[9]Bang TH nop'!B85</f>
        <v>#REF!</v>
      </c>
      <c r="S745" s="270"/>
      <c r="T745" s="270"/>
      <c r="U745" s="270"/>
      <c r="V745" s="270"/>
      <c r="W745" s="273"/>
    </row>
    <row r="746" spans="1:24" ht="18.75" customHeight="1">
      <c r="A746" s="269" t="s">
        <v>43</v>
      </c>
      <c r="B746" s="270"/>
      <c r="C746" s="270"/>
      <c r="D746" s="270"/>
      <c r="E746" s="115" t="s">
        <v>41</v>
      </c>
      <c r="F746" s="271" t="e">
        <f>'[9]Bang TH nop'!C83</f>
        <v>#REF!</v>
      </c>
      <c r="G746" s="271"/>
      <c r="H746" s="271"/>
      <c r="I746" s="271"/>
      <c r="J746" s="271"/>
      <c r="K746" s="272"/>
      <c r="M746" s="269" t="s">
        <v>43</v>
      </c>
      <c r="N746" s="270"/>
      <c r="O746" s="270"/>
      <c r="P746" s="270"/>
      <c r="Q746" s="115" t="s">
        <v>41</v>
      </c>
      <c r="R746" s="271" t="e">
        <f>'[9]Bang TH nop'!C85</f>
        <v>#REF!</v>
      </c>
      <c r="S746" s="271"/>
      <c r="T746" s="271"/>
      <c r="U746" s="271"/>
      <c r="V746" s="271"/>
      <c r="W746" s="272"/>
    </row>
    <row r="747" spans="1:24" ht="18.75" customHeight="1">
      <c r="A747" s="269" t="s">
        <v>44</v>
      </c>
      <c r="B747" s="270"/>
      <c r="C747" s="270"/>
      <c r="D747" s="270"/>
      <c r="E747" s="115" t="s">
        <v>41</v>
      </c>
      <c r="F747" s="270" t="s">
        <v>116</v>
      </c>
      <c r="G747" s="270"/>
      <c r="H747" s="270"/>
      <c r="I747" s="270"/>
      <c r="J747" s="270"/>
      <c r="K747" s="273"/>
      <c r="M747" s="269" t="s">
        <v>44</v>
      </c>
      <c r="N747" s="270"/>
      <c r="O747" s="270"/>
      <c r="P747" s="270"/>
      <c r="Q747" s="115" t="s">
        <v>41</v>
      </c>
      <c r="R747" s="270" t="s">
        <v>116</v>
      </c>
      <c r="S747" s="270"/>
      <c r="T747" s="270"/>
      <c r="U747" s="270"/>
      <c r="V747" s="270"/>
      <c r="W747" s="273"/>
    </row>
    <row r="748" spans="1:24" ht="18.75" customHeight="1">
      <c r="A748" s="277" t="s">
        <v>45</v>
      </c>
      <c r="B748" s="278"/>
      <c r="C748" s="278"/>
      <c r="D748" s="278"/>
      <c r="E748" s="278"/>
      <c r="F748" s="278"/>
      <c r="G748" s="278"/>
      <c r="H748" s="278"/>
      <c r="I748" s="278"/>
      <c r="J748" s="278"/>
      <c r="K748" s="279"/>
      <c r="M748" s="277" t="s">
        <v>45</v>
      </c>
      <c r="N748" s="278"/>
      <c r="O748" s="278"/>
      <c r="P748" s="278"/>
      <c r="Q748" s="278"/>
      <c r="R748" s="278"/>
      <c r="S748" s="278"/>
      <c r="T748" s="278"/>
      <c r="U748" s="278"/>
      <c r="V748" s="278"/>
      <c r="W748" s="279"/>
    </row>
    <row r="749" spans="1:24" ht="18.75" customHeight="1">
      <c r="A749" s="269" t="s">
        <v>46</v>
      </c>
      <c r="B749" s="270"/>
      <c r="C749" s="270"/>
      <c r="D749" s="270"/>
      <c r="E749" s="115" t="s">
        <v>41</v>
      </c>
      <c r="F749" s="284">
        <v>2915400</v>
      </c>
      <c r="G749" s="284"/>
      <c r="H749" s="284"/>
      <c r="I749" s="284"/>
      <c r="J749" s="115" t="s">
        <v>47</v>
      </c>
      <c r="K749" s="116"/>
      <c r="M749" s="269" t="s">
        <v>46</v>
      </c>
      <c r="N749" s="270"/>
      <c r="O749" s="270"/>
      <c r="P749" s="270"/>
      <c r="Q749" s="115" t="s">
        <v>41</v>
      </c>
      <c r="R749" s="284">
        <v>2915400</v>
      </c>
      <c r="S749" s="284"/>
      <c r="T749" s="284"/>
      <c r="U749" s="284"/>
      <c r="V749" s="115" t="s">
        <v>47</v>
      </c>
      <c r="W749" s="116"/>
    </row>
    <row r="750" spans="1:24" ht="18.75" customHeight="1">
      <c r="A750" s="117" t="s">
        <v>48</v>
      </c>
      <c r="B750" s="115"/>
      <c r="C750" s="118"/>
      <c r="D750" s="119"/>
      <c r="E750" s="120"/>
      <c r="F750" s="120"/>
      <c r="G750" s="120"/>
      <c r="H750" s="115"/>
      <c r="I750" s="121" t="e">
        <f>'[9]LUONG T7'!F63</f>
        <v>#REF!</v>
      </c>
      <c r="J750" s="122"/>
      <c r="K750" s="123"/>
      <c r="M750" s="117" t="s">
        <v>48</v>
      </c>
      <c r="N750" s="115"/>
      <c r="O750" s="118"/>
      <c r="P750" s="119"/>
      <c r="Q750" s="120"/>
      <c r="R750" s="120"/>
      <c r="S750" s="120"/>
      <c r="T750" s="115"/>
      <c r="U750" s="121" t="e">
        <f>'[9]LUONG T7'!F65</f>
        <v>#REF!</v>
      </c>
      <c r="V750" s="122"/>
      <c r="W750" s="123"/>
    </row>
    <row r="751" spans="1:24" ht="18.75" customHeight="1">
      <c r="A751" s="117" t="s">
        <v>49</v>
      </c>
      <c r="B751" s="115"/>
      <c r="C751" s="118"/>
      <c r="D751" s="119"/>
      <c r="E751" s="120"/>
      <c r="F751" s="120"/>
      <c r="G751" s="120"/>
      <c r="H751" s="115"/>
      <c r="I751" s="121" t="e">
        <f>I752/C752/8</f>
        <v>#REF!</v>
      </c>
      <c r="J751" s="122"/>
      <c r="K751" s="123"/>
      <c r="M751" s="117" t="s">
        <v>49</v>
      </c>
      <c r="N751" s="115"/>
      <c r="O751" s="118"/>
      <c r="P751" s="119"/>
      <c r="Q751" s="120"/>
      <c r="R751" s="120"/>
      <c r="S751" s="120"/>
      <c r="T751" s="115"/>
      <c r="U751" s="121" t="e">
        <f>U752/O752/8</f>
        <v>#REF!</v>
      </c>
      <c r="V751" s="122"/>
      <c r="W751" s="123"/>
    </row>
    <row r="752" spans="1:24" ht="18.75" customHeight="1">
      <c r="A752" s="117" t="s">
        <v>50</v>
      </c>
      <c r="B752" s="115" t="s">
        <v>41</v>
      </c>
      <c r="C752" s="118" t="e">
        <f>'[9]LUONG T7'!I62</f>
        <v>#REF!</v>
      </c>
      <c r="D752" s="119" t="s">
        <v>51</v>
      </c>
      <c r="E752" s="282" t="s">
        <v>52</v>
      </c>
      <c r="F752" s="282"/>
      <c r="G752" s="282"/>
      <c r="H752" s="115" t="s">
        <v>41</v>
      </c>
      <c r="I752" s="283" t="e">
        <f>'[9]LUONG T7'!I63</f>
        <v>#REF!</v>
      </c>
      <c r="J752" s="283"/>
      <c r="K752" s="123" t="s">
        <v>47</v>
      </c>
      <c r="L752" s="124" t="e">
        <f>F749/L742*C752</f>
        <v>#REF!</v>
      </c>
      <c r="M752" s="117" t="s">
        <v>50</v>
      </c>
      <c r="N752" s="115" t="s">
        <v>41</v>
      </c>
      <c r="O752" s="118" t="e">
        <f>'[9]LUONG T7'!I64</f>
        <v>#REF!</v>
      </c>
      <c r="P752" s="119" t="s">
        <v>51</v>
      </c>
      <c r="Q752" s="282" t="s">
        <v>52</v>
      </c>
      <c r="R752" s="282"/>
      <c r="S752" s="282"/>
      <c r="T752" s="115" t="s">
        <v>41</v>
      </c>
      <c r="U752" s="283" t="e">
        <f>'[9]LUONG T7'!I65</f>
        <v>#REF!</v>
      </c>
      <c r="V752" s="283"/>
      <c r="W752" s="123" t="s">
        <v>47</v>
      </c>
      <c r="X752" s="124" t="e">
        <f>R749/X742*O752</f>
        <v>#REF!</v>
      </c>
    </row>
    <row r="753" spans="1:24" ht="18.75" customHeight="1">
      <c r="A753" s="117" t="s">
        <v>53</v>
      </c>
      <c r="B753" s="115" t="s">
        <v>41</v>
      </c>
      <c r="C753" s="118" t="e">
        <f>'[9]LUONG T7'!J62</f>
        <v>#REF!</v>
      </c>
      <c r="D753" s="119" t="s">
        <v>51</v>
      </c>
      <c r="E753" s="270" t="s">
        <v>54</v>
      </c>
      <c r="F753" s="270"/>
      <c r="G753" s="270"/>
      <c r="H753" s="115" t="s">
        <v>41</v>
      </c>
      <c r="I753" s="281" t="e">
        <f>$F$8/$L$1*C753</f>
        <v>#REF!</v>
      </c>
      <c r="J753" s="281"/>
      <c r="K753" s="123" t="s">
        <v>47</v>
      </c>
      <c r="L753" s="124"/>
      <c r="M753" s="117" t="s">
        <v>53</v>
      </c>
      <c r="N753" s="115" t="s">
        <v>41</v>
      </c>
      <c r="O753" s="118" t="e">
        <f>'[9]LUONG T7'!J64</f>
        <v>#REF!</v>
      </c>
      <c r="P753" s="119" t="s">
        <v>51</v>
      </c>
      <c r="Q753" s="270" t="s">
        <v>54</v>
      </c>
      <c r="R753" s="270"/>
      <c r="S753" s="270"/>
      <c r="T753" s="115" t="s">
        <v>41</v>
      </c>
      <c r="U753" s="281" t="e">
        <f>$F$8/$L$1*O753</f>
        <v>#REF!</v>
      </c>
      <c r="V753" s="281"/>
      <c r="W753" s="123" t="s">
        <v>47</v>
      </c>
      <c r="X753" s="124"/>
    </row>
    <row r="754" spans="1:24" ht="18.75" customHeight="1">
      <c r="A754" s="117" t="s">
        <v>55</v>
      </c>
      <c r="B754" s="115" t="s">
        <v>41</v>
      </c>
      <c r="C754" s="118" t="e">
        <f>'[9]LUONG T7'!K62</f>
        <v>#REF!</v>
      </c>
      <c r="D754" s="119" t="s">
        <v>51</v>
      </c>
      <c r="E754" s="280" t="s">
        <v>56</v>
      </c>
      <c r="F754" s="280"/>
      <c r="G754" s="280"/>
      <c r="H754" s="115" t="s">
        <v>41</v>
      </c>
      <c r="I754" s="281" t="e">
        <f>$F$8/$L$1*C754</f>
        <v>#REF!</v>
      </c>
      <c r="J754" s="281"/>
      <c r="K754" s="123" t="s">
        <v>47</v>
      </c>
      <c r="L754" s="124"/>
      <c r="M754" s="117" t="s">
        <v>55</v>
      </c>
      <c r="N754" s="115" t="s">
        <v>41</v>
      </c>
      <c r="O754" s="118" t="e">
        <f>'[9]LUONG T7'!K64</f>
        <v>#REF!</v>
      </c>
      <c r="P754" s="119" t="s">
        <v>51</v>
      </c>
      <c r="Q754" s="280" t="s">
        <v>56</v>
      </c>
      <c r="R754" s="280"/>
      <c r="S754" s="280"/>
      <c r="T754" s="115" t="s">
        <v>41</v>
      </c>
      <c r="U754" s="281" t="e">
        <f>$F$8/$L$1*O754</f>
        <v>#REF!</v>
      </c>
      <c r="V754" s="281"/>
      <c r="W754" s="123" t="s">
        <v>47</v>
      </c>
      <c r="X754" s="124"/>
    </row>
    <row r="755" spans="1:24" ht="18.75" customHeight="1">
      <c r="A755" s="117" t="s">
        <v>57</v>
      </c>
      <c r="B755" s="115" t="s">
        <v>41</v>
      </c>
      <c r="C755" s="118" t="e">
        <f>'[9]LUONG T7'!L62</f>
        <v>#REF!</v>
      </c>
      <c r="D755" s="119" t="s">
        <v>51</v>
      </c>
      <c r="E755" s="280" t="s">
        <v>58</v>
      </c>
      <c r="F755" s="280"/>
      <c r="G755" s="280"/>
      <c r="H755" s="115" t="s">
        <v>41</v>
      </c>
      <c r="I755" s="281" t="e">
        <f>$F$8/$L$1*C755</f>
        <v>#REF!</v>
      </c>
      <c r="J755" s="281"/>
      <c r="K755" s="123" t="s">
        <v>47</v>
      </c>
      <c r="L755" s="124"/>
      <c r="M755" s="117" t="s">
        <v>57</v>
      </c>
      <c r="N755" s="115" t="s">
        <v>41</v>
      </c>
      <c r="O755" s="118" t="e">
        <f>'[9]LUONG T7'!L64</f>
        <v>#REF!</v>
      </c>
      <c r="P755" s="119" t="s">
        <v>51</v>
      </c>
      <c r="Q755" s="280" t="s">
        <v>58</v>
      </c>
      <c r="R755" s="280"/>
      <c r="S755" s="280"/>
      <c r="T755" s="115" t="s">
        <v>41</v>
      </c>
      <c r="U755" s="281" t="e">
        <f>$F$8/$L$1*O755</f>
        <v>#REF!</v>
      </c>
      <c r="V755" s="281"/>
      <c r="W755" s="123" t="s">
        <v>47</v>
      </c>
      <c r="X755" s="124"/>
    </row>
    <row r="756" spans="1:24" ht="18.75" customHeight="1">
      <c r="A756" s="117" t="s">
        <v>59</v>
      </c>
      <c r="B756" s="115" t="s">
        <v>41</v>
      </c>
      <c r="C756" s="118" t="e">
        <f>'[9]LUONG T7'!Q62</f>
        <v>#REF!</v>
      </c>
      <c r="D756" s="119" t="s">
        <v>60</v>
      </c>
      <c r="E756" s="270" t="s">
        <v>61</v>
      </c>
      <c r="F756" s="270"/>
      <c r="G756" s="270"/>
      <c r="H756" s="115" t="s">
        <v>41</v>
      </c>
      <c r="I756" s="281" t="e">
        <f>'[9]LUONG T7'!Q63</f>
        <v>#REF!</v>
      </c>
      <c r="J756" s="281"/>
      <c r="K756" s="123" t="s">
        <v>47</v>
      </c>
      <c r="L756" s="124" t="e">
        <f>F749*C756/L742/8*1.5</f>
        <v>#REF!</v>
      </c>
      <c r="M756" s="117" t="s">
        <v>59</v>
      </c>
      <c r="N756" s="115" t="s">
        <v>41</v>
      </c>
      <c r="O756" s="118" t="e">
        <f>'[9]LUONG T7'!Q64</f>
        <v>#REF!</v>
      </c>
      <c r="P756" s="119" t="s">
        <v>60</v>
      </c>
      <c r="Q756" s="270" t="s">
        <v>61</v>
      </c>
      <c r="R756" s="270"/>
      <c r="S756" s="270"/>
      <c r="T756" s="115" t="s">
        <v>41</v>
      </c>
      <c r="U756" s="281" t="e">
        <f>'[9]LUONG T7'!Q65</f>
        <v>#REF!</v>
      </c>
      <c r="V756" s="281"/>
      <c r="W756" s="123" t="s">
        <v>47</v>
      </c>
      <c r="X756" s="124" t="e">
        <f>R749*O756/X742/8*1.5</f>
        <v>#REF!</v>
      </c>
    </row>
    <row r="757" spans="1:24" ht="18.75" customHeight="1">
      <c r="A757" s="269" t="s">
        <v>62</v>
      </c>
      <c r="B757" s="270"/>
      <c r="C757" s="118"/>
      <c r="D757" s="119" t="s">
        <v>51</v>
      </c>
      <c r="E757" s="270" t="s">
        <v>63</v>
      </c>
      <c r="F757" s="270"/>
      <c r="G757" s="270"/>
      <c r="H757" s="125" t="s">
        <v>41</v>
      </c>
      <c r="I757" s="281"/>
      <c r="J757" s="281"/>
      <c r="K757" s="123" t="s">
        <v>47</v>
      </c>
      <c r="L757" s="124"/>
      <c r="M757" s="269" t="s">
        <v>62</v>
      </c>
      <c r="N757" s="270"/>
      <c r="O757" s="118"/>
      <c r="P757" s="119" t="s">
        <v>51</v>
      </c>
      <c r="Q757" s="270" t="s">
        <v>63</v>
      </c>
      <c r="R757" s="270"/>
      <c r="S757" s="270"/>
      <c r="T757" s="125" t="s">
        <v>41</v>
      </c>
      <c r="U757" s="281"/>
      <c r="V757" s="281"/>
      <c r="W757" s="123" t="s">
        <v>47</v>
      </c>
      <c r="X757" s="124"/>
    </row>
    <row r="758" spans="1:24" ht="18.75" customHeight="1">
      <c r="A758" s="117" t="s">
        <v>64</v>
      </c>
      <c r="B758" s="115" t="s">
        <v>41</v>
      </c>
      <c r="C758" s="118"/>
      <c r="D758" s="119" t="s">
        <v>51</v>
      </c>
      <c r="E758" s="270" t="s">
        <v>65</v>
      </c>
      <c r="F758" s="270"/>
      <c r="G758" s="270"/>
      <c r="H758" s="115" t="s">
        <v>41</v>
      </c>
      <c r="I758" s="281"/>
      <c r="J758" s="281"/>
      <c r="K758" s="123" t="s">
        <v>47</v>
      </c>
      <c r="L758" s="124"/>
      <c r="M758" s="117" t="s">
        <v>64</v>
      </c>
      <c r="N758" s="115" t="s">
        <v>41</v>
      </c>
      <c r="O758" s="118"/>
      <c r="P758" s="119" t="s">
        <v>51</v>
      </c>
      <c r="Q758" s="270" t="s">
        <v>65</v>
      </c>
      <c r="R758" s="270"/>
      <c r="S758" s="270"/>
      <c r="T758" s="115" t="s">
        <v>41</v>
      </c>
      <c r="U758" s="281"/>
      <c r="V758" s="281"/>
      <c r="W758" s="123" t="s">
        <v>47</v>
      </c>
      <c r="X758" s="124"/>
    </row>
    <row r="759" spans="1:24" ht="18.75" customHeight="1">
      <c r="A759" s="126" t="s">
        <v>66</v>
      </c>
      <c r="B759" s="115"/>
      <c r="C759" s="118" t="e">
        <f>'[9]LUONG T7'!M62</f>
        <v>#REF!</v>
      </c>
      <c r="D759" s="119" t="s">
        <v>60</v>
      </c>
      <c r="E759" s="270" t="s">
        <v>67</v>
      </c>
      <c r="F759" s="270"/>
      <c r="G759" s="270"/>
      <c r="H759" s="115" t="s">
        <v>41</v>
      </c>
      <c r="I759" s="281" t="e">
        <f>$F$8*C759/8/$L$1</f>
        <v>#REF!</v>
      </c>
      <c r="J759" s="281"/>
      <c r="K759" s="123" t="s">
        <v>47</v>
      </c>
      <c r="L759" s="124"/>
      <c r="M759" s="126" t="s">
        <v>66</v>
      </c>
      <c r="N759" s="115"/>
      <c r="O759" s="118" t="e">
        <f>'[9]LUONG T7'!M64</f>
        <v>#REF!</v>
      </c>
      <c r="P759" s="119" t="s">
        <v>60</v>
      </c>
      <c r="Q759" s="270" t="s">
        <v>67</v>
      </c>
      <c r="R759" s="270"/>
      <c r="S759" s="270"/>
      <c r="T759" s="115" t="s">
        <v>41</v>
      </c>
      <c r="U759" s="281" t="e">
        <f>$F$8*O759/8/$L$1</f>
        <v>#REF!</v>
      </c>
      <c r="V759" s="281"/>
      <c r="W759" s="123" t="s">
        <v>47</v>
      </c>
      <c r="X759" s="124"/>
    </row>
    <row r="760" spans="1:24" ht="18.75" customHeight="1">
      <c r="A760" s="117" t="s">
        <v>68</v>
      </c>
      <c r="B760" s="115" t="s">
        <v>41</v>
      </c>
      <c r="C760" s="118"/>
      <c r="D760" s="119" t="s">
        <v>60</v>
      </c>
      <c r="E760" s="270" t="s">
        <v>92</v>
      </c>
      <c r="F760" s="270"/>
      <c r="G760" s="270"/>
      <c r="H760" s="115" t="s">
        <v>41</v>
      </c>
      <c r="I760" s="283"/>
      <c r="J760" s="283"/>
      <c r="K760" s="123" t="s">
        <v>47</v>
      </c>
      <c r="L760" s="124"/>
      <c r="M760" s="117" t="s">
        <v>68</v>
      </c>
      <c r="N760" s="115" t="s">
        <v>41</v>
      </c>
      <c r="O760" s="118"/>
      <c r="P760" s="119" t="s">
        <v>60</v>
      </c>
      <c r="Q760" s="270" t="s">
        <v>92</v>
      </c>
      <c r="R760" s="270"/>
      <c r="S760" s="270"/>
      <c r="T760" s="115" t="s">
        <v>41</v>
      </c>
      <c r="U760" s="283"/>
      <c r="V760" s="283"/>
      <c r="W760" s="123" t="s">
        <v>47</v>
      </c>
      <c r="X760" s="124"/>
    </row>
    <row r="761" spans="1:24" ht="18.75" customHeight="1">
      <c r="A761" s="117" t="s">
        <v>70</v>
      </c>
      <c r="B761" s="115" t="s">
        <v>41</v>
      </c>
      <c r="C761" s="118"/>
      <c r="D761" s="119" t="s">
        <v>71</v>
      </c>
      <c r="E761" s="127" t="s">
        <v>72</v>
      </c>
      <c r="F761" s="127"/>
      <c r="G761" s="127"/>
      <c r="H761" s="115" t="s">
        <v>41</v>
      </c>
      <c r="I761" s="281"/>
      <c r="J761" s="281"/>
      <c r="K761" s="123" t="s">
        <v>47</v>
      </c>
      <c r="L761" s="124" t="e">
        <f>+IF(L752-I752&lt;0,0,L752-I752)+IF(L756-I756&lt;0,0,L756-I756)</f>
        <v>#REF!</v>
      </c>
      <c r="M761" s="117" t="s">
        <v>70</v>
      </c>
      <c r="N761" s="115" t="s">
        <v>41</v>
      </c>
      <c r="O761" s="118"/>
      <c r="P761" s="119" t="s">
        <v>71</v>
      </c>
      <c r="Q761" s="127" t="s">
        <v>72</v>
      </c>
      <c r="R761" s="127"/>
      <c r="S761" s="127"/>
      <c r="T761" s="115" t="s">
        <v>41</v>
      </c>
      <c r="U761" s="281"/>
      <c r="V761" s="281"/>
      <c r="W761" s="123" t="s">
        <v>47</v>
      </c>
      <c r="X761" s="124" t="e">
        <f>+IF(X752-U752&lt;0,0,X752-U752)+IF(X756-U756&lt;0,0,X756-U756)</f>
        <v>#REF!</v>
      </c>
    </row>
    <row r="762" spans="1:24" ht="18.75" customHeight="1">
      <c r="A762" s="128" t="s">
        <v>117</v>
      </c>
      <c r="B762" s="129"/>
      <c r="C762" s="118"/>
      <c r="D762" s="119" t="s">
        <v>51</v>
      </c>
      <c r="E762" s="270" t="s">
        <v>118</v>
      </c>
      <c r="F762" s="270"/>
      <c r="G762" s="270"/>
      <c r="H762" s="115" t="s">
        <v>41</v>
      </c>
      <c r="I762" s="281"/>
      <c r="J762" s="281"/>
      <c r="K762" s="123" t="s">
        <v>47</v>
      </c>
      <c r="L762" s="124"/>
      <c r="M762" s="128" t="s">
        <v>117</v>
      </c>
      <c r="N762" s="129"/>
      <c r="O762" s="118"/>
      <c r="P762" s="119" t="s">
        <v>51</v>
      </c>
      <c r="Q762" s="270" t="s">
        <v>118</v>
      </c>
      <c r="R762" s="270"/>
      <c r="S762" s="270"/>
      <c r="T762" s="115" t="s">
        <v>41</v>
      </c>
      <c r="U762" s="281"/>
      <c r="V762" s="281"/>
      <c r="W762" s="123" t="s">
        <v>47</v>
      </c>
      <c r="X762" s="124"/>
    </row>
    <row r="763" spans="1:24" ht="18.75" customHeight="1">
      <c r="A763" s="288" t="s">
        <v>75</v>
      </c>
      <c r="B763" s="282"/>
      <c r="C763" s="118"/>
      <c r="D763" s="119"/>
      <c r="E763" s="120"/>
      <c r="F763" s="120"/>
      <c r="G763" s="120"/>
      <c r="H763" s="115" t="s">
        <v>41</v>
      </c>
      <c r="I763" s="281" t="e">
        <f>'[9]LUONG T7'!P63</f>
        <v>#REF!</v>
      </c>
      <c r="J763" s="281"/>
      <c r="K763" s="123" t="s">
        <v>47</v>
      </c>
      <c r="L763" s="124"/>
      <c r="M763" s="288" t="s">
        <v>75</v>
      </c>
      <c r="N763" s="282"/>
      <c r="O763" s="118"/>
      <c r="P763" s="119"/>
      <c r="Q763" s="120"/>
      <c r="R763" s="120"/>
      <c r="S763" s="120"/>
      <c r="T763" s="115" t="s">
        <v>41</v>
      </c>
      <c r="U763" s="281" t="e">
        <f>'[9]LUONG T7'!P65</f>
        <v>#REF!</v>
      </c>
      <c r="V763" s="281"/>
      <c r="W763" s="123" t="s">
        <v>47</v>
      </c>
      <c r="X763" s="124"/>
    </row>
    <row r="764" spans="1:24" ht="18.75" customHeight="1">
      <c r="A764" s="117" t="s">
        <v>76</v>
      </c>
      <c r="B764" s="115" t="s">
        <v>41</v>
      </c>
      <c r="C764" s="118"/>
      <c r="D764" s="119"/>
      <c r="E764" s="120" t="s">
        <v>77</v>
      </c>
      <c r="F764" s="120"/>
      <c r="G764" s="120"/>
      <c r="H764" s="115" t="s">
        <v>41</v>
      </c>
      <c r="I764" s="281" t="e">
        <f>L761</f>
        <v>#REF!</v>
      </c>
      <c r="J764" s="281"/>
      <c r="K764" s="123" t="s">
        <v>47</v>
      </c>
      <c r="L764" s="124"/>
      <c r="M764" s="117" t="s">
        <v>76</v>
      </c>
      <c r="N764" s="115" t="s">
        <v>41</v>
      </c>
      <c r="O764" s="118"/>
      <c r="P764" s="119"/>
      <c r="Q764" s="120" t="s">
        <v>77</v>
      </c>
      <c r="R764" s="120"/>
      <c r="S764" s="120"/>
      <c r="T764" s="115" t="s">
        <v>41</v>
      </c>
      <c r="U764" s="281" t="e">
        <f>X761</f>
        <v>#REF!</v>
      </c>
      <c r="V764" s="281"/>
      <c r="W764" s="123" t="s">
        <v>47</v>
      </c>
      <c r="X764" s="124"/>
    </row>
    <row r="765" spans="1:24" ht="18.75" customHeight="1">
      <c r="A765" s="285" t="s">
        <v>78</v>
      </c>
      <c r="B765" s="286"/>
      <c r="C765" s="286"/>
      <c r="D765" s="286"/>
      <c r="E765" s="286"/>
      <c r="F765" s="286"/>
      <c r="G765" s="115" t="s">
        <v>41</v>
      </c>
      <c r="H765" s="287" t="e">
        <f>I752+I753+I754+I755+I756+I759+I763+I764</f>
        <v>#REF!</v>
      </c>
      <c r="I765" s="287"/>
      <c r="J765" s="287"/>
      <c r="K765" s="123" t="s">
        <v>47</v>
      </c>
      <c r="M765" s="285" t="s">
        <v>78</v>
      </c>
      <c r="N765" s="286"/>
      <c r="O765" s="286"/>
      <c r="P765" s="286"/>
      <c r="Q765" s="286"/>
      <c r="R765" s="286"/>
      <c r="S765" s="115" t="s">
        <v>41</v>
      </c>
      <c r="T765" s="287" t="e">
        <f>U752+U753+U754+U755+U756+U759+U763+U764</f>
        <v>#REF!</v>
      </c>
      <c r="U765" s="287"/>
      <c r="V765" s="287"/>
      <c r="W765" s="123" t="s">
        <v>47</v>
      </c>
    </row>
    <row r="766" spans="1:24" ht="18.75" customHeight="1">
      <c r="A766" s="130"/>
      <c r="B766" s="131"/>
      <c r="C766" s="131"/>
      <c r="D766" s="131"/>
      <c r="E766" s="131"/>
      <c r="F766" s="131"/>
      <c r="G766" s="131"/>
      <c r="H766" s="131"/>
      <c r="I766" s="131"/>
      <c r="J766" s="131"/>
      <c r="K766" s="132"/>
      <c r="M766" s="130"/>
      <c r="N766" s="131"/>
      <c r="O766" s="131"/>
      <c r="P766" s="131"/>
      <c r="Q766" s="131"/>
      <c r="R766" s="131"/>
      <c r="S766" s="131"/>
      <c r="T766" s="131"/>
      <c r="U766" s="131"/>
      <c r="V766" s="131"/>
      <c r="W766" s="132"/>
    </row>
    <row r="767" spans="1:24" ht="18.75" customHeight="1">
      <c r="A767" s="295" t="s">
        <v>79</v>
      </c>
      <c r="B767" s="296"/>
      <c r="C767" s="296"/>
      <c r="D767" s="296"/>
      <c r="E767" s="296"/>
      <c r="F767" s="296"/>
      <c r="G767" s="115"/>
      <c r="H767" s="115"/>
      <c r="I767" s="115"/>
      <c r="J767" s="115"/>
      <c r="K767" s="123"/>
      <c r="M767" s="295" t="s">
        <v>79</v>
      </c>
      <c r="N767" s="296"/>
      <c r="O767" s="296"/>
      <c r="P767" s="296"/>
      <c r="Q767" s="296"/>
      <c r="R767" s="296"/>
      <c r="S767" s="115"/>
      <c r="T767" s="115"/>
      <c r="U767" s="115"/>
      <c r="V767" s="115"/>
      <c r="W767" s="123"/>
    </row>
    <row r="768" spans="1:24" ht="18.75" customHeight="1">
      <c r="A768" s="289" t="s">
        <v>80</v>
      </c>
      <c r="B768" s="290"/>
      <c r="C768" s="290"/>
      <c r="D768" s="290"/>
      <c r="E768" s="290"/>
      <c r="F768" s="290"/>
      <c r="G768" s="115" t="s">
        <v>41</v>
      </c>
      <c r="H768" s="297" t="e">
        <f>IF(($L$1-(C752+C753+C754+C755))&gt;12,0,F749*8%)</f>
        <v>#REF!</v>
      </c>
      <c r="I768" s="297"/>
      <c r="J768" s="297"/>
      <c r="K768" s="123" t="s">
        <v>47</v>
      </c>
      <c r="M768" s="289" t="s">
        <v>80</v>
      </c>
      <c r="N768" s="290"/>
      <c r="O768" s="290"/>
      <c r="P768" s="290"/>
      <c r="Q768" s="290"/>
      <c r="R768" s="290"/>
      <c r="S768" s="115" t="s">
        <v>41</v>
      </c>
      <c r="T768" s="297" t="e">
        <f>IF(($L$1-(O752+O753+O754+O755))&gt;12,0,R749*8%)</f>
        <v>#REF!</v>
      </c>
      <c r="U768" s="297"/>
      <c r="V768" s="297"/>
      <c r="W768" s="123" t="s">
        <v>47</v>
      </c>
    </row>
    <row r="769" spans="1:24" ht="18.75" customHeight="1">
      <c r="A769" s="289" t="s">
        <v>81</v>
      </c>
      <c r="B769" s="290"/>
      <c r="C769" s="290"/>
      <c r="D769" s="290"/>
      <c r="E769" s="290"/>
      <c r="F769" s="290"/>
      <c r="G769" s="115" t="s">
        <v>41</v>
      </c>
      <c r="H769" s="291" t="e">
        <f>IF(($L$1-(C752+C753+C754+C755))&gt;12,0,F749*1.5%)</f>
        <v>#REF!</v>
      </c>
      <c r="I769" s="291"/>
      <c r="J769" s="291"/>
      <c r="K769" s="123" t="s">
        <v>47</v>
      </c>
      <c r="M769" s="289" t="s">
        <v>81</v>
      </c>
      <c r="N769" s="290"/>
      <c r="O769" s="290"/>
      <c r="P769" s="290"/>
      <c r="Q769" s="290"/>
      <c r="R769" s="290"/>
      <c r="S769" s="115" t="s">
        <v>41</v>
      </c>
      <c r="T769" s="291" t="e">
        <f>IF(($L$1-(O752+O753+O754+O755))&gt;12,0,R749*1.5%)</f>
        <v>#REF!</v>
      </c>
      <c r="U769" s="291"/>
      <c r="V769" s="291"/>
      <c r="W769" s="123" t="s">
        <v>47</v>
      </c>
    </row>
    <row r="770" spans="1:24" ht="18.75" customHeight="1">
      <c r="A770" s="289" t="s">
        <v>82</v>
      </c>
      <c r="B770" s="290"/>
      <c r="C770" s="290"/>
      <c r="D770" s="290"/>
      <c r="E770" s="290"/>
      <c r="F770" s="290"/>
      <c r="G770" s="115" t="s">
        <v>41</v>
      </c>
      <c r="H770" s="291" t="e">
        <f>IF(($L$1-(C752+C753+C754+C755))&gt;12,0,F749*1%)</f>
        <v>#REF!</v>
      </c>
      <c r="I770" s="291"/>
      <c r="J770" s="291"/>
      <c r="K770" s="123" t="s">
        <v>47</v>
      </c>
      <c r="M770" s="289" t="s">
        <v>82</v>
      </c>
      <c r="N770" s="290"/>
      <c r="O770" s="290"/>
      <c r="P770" s="290"/>
      <c r="Q770" s="290"/>
      <c r="R770" s="290"/>
      <c r="S770" s="115" t="s">
        <v>41</v>
      </c>
      <c r="T770" s="291" t="e">
        <f>IF(($L$1-(O752+O753+O754+O755))&gt;12,0,R749*1%)</f>
        <v>#REF!</v>
      </c>
      <c r="U770" s="291"/>
      <c r="V770" s="291"/>
      <c r="W770" s="123" t="s">
        <v>47</v>
      </c>
    </row>
    <row r="771" spans="1:24" ht="18.75" customHeight="1">
      <c r="A771" s="289" t="s">
        <v>83</v>
      </c>
      <c r="B771" s="290"/>
      <c r="C771" s="290"/>
      <c r="D771" s="290"/>
      <c r="E771" s="290"/>
      <c r="F771" s="290"/>
      <c r="G771" s="115" t="s">
        <v>41</v>
      </c>
      <c r="H771" s="291">
        <v>0</v>
      </c>
      <c r="I771" s="291"/>
      <c r="J771" s="291"/>
      <c r="K771" s="123" t="s">
        <v>47</v>
      </c>
      <c r="M771" s="289" t="s">
        <v>83</v>
      </c>
      <c r="N771" s="290"/>
      <c r="O771" s="290"/>
      <c r="P771" s="290"/>
      <c r="Q771" s="290"/>
      <c r="R771" s="290"/>
      <c r="S771" s="115" t="s">
        <v>41</v>
      </c>
      <c r="T771" s="291">
        <v>0</v>
      </c>
      <c r="U771" s="291"/>
      <c r="V771" s="291"/>
      <c r="W771" s="123" t="s">
        <v>47</v>
      </c>
    </row>
    <row r="772" spans="1:24" ht="18.75" customHeight="1">
      <c r="A772" s="292" t="s">
        <v>84</v>
      </c>
      <c r="B772" s="293"/>
      <c r="C772" s="293"/>
      <c r="D772" s="293"/>
      <c r="E772" s="293"/>
      <c r="F772" s="293"/>
      <c r="G772" s="115" t="s">
        <v>41</v>
      </c>
      <c r="H772" s="294" t="e">
        <f>SUM(H768:J771)</f>
        <v>#REF!</v>
      </c>
      <c r="I772" s="294"/>
      <c r="J772" s="294"/>
      <c r="K772" s="123" t="s">
        <v>47</v>
      </c>
      <c r="M772" s="292" t="s">
        <v>84</v>
      </c>
      <c r="N772" s="293"/>
      <c r="O772" s="293"/>
      <c r="P772" s="293"/>
      <c r="Q772" s="293"/>
      <c r="R772" s="293"/>
      <c r="S772" s="115" t="s">
        <v>41</v>
      </c>
      <c r="T772" s="294" t="e">
        <f>SUM(T768:V771)</f>
        <v>#REF!</v>
      </c>
      <c r="U772" s="294"/>
      <c r="V772" s="294"/>
      <c r="W772" s="123" t="s">
        <v>47</v>
      </c>
    </row>
    <row r="773" spans="1:24" ht="18.75" customHeight="1">
      <c r="A773" s="289" t="s">
        <v>85</v>
      </c>
      <c r="B773" s="290"/>
      <c r="C773" s="290"/>
      <c r="D773" s="290"/>
      <c r="E773" s="290"/>
      <c r="F773" s="290"/>
      <c r="G773" s="115" t="s">
        <v>41</v>
      </c>
      <c r="H773" s="301" t="e">
        <f>ROUND(H765-H772,-2)</f>
        <v>#REF!</v>
      </c>
      <c r="I773" s="301"/>
      <c r="J773" s="301"/>
      <c r="K773" s="123" t="s">
        <v>47</v>
      </c>
      <c r="M773" s="289" t="s">
        <v>85</v>
      </c>
      <c r="N773" s="290"/>
      <c r="O773" s="290"/>
      <c r="P773" s="290"/>
      <c r="Q773" s="290"/>
      <c r="R773" s="290"/>
      <c r="S773" s="115" t="s">
        <v>41</v>
      </c>
      <c r="T773" s="301" t="e">
        <f>ROUND(T765-T772,-2)</f>
        <v>#REF!</v>
      </c>
      <c r="U773" s="301"/>
      <c r="V773" s="301"/>
      <c r="W773" s="123" t="s">
        <v>47</v>
      </c>
    </row>
    <row r="774" spans="1:24" ht="18.75" customHeight="1">
      <c r="A774" s="133"/>
      <c r="B774" s="134"/>
      <c r="C774" s="134"/>
      <c r="D774" s="134"/>
      <c r="E774" s="134"/>
      <c r="F774" s="134"/>
      <c r="G774" s="134"/>
      <c r="H774" s="134"/>
      <c r="I774" s="134"/>
      <c r="J774" s="134"/>
      <c r="K774" s="135"/>
      <c r="M774" s="133"/>
      <c r="N774" s="134"/>
      <c r="O774" s="134"/>
      <c r="P774" s="134"/>
      <c r="Q774" s="134"/>
      <c r="R774" s="134"/>
      <c r="S774" s="134"/>
      <c r="T774" s="134"/>
      <c r="U774" s="134"/>
      <c r="V774" s="134"/>
      <c r="W774" s="135"/>
    </row>
    <row r="775" spans="1:24" ht="18.75" customHeight="1">
      <c r="A775" s="136"/>
      <c r="B775" s="115"/>
      <c r="C775" s="115"/>
      <c r="D775" s="115"/>
      <c r="E775" s="115"/>
      <c r="F775" s="115"/>
      <c r="G775" s="115"/>
      <c r="H775" s="115"/>
      <c r="I775" s="298" t="s">
        <v>86</v>
      </c>
      <c r="J775" s="298"/>
      <c r="K775" s="302"/>
      <c r="M775" s="136"/>
      <c r="N775" s="115"/>
      <c r="O775" s="115"/>
      <c r="P775" s="115"/>
      <c r="Q775" s="115"/>
      <c r="R775" s="115"/>
      <c r="S775" s="115"/>
      <c r="T775" s="115"/>
      <c r="U775" s="298" t="s">
        <v>86</v>
      </c>
      <c r="V775" s="298"/>
      <c r="W775" s="302"/>
    </row>
    <row r="776" spans="1:24" ht="18.75" customHeight="1">
      <c r="A776" s="136"/>
      <c r="B776" s="298"/>
      <c r="C776" s="298"/>
      <c r="D776" s="298"/>
      <c r="E776" s="298"/>
      <c r="F776" s="115"/>
      <c r="G776" s="115"/>
      <c r="H776" s="115"/>
      <c r="I776" s="115"/>
      <c r="J776" s="115"/>
      <c r="K776" s="116"/>
      <c r="M776" s="136"/>
      <c r="N776" s="298"/>
      <c r="O776" s="298"/>
      <c r="P776" s="298"/>
      <c r="Q776" s="298"/>
      <c r="R776" s="115"/>
      <c r="S776" s="115"/>
      <c r="T776" s="115"/>
      <c r="U776" s="115"/>
      <c r="V776" s="115"/>
      <c r="W776" s="116"/>
    </row>
    <row r="777" spans="1:24" ht="18.75" customHeight="1" thickBot="1">
      <c r="A777" s="137"/>
      <c r="B777" s="138"/>
      <c r="C777" s="138"/>
      <c r="D777" s="138"/>
      <c r="E777" s="138"/>
      <c r="F777" s="138"/>
      <c r="G777" s="138"/>
      <c r="H777" s="138"/>
      <c r="I777" s="299" t="s">
        <v>87</v>
      </c>
      <c r="J777" s="299"/>
      <c r="K777" s="300"/>
      <c r="M777" s="137"/>
      <c r="N777" s="138"/>
      <c r="O777" s="138"/>
      <c r="P777" s="138"/>
      <c r="Q777" s="138"/>
      <c r="R777" s="138"/>
      <c r="S777" s="138"/>
      <c r="T777" s="138"/>
      <c r="U777" s="299" t="s">
        <v>87</v>
      </c>
      <c r="V777" s="299"/>
      <c r="W777" s="300"/>
    </row>
    <row r="779" spans="1:24" ht="18.75" customHeight="1" thickTop="1">
      <c r="A779" s="274" t="s">
        <v>35</v>
      </c>
      <c r="B779" s="275"/>
      <c r="C779" s="275"/>
      <c r="D779" s="275"/>
      <c r="E779" s="275"/>
      <c r="F779" s="275"/>
      <c r="G779" s="275"/>
      <c r="H779" s="275"/>
      <c r="I779" s="275"/>
      <c r="J779" s="275"/>
      <c r="K779" s="276"/>
      <c r="L779" s="111">
        <v>25</v>
      </c>
      <c r="M779" s="274" t="s">
        <v>35</v>
      </c>
      <c r="N779" s="275"/>
      <c r="O779" s="275"/>
      <c r="P779" s="275"/>
      <c r="Q779" s="275"/>
      <c r="R779" s="275"/>
      <c r="S779" s="275"/>
      <c r="T779" s="275"/>
      <c r="U779" s="275"/>
      <c r="V779" s="275"/>
      <c r="W779" s="276"/>
      <c r="X779" s="111">
        <v>25</v>
      </c>
    </row>
    <row r="780" spans="1:24" ht="18.75" customHeight="1">
      <c r="A780" s="112" t="s">
        <v>145</v>
      </c>
      <c r="B780" s="113"/>
      <c r="C780" s="113"/>
      <c r="D780" s="113"/>
      <c r="E780" s="113"/>
      <c r="F780" s="113"/>
      <c r="G780" s="113"/>
      <c r="H780" s="113"/>
      <c r="I780" s="113"/>
      <c r="J780" s="113"/>
      <c r="K780" s="114"/>
      <c r="M780" s="112" t="s">
        <v>146</v>
      </c>
      <c r="N780" s="113"/>
      <c r="O780" s="113"/>
      <c r="P780" s="113"/>
      <c r="Q780" s="113"/>
      <c r="R780" s="113"/>
      <c r="S780" s="113"/>
      <c r="T780" s="113"/>
      <c r="U780" s="113"/>
      <c r="V780" s="113"/>
      <c r="W780" s="114"/>
    </row>
    <row r="781" spans="1:24" ht="18.75" customHeight="1">
      <c r="A781" s="277" t="s">
        <v>39</v>
      </c>
      <c r="B781" s="278"/>
      <c r="C781" s="278"/>
      <c r="D781" s="278"/>
      <c r="E781" s="278"/>
      <c r="F781" s="278"/>
      <c r="G781" s="278"/>
      <c r="H781" s="278"/>
      <c r="I781" s="278"/>
      <c r="J781" s="278"/>
      <c r="K781" s="279"/>
      <c r="M781" s="277" t="s">
        <v>39</v>
      </c>
      <c r="N781" s="278"/>
      <c r="O781" s="278"/>
      <c r="P781" s="278"/>
      <c r="Q781" s="278"/>
      <c r="R781" s="278"/>
      <c r="S781" s="278"/>
      <c r="T781" s="278"/>
      <c r="U781" s="278"/>
      <c r="V781" s="278"/>
      <c r="W781" s="279"/>
    </row>
    <row r="782" spans="1:24" ht="18.75" customHeight="1">
      <c r="A782" s="269" t="s">
        <v>40</v>
      </c>
      <c r="B782" s="270"/>
      <c r="C782" s="270"/>
      <c r="D782" s="270"/>
      <c r="E782" s="115" t="s">
        <v>41</v>
      </c>
      <c r="F782" s="271" t="e">
        <f>'[9]Bang TH nop'!B87</f>
        <v>#REF!</v>
      </c>
      <c r="G782" s="270"/>
      <c r="H782" s="270"/>
      <c r="I782" s="270"/>
      <c r="J782" s="270"/>
      <c r="K782" s="273"/>
      <c r="M782" s="269" t="s">
        <v>40</v>
      </c>
      <c r="N782" s="270"/>
      <c r="O782" s="270"/>
      <c r="P782" s="270"/>
      <c r="Q782" s="115" t="s">
        <v>41</v>
      </c>
      <c r="R782" s="271" t="e">
        <f>'[9]Bang TH nop'!B89</f>
        <v>#REF!</v>
      </c>
      <c r="S782" s="270"/>
      <c r="T782" s="270"/>
      <c r="U782" s="270"/>
      <c r="V782" s="270"/>
      <c r="W782" s="273"/>
    </row>
    <row r="783" spans="1:24" ht="18.75" customHeight="1">
      <c r="A783" s="269" t="s">
        <v>43</v>
      </c>
      <c r="B783" s="270"/>
      <c r="C783" s="270"/>
      <c r="D783" s="270"/>
      <c r="E783" s="115" t="s">
        <v>41</v>
      </c>
      <c r="F783" s="271" t="e">
        <f>'[9]Bang TH nop'!C87</f>
        <v>#REF!</v>
      </c>
      <c r="G783" s="271"/>
      <c r="H783" s="271"/>
      <c r="I783" s="271"/>
      <c r="J783" s="271"/>
      <c r="K783" s="272"/>
      <c r="M783" s="269" t="s">
        <v>43</v>
      </c>
      <c r="N783" s="270"/>
      <c r="O783" s="270"/>
      <c r="P783" s="270"/>
      <c r="Q783" s="115" t="s">
        <v>41</v>
      </c>
      <c r="R783" s="271" t="e">
        <f>'[9]Bang TH nop'!C89</f>
        <v>#REF!</v>
      </c>
      <c r="S783" s="271"/>
      <c r="T783" s="271"/>
      <c r="U783" s="271"/>
      <c r="V783" s="271"/>
      <c r="W783" s="272"/>
    </row>
    <row r="784" spans="1:24" ht="18.75" customHeight="1">
      <c r="A784" s="269" t="s">
        <v>44</v>
      </c>
      <c r="B784" s="270"/>
      <c r="C784" s="270"/>
      <c r="D784" s="270"/>
      <c r="E784" s="115" t="s">
        <v>41</v>
      </c>
      <c r="F784" s="270" t="s">
        <v>116</v>
      </c>
      <c r="G784" s="270"/>
      <c r="H784" s="270"/>
      <c r="I784" s="270"/>
      <c r="J784" s="270"/>
      <c r="K784" s="273"/>
      <c r="M784" s="269" t="s">
        <v>44</v>
      </c>
      <c r="N784" s="270"/>
      <c r="O784" s="270"/>
      <c r="P784" s="270"/>
      <c r="Q784" s="115" t="s">
        <v>41</v>
      </c>
      <c r="R784" s="270" t="s">
        <v>116</v>
      </c>
      <c r="S784" s="270"/>
      <c r="T784" s="270"/>
      <c r="U784" s="270"/>
      <c r="V784" s="270"/>
      <c r="W784" s="273"/>
    </row>
    <row r="785" spans="1:24" ht="18.75" customHeight="1">
      <c r="A785" s="277" t="s">
        <v>45</v>
      </c>
      <c r="B785" s="278"/>
      <c r="C785" s="278"/>
      <c r="D785" s="278"/>
      <c r="E785" s="278"/>
      <c r="F785" s="278"/>
      <c r="G785" s="278"/>
      <c r="H785" s="278"/>
      <c r="I785" s="278"/>
      <c r="J785" s="278"/>
      <c r="K785" s="279"/>
      <c r="M785" s="277" t="s">
        <v>45</v>
      </c>
      <c r="N785" s="278"/>
      <c r="O785" s="278"/>
      <c r="P785" s="278"/>
      <c r="Q785" s="278"/>
      <c r="R785" s="278"/>
      <c r="S785" s="278"/>
      <c r="T785" s="278"/>
      <c r="U785" s="278"/>
      <c r="V785" s="278"/>
      <c r="W785" s="279"/>
    </row>
    <row r="786" spans="1:24" ht="18.75" customHeight="1">
      <c r="A786" s="269" t="s">
        <v>46</v>
      </c>
      <c r="B786" s="270"/>
      <c r="C786" s="270"/>
      <c r="D786" s="270"/>
      <c r="E786" s="115" t="s">
        <v>41</v>
      </c>
      <c r="F786" s="284">
        <v>2915400</v>
      </c>
      <c r="G786" s="284"/>
      <c r="H786" s="284"/>
      <c r="I786" s="284"/>
      <c r="J786" s="115" t="s">
        <v>47</v>
      </c>
      <c r="K786" s="116"/>
      <c r="M786" s="269" t="s">
        <v>46</v>
      </c>
      <c r="N786" s="270"/>
      <c r="O786" s="270"/>
      <c r="P786" s="270"/>
      <c r="Q786" s="115" t="s">
        <v>41</v>
      </c>
      <c r="R786" s="284">
        <v>2915400</v>
      </c>
      <c r="S786" s="284"/>
      <c r="T786" s="284"/>
      <c r="U786" s="284"/>
      <c r="V786" s="115" t="s">
        <v>47</v>
      </c>
      <c r="W786" s="116"/>
    </row>
    <row r="787" spans="1:24" ht="18.75" customHeight="1">
      <c r="A787" s="117" t="s">
        <v>48</v>
      </c>
      <c r="B787" s="115"/>
      <c r="C787" s="118"/>
      <c r="D787" s="119"/>
      <c r="E787" s="120"/>
      <c r="F787" s="120"/>
      <c r="G787" s="120"/>
      <c r="H787" s="115"/>
      <c r="I787" s="121" t="e">
        <f>'[9]LUONG T7'!F67</f>
        <v>#REF!</v>
      </c>
      <c r="J787" s="122"/>
      <c r="K787" s="123"/>
      <c r="M787" s="117" t="s">
        <v>48</v>
      </c>
      <c r="N787" s="115"/>
      <c r="O787" s="118"/>
      <c r="P787" s="119"/>
      <c r="Q787" s="120"/>
      <c r="R787" s="120"/>
      <c r="S787" s="120"/>
      <c r="T787" s="115"/>
      <c r="U787" s="121" t="e">
        <f>'[9]LUONG T7'!F69</f>
        <v>#REF!</v>
      </c>
      <c r="V787" s="122"/>
      <c r="W787" s="123"/>
    </row>
    <row r="788" spans="1:24" ht="18.75" customHeight="1">
      <c r="A788" s="117" t="s">
        <v>49</v>
      </c>
      <c r="B788" s="115"/>
      <c r="C788" s="118"/>
      <c r="D788" s="119"/>
      <c r="E788" s="120"/>
      <c r="F788" s="120"/>
      <c r="G788" s="120"/>
      <c r="H788" s="115"/>
      <c r="I788" s="121" t="e">
        <f>I789/C789/8</f>
        <v>#REF!</v>
      </c>
      <c r="J788" s="122"/>
      <c r="K788" s="123"/>
      <c r="M788" s="117" t="s">
        <v>49</v>
      </c>
      <c r="N788" s="115"/>
      <c r="O788" s="118"/>
      <c r="P788" s="119"/>
      <c r="Q788" s="120"/>
      <c r="R788" s="120"/>
      <c r="S788" s="120"/>
      <c r="T788" s="115"/>
      <c r="U788" s="121" t="e">
        <f>U789/O789/8</f>
        <v>#REF!</v>
      </c>
      <c r="V788" s="122"/>
      <c r="W788" s="123"/>
    </row>
    <row r="789" spans="1:24" ht="18.75" customHeight="1">
      <c r="A789" s="117" t="s">
        <v>50</v>
      </c>
      <c r="B789" s="115" t="s">
        <v>41</v>
      </c>
      <c r="C789" s="118" t="e">
        <f>'[9]LUONG T7'!I66</f>
        <v>#REF!</v>
      </c>
      <c r="D789" s="119" t="s">
        <v>51</v>
      </c>
      <c r="E789" s="282" t="s">
        <v>52</v>
      </c>
      <c r="F789" s="282"/>
      <c r="G789" s="282"/>
      <c r="H789" s="115" t="s">
        <v>41</v>
      </c>
      <c r="I789" s="283" t="e">
        <f>'[9]LUONG T7'!I67</f>
        <v>#REF!</v>
      </c>
      <c r="J789" s="283"/>
      <c r="K789" s="123" t="s">
        <v>47</v>
      </c>
      <c r="L789" s="124" t="e">
        <f>F786/L779*C789</f>
        <v>#REF!</v>
      </c>
      <c r="M789" s="117" t="s">
        <v>50</v>
      </c>
      <c r="N789" s="115" t="s">
        <v>41</v>
      </c>
      <c r="O789" s="118" t="e">
        <f>'[9]LUONG T7'!I68</f>
        <v>#REF!</v>
      </c>
      <c r="P789" s="119" t="s">
        <v>51</v>
      </c>
      <c r="Q789" s="282" t="s">
        <v>52</v>
      </c>
      <c r="R789" s="282"/>
      <c r="S789" s="282"/>
      <c r="T789" s="115" t="s">
        <v>41</v>
      </c>
      <c r="U789" s="283" t="e">
        <f>U787*680/((O789-O796)*8+O796*7+O793)*((O789-O796)*8+O796*7)</f>
        <v>#REF!</v>
      </c>
      <c r="V789" s="283"/>
      <c r="W789" s="123" t="s">
        <v>47</v>
      </c>
      <c r="X789" s="124" t="e">
        <f>R786/X779*O789</f>
        <v>#REF!</v>
      </c>
    </row>
    <row r="790" spans="1:24" ht="18.75" customHeight="1">
      <c r="A790" s="117" t="s">
        <v>53</v>
      </c>
      <c r="B790" s="115" t="s">
        <v>41</v>
      </c>
      <c r="C790" s="118" t="e">
        <f>'[9]LUONG T7'!J66</f>
        <v>#REF!</v>
      </c>
      <c r="D790" s="119" t="s">
        <v>51</v>
      </c>
      <c r="E790" s="270" t="s">
        <v>54</v>
      </c>
      <c r="F790" s="270"/>
      <c r="G790" s="270"/>
      <c r="H790" s="115" t="s">
        <v>41</v>
      </c>
      <c r="I790" s="281" t="e">
        <f>$F$8/$L$1*C790</f>
        <v>#REF!</v>
      </c>
      <c r="J790" s="281"/>
      <c r="K790" s="123" t="s">
        <v>47</v>
      </c>
      <c r="L790" s="124"/>
      <c r="M790" s="117" t="s">
        <v>53</v>
      </c>
      <c r="N790" s="115" t="s">
        <v>41</v>
      </c>
      <c r="O790" s="118" t="e">
        <f>'[9]LUONG T7'!J68</f>
        <v>#REF!</v>
      </c>
      <c r="P790" s="119" t="s">
        <v>51</v>
      </c>
      <c r="Q790" s="270" t="s">
        <v>54</v>
      </c>
      <c r="R790" s="270"/>
      <c r="S790" s="270"/>
      <c r="T790" s="115" t="s">
        <v>41</v>
      </c>
      <c r="U790" s="281" t="e">
        <f>$F$8/$L$1*O790</f>
        <v>#REF!</v>
      </c>
      <c r="V790" s="281"/>
      <c r="W790" s="123" t="s">
        <v>47</v>
      </c>
      <c r="X790" s="124"/>
    </row>
    <row r="791" spans="1:24" ht="18.75" customHeight="1">
      <c r="A791" s="117" t="s">
        <v>55</v>
      </c>
      <c r="B791" s="115" t="s">
        <v>41</v>
      </c>
      <c r="C791" s="118" t="e">
        <f>'[9]LUONG T7'!K66</f>
        <v>#REF!</v>
      </c>
      <c r="D791" s="119" t="s">
        <v>51</v>
      </c>
      <c r="E791" s="280" t="s">
        <v>56</v>
      </c>
      <c r="F791" s="280"/>
      <c r="G791" s="280"/>
      <c r="H791" s="115" t="s">
        <v>41</v>
      </c>
      <c r="I791" s="281" t="e">
        <f>$F$8/$L$1*C791</f>
        <v>#REF!</v>
      </c>
      <c r="J791" s="281"/>
      <c r="K791" s="123" t="s">
        <v>47</v>
      </c>
      <c r="L791" s="124"/>
      <c r="M791" s="117" t="s">
        <v>55</v>
      </c>
      <c r="N791" s="115" t="s">
        <v>41</v>
      </c>
      <c r="O791" s="118" t="e">
        <f>'[9]LUONG T7'!K68</f>
        <v>#REF!</v>
      </c>
      <c r="P791" s="119" t="s">
        <v>51</v>
      </c>
      <c r="Q791" s="280" t="s">
        <v>56</v>
      </c>
      <c r="R791" s="280"/>
      <c r="S791" s="280"/>
      <c r="T791" s="115" t="s">
        <v>41</v>
      </c>
      <c r="U791" s="281" t="e">
        <f>$F$8/$L$1*O791</f>
        <v>#REF!</v>
      </c>
      <c r="V791" s="281"/>
      <c r="W791" s="123" t="s">
        <v>47</v>
      </c>
      <c r="X791" s="124"/>
    </row>
    <row r="792" spans="1:24" ht="18.75" customHeight="1">
      <c r="A792" s="117" t="s">
        <v>57</v>
      </c>
      <c r="B792" s="115" t="s">
        <v>41</v>
      </c>
      <c r="C792" s="118" t="e">
        <f>'[9]LUONG T7'!L66</f>
        <v>#REF!</v>
      </c>
      <c r="D792" s="119" t="s">
        <v>51</v>
      </c>
      <c r="E792" s="280" t="s">
        <v>58</v>
      </c>
      <c r="F792" s="280"/>
      <c r="G792" s="280"/>
      <c r="H792" s="115" t="s">
        <v>41</v>
      </c>
      <c r="I792" s="281" t="e">
        <f>$F$8/$L$1*C792</f>
        <v>#REF!</v>
      </c>
      <c r="J792" s="281"/>
      <c r="K792" s="123" t="s">
        <v>47</v>
      </c>
      <c r="L792" s="124"/>
      <c r="M792" s="117" t="s">
        <v>57</v>
      </c>
      <c r="N792" s="115" t="s">
        <v>41</v>
      </c>
      <c r="O792" s="118" t="e">
        <f>'[9]LUONG T7'!L68</f>
        <v>#REF!</v>
      </c>
      <c r="P792" s="119" t="s">
        <v>51</v>
      </c>
      <c r="Q792" s="280" t="s">
        <v>58</v>
      </c>
      <c r="R792" s="280"/>
      <c r="S792" s="280"/>
      <c r="T792" s="115" t="s">
        <v>41</v>
      </c>
      <c r="U792" s="281" t="e">
        <f>$F$8/$L$1*O792</f>
        <v>#REF!</v>
      </c>
      <c r="V792" s="281"/>
      <c r="W792" s="123" t="s">
        <v>47</v>
      </c>
      <c r="X792" s="124"/>
    </row>
    <row r="793" spans="1:24" ht="18.75" customHeight="1">
      <c r="A793" s="117" t="s">
        <v>59</v>
      </c>
      <c r="B793" s="115" t="s">
        <v>41</v>
      </c>
      <c r="C793" s="118" t="e">
        <f>'[9]LUONG T7'!Q66</f>
        <v>#REF!</v>
      </c>
      <c r="D793" s="119" t="s">
        <v>60</v>
      </c>
      <c r="E793" s="270" t="s">
        <v>61</v>
      </c>
      <c r="F793" s="270"/>
      <c r="G793" s="270"/>
      <c r="H793" s="115" t="s">
        <v>41</v>
      </c>
      <c r="I793" s="281" t="e">
        <f>'[9]LUONG T7'!Q67</f>
        <v>#REF!</v>
      </c>
      <c r="J793" s="281"/>
      <c r="K793" s="123" t="s">
        <v>47</v>
      </c>
      <c r="L793" s="124" t="e">
        <f>F786*C793/L779/8*1.5</f>
        <v>#REF!</v>
      </c>
      <c r="M793" s="117" t="s">
        <v>59</v>
      </c>
      <c r="N793" s="115" t="s">
        <v>41</v>
      </c>
      <c r="O793" s="118" t="e">
        <f>'[9]LUONG T7'!Q68</f>
        <v>#REF!</v>
      </c>
      <c r="P793" s="119" t="s">
        <v>60</v>
      </c>
      <c r="Q793" s="270" t="s">
        <v>61</v>
      </c>
      <c r="R793" s="270"/>
      <c r="S793" s="270"/>
      <c r="T793" s="115" t="s">
        <v>41</v>
      </c>
      <c r="U793" s="281" t="e">
        <f>U789/O789/8*O793</f>
        <v>#REF!</v>
      </c>
      <c r="V793" s="281"/>
      <c r="W793" s="123" t="s">
        <v>47</v>
      </c>
      <c r="X793" s="124" t="e">
        <f>R786*O793/X779/8*1.5</f>
        <v>#REF!</v>
      </c>
    </row>
    <row r="794" spans="1:24" ht="18.75" customHeight="1">
      <c r="A794" s="269" t="s">
        <v>62</v>
      </c>
      <c r="B794" s="270"/>
      <c r="C794" s="118"/>
      <c r="D794" s="119" t="s">
        <v>51</v>
      </c>
      <c r="E794" s="270" t="s">
        <v>63</v>
      </c>
      <c r="F794" s="270"/>
      <c r="G794" s="270"/>
      <c r="H794" s="125" t="s">
        <v>41</v>
      </c>
      <c r="I794" s="281"/>
      <c r="J794" s="281"/>
      <c r="K794" s="123" t="s">
        <v>47</v>
      </c>
      <c r="L794" s="124"/>
      <c r="M794" s="269" t="s">
        <v>62</v>
      </c>
      <c r="N794" s="270"/>
      <c r="O794" s="118"/>
      <c r="P794" s="119" t="s">
        <v>51</v>
      </c>
      <c r="Q794" s="270" t="s">
        <v>63</v>
      </c>
      <c r="R794" s="270"/>
      <c r="S794" s="270"/>
      <c r="T794" s="125" t="s">
        <v>41</v>
      </c>
      <c r="U794" s="281"/>
      <c r="V794" s="281"/>
      <c r="W794" s="123" t="s">
        <v>47</v>
      </c>
      <c r="X794" s="124"/>
    </row>
    <row r="795" spans="1:24" ht="18.75" customHeight="1">
      <c r="A795" s="117" t="s">
        <v>64</v>
      </c>
      <c r="B795" s="115" t="s">
        <v>41</v>
      </c>
      <c r="C795" s="118"/>
      <c r="D795" s="119" t="s">
        <v>51</v>
      </c>
      <c r="E795" s="270" t="s">
        <v>65</v>
      </c>
      <c r="F795" s="270"/>
      <c r="G795" s="270"/>
      <c r="H795" s="115" t="s">
        <v>41</v>
      </c>
      <c r="I795" s="281"/>
      <c r="J795" s="281"/>
      <c r="K795" s="123" t="s">
        <v>47</v>
      </c>
      <c r="L795" s="124"/>
      <c r="M795" s="117" t="s">
        <v>64</v>
      </c>
      <c r="N795" s="115" t="s">
        <v>41</v>
      </c>
      <c r="O795" s="118"/>
      <c r="P795" s="119" t="s">
        <v>51</v>
      </c>
      <c r="Q795" s="270" t="s">
        <v>65</v>
      </c>
      <c r="R795" s="270"/>
      <c r="S795" s="270"/>
      <c r="T795" s="115" t="s">
        <v>41</v>
      </c>
      <c r="U795" s="281"/>
      <c r="V795" s="281"/>
      <c r="W795" s="123" t="s">
        <v>47</v>
      </c>
      <c r="X795" s="124"/>
    </row>
    <row r="796" spans="1:24" ht="18.75" customHeight="1">
      <c r="A796" s="126" t="s">
        <v>66</v>
      </c>
      <c r="B796" s="115"/>
      <c r="C796" s="118" t="e">
        <f>'[9]LUONG T7'!M66</f>
        <v>#REF!</v>
      </c>
      <c r="D796" s="119" t="s">
        <v>60</v>
      </c>
      <c r="E796" s="270" t="s">
        <v>67</v>
      </c>
      <c r="F796" s="270"/>
      <c r="G796" s="270"/>
      <c r="H796" s="115" t="s">
        <v>41</v>
      </c>
      <c r="I796" s="281" t="e">
        <f>$F$8*C796/8/$L$1</f>
        <v>#REF!</v>
      </c>
      <c r="J796" s="281"/>
      <c r="K796" s="123" t="s">
        <v>47</v>
      </c>
      <c r="L796" s="124"/>
      <c r="M796" s="126" t="s">
        <v>66</v>
      </c>
      <c r="N796" s="115"/>
      <c r="O796" s="118" t="e">
        <f>'[9]LUONG T7'!M68</f>
        <v>#REF!</v>
      </c>
      <c r="P796" s="119" t="s">
        <v>60</v>
      </c>
      <c r="Q796" s="270" t="s">
        <v>67</v>
      </c>
      <c r="R796" s="270"/>
      <c r="S796" s="270"/>
      <c r="T796" s="115" t="s">
        <v>41</v>
      </c>
      <c r="U796" s="281" t="e">
        <f>$F$8*O796/8/$L$1</f>
        <v>#REF!</v>
      </c>
      <c r="V796" s="281"/>
      <c r="W796" s="123" t="s">
        <v>47</v>
      </c>
      <c r="X796" s="124"/>
    </row>
    <row r="797" spans="1:24" ht="18.75" customHeight="1">
      <c r="A797" s="117" t="s">
        <v>68</v>
      </c>
      <c r="B797" s="115" t="s">
        <v>41</v>
      </c>
      <c r="C797" s="118"/>
      <c r="D797" s="119" t="s">
        <v>60</v>
      </c>
      <c r="E797" s="270" t="s">
        <v>92</v>
      </c>
      <c r="F797" s="270"/>
      <c r="G797" s="270"/>
      <c r="H797" s="115" t="s">
        <v>41</v>
      </c>
      <c r="I797" s="283"/>
      <c r="J797" s="283"/>
      <c r="K797" s="123" t="s">
        <v>47</v>
      </c>
      <c r="L797" s="124"/>
      <c r="M797" s="117" t="s">
        <v>68</v>
      </c>
      <c r="N797" s="115" t="s">
        <v>41</v>
      </c>
      <c r="O797" s="118"/>
      <c r="P797" s="119" t="s">
        <v>60</v>
      </c>
      <c r="Q797" s="270" t="s">
        <v>92</v>
      </c>
      <c r="R797" s="270"/>
      <c r="S797" s="270"/>
      <c r="T797" s="115" t="s">
        <v>41</v>
      </c>
      <c r="U797" s="283"/>
      <c r="V797" s="283"/>
      <c r="W797" s="123" t="s">
        <v>47</v>
      </c>
      <c r="X797" s="124"/>
    </row>
    <row r="798" spans="1:24" ht="18.75" customHeight="1">
      <c r="A798" s="117" t="s">
        <v>70</v>
      </c>
      <c r="B798" s="115" t="s">
        <v>41</v>
      </c>
      <c r="C798" s="118"/>
      <c r="D798" s="119" t="s">
        <v>71</v>
      </c>
      <c r="E798" s="127" t="s">
        <v>72</v>
      </c>
      <c r="F798" s="127"/>
      <c r="G798" s="127"/>
      <c r="H798" s="115" t="s">
        <v>41</v>
      </c>
      <c r="I798" s="281"/>
      <c r="J798" s="281"/>
      <c r="K798" s="123" t="s">
        <v>47</v>
      </c>
      <c r="L798" s="124" t="e">
        <f>+IF(L789-I789&lt;0,0,L789-I789)+IF(L793-I793&lt;0,0,L793-I793)</f>
        <v>#REF!</v>
      </c>
      <c r="M798" s="117" t="s">
        <v>70</v>
      </c>
      <c r="N798" s="115" t="s">
        <v>41</v>
      </c>
      <c r="O798" s="118"/>
      <c r="P798" s="119" t="s">
        <v>71</v>
      </c>
      <c r="Q798" s="127" t="s">
        <v>72</v>
      </c>
      <c r="R798" s="127"/>
      <c r="S798" s="127"/>
      <c r="T798" s="115" t="s">
        <v>41</v>
      </c>
      <c r="U798" s="281"/>
      <c r="V798" s="281"/>
      <c r="W798" s="123" t="s">
        <v>47</v>
      </c>
      <c r="X798" s="124" t="e">
        <f>+IF(X789-U789&lt;0,0,X789-U789)+IF(X793-U793&lt;0,0,X793-U793)</f>
        <v>#REF!</v>
      </c>
    </row>
    <row r="799" spans="1:24" ht="18.75" customHeight="1">
      <c r="A799" s="128" t="s">
        <v>117</v>
      </c>
      <c r="B799" s="129"/>
      <c r="C799" s="118"/>
      <c r="D799" s="119" t="s">
        <v>51</v>
      </c>
      <c r="E799" s="270" t="s">
        <v>118</v>
      </c>
      <c r="F799" s="270"/>
      <c r="G799" s="270"/>
      <c r="H799" s="115" t="s">
        <v>41</v>
      </c>
      <c r="I799" s="281"/>
      <c r="J799" s="281"/>
      <c r="K799" s="123" t="s">
        <v>47</v>
      </c>
      <c r="L799" s="124"/>
      <c r="M799" s="128" t="s">
        <v>117</v>
      </c>
      <c r="N799" s="129"/>
      <c r="O799" s="118"/>
      <c r="P799" s="119" t="s">
        <v>51</v>
      </c>
      <c r="Q799" s="270" t="s">
        <v>118</v>
      </c>
      <c r="R799" s="270"/>
      <c r="S799" s="270"/>
      <c r="T799" s="115" t="s">
        <v>41</v>
      </c>
      <c r="U799" s="281"/>
      <c r="V799" s="281"/>
      <c r="W799" s="123" t="s">
        <v>47</v>
      </c>
      <c r="X799" s="124"/>
    </row>
    <row r="800" spans="1:24" ht="18.75" customHeight="1">
      <c r="A800" s="288" t="s">
        <v>75</v>
      </c>
      <c r="B800" s="282"/>
      <c r="C800" s="118"/>
      <c r="D800" s="119"/>
      <c r="E800" s="120"/>
      <c r="F800" s="120"/>
      <c r="G800" s="120"/>
      <c r="H800" s="115" t="s">
        <v>41</v>
      </c>
      <c r="I800" s="281" t="e">
        <f>'[9]LUONG T7'!P67</f>
        <v>#REF!</v>
      </c>
      <c r="J800" s="281"/>
      <c r="K800" s="123" t="s">
        <v>47</v>
      </c>
      <c r="L800" s="124"/>
      <c r="M800" s="288" t="s">
        <v>75</v>
      </c>
      <c r="N800" s="282"/>
      <c r="O800" s="118"/>
      <c r="P800" s="119"/>
      <c r="Q800" s="120"/>
      <c r="R800" s="120"/>
      <c r="S800" s="120"/>
      <c r="T800" s="115" t="s">
        <v>41</v>
      </c>
      <c r="U800" s="281" t="e">
        <f>'[9]LUONG T7'!P69</f>
        <v>#REF!</v>
      </c>
      <c r="V800" s="281"/>
      <c r="W800" s="123" t="s">
        <v>47</v>
      </c>
      <c r="X800" s="124"/>
    </row>
    <row r="801" spans="1:24" ht="18.75" customHeight="1">
      <c r="A801" s="117" t="s">
        <v>76</v>
      </c>
      <c r="B801" s="115" t="s">
        <v>41</v>
      </c>
      <c r="C801" s="118"/>
      <c r="D801" s="119"/>
      <c r="E801" s="120" t="s">
        <v>77</v>
      </c>
      <c r="F801" s="120"/>
      <c r="G801" s="120"/>
      <c r="H801" s="115" t="s">
        <v>41</v>
      </c>
      <c r="I801" s="281" t="e">
        <f>L798</f>
        <v>#REF!</v>
      </c>
      <c r="J801" s="281"/>
      <c r="K801" s="123" t="s">
        <v>47</v>
      </c>
      <c r="L801" s="124"/>
      <c r="M801" s="117" t="s">
        <v>76</v>
      </c>
      <c r="N801" s="115" t="s">
        <v>41</v>
      </c>
      <c r="O801" s="118"/>
      <c r="P801" s="119"/>
      <c r="Q801" s="120" t="s">
        <v>77</v>
      </c>
      <c r="R801" s="120"/>
      <c r="S801" s="120"/>
      <c r="T801" s="115" t="s">
        <v>41</v>
      </c>
      <c r="U801" s="281" t="e">
        <f>X798</f>
        <v>#REF!</v>
      </c>
      <c r="V801" s="281"/>
      <c r="W801" s="123" t="s">
        <v>47</v>
      </c>
      <c r="X801" s="124"/>
    </row>
    <row r="802" spans="1:24" ht="18.75" customHeight="1">
      <c r="A802" s="285" t="s">
        <v>78</v>
      </c>
      <c r="B802" s="286"/>
      <c r="C802" s="286"/>
      <c r="D802" s="286"/>
      <c r="E802" s="286"/>
      <c r="F802" s="286"/>
      <c r="G802" s="115" t="s">
        <v>41</v>
      </c>
      <c r="H802" s="287" t="e">
        <f>I789+I790+I791+I792+I793+I796+I800+I801</f>
        <v>#REF!</v>
      </c>
      <c r="I802" s="287"/>
      <c r="J802" s="287"/>
      <c r="K802" s="123" t="s">
        <v>47</v>
      </c>
      <c r="M802" s="285" t="s">
        <v>78</v>
      </c>
      <c r="N802" s="286"/>
      <c r="O802" s="286"/>
      <c r="P802" s="286"/>
      <c r="Q802" s="286"/>
      <c r="R802" s="286"/>
      <c r="S802" s="115" t="s">
        <v>41</v>
      </c>
      <c r="T802" s="287" t="e">
        <f>U789+U790+U791+U792+U793+U796+U800+U801</f>
        <v>#REF!</v>
      </c>
      <c r="U802" s="287"/>
      <c r="V802" s="287"/>
      <c r="W802" s="123" t="s">
        <v>47</v>
      </c>
    </row>
    <row r="803" spans="1:24" ht="18.75" customHeight="1">
      <c r="A803" s="130"/>
      <c r="B803" s="131"/>
      <c r="C803" s="131"/>
      <c r="D803" s="131"/>
      <c r="E803" s="131"/>
      <c r="F803" s="131"/>
      <c r="G803" s="131"/>
      <c r="H803" s="131"/>
      <c r="I803" s="131"/>
      <c r="J803" s="131"/>
      <c r="K803" s="132"/>
      <c r="M803" s="130"/>
      <c r="N803" s="131"/>
      <c r="O803" s="131"/>
      <c r="P803" s="131"/>
      <c r="Q803" s="131"/>
      <c r="R803" s="131"/>
      <c r="S803" s="131"/>
      <c r="T803" s="131"/>
      <c r="U803" s="131"/>
      <c r="V803" s="131"/>
      <c r="W803" s="132"/>
    </row>
    <row r="804" spans="1:24" ht="18.75" customHeight="1">
      <c r="A804" s="295" t="s">
        <v>79</v>
      </c>
      <c r="B804" s="296"/>
      <c r="C804" s="296"/>
      <c r="D804" s="296"/>
      <c r="E804" s="296"/>
      <c r="F804" s="296"/>
      <c r="G804" s="115"/>
      <c r="H804" s="115"/>
      <c r="I804" s="115"/>
      <c r="J804" s="115"/>
      <c r="K804" s="123"/>
      <c r="M804" s="295" t="s">
        <v>79</v>
      </c>
      <c r="N804" s="296"/>
      <c r="O804" s="296"/>
      <c r="P804" s="296"/>
      <c r="Q804" s="296"/>
      <c r="R804" s="296"/>
      <c r="S804" s="115"/>
      <c r="T804" s="115"/>
      <c r="U804" s="115"/>
      <c r="V804" s="115"/>
      <c r="W804" s="123"/>
    </row>
    <row r="805" spans="1:24" ht="18.75" customHeight="1">
      <c r="A805" s="289" t="s">
        <v>80</v>
      </c>
      <c r="B805" s="290"/>
      <c r="C805" s="290"/>
      <c r="D805" s="290"/>
      <c r="E805" s="290"/>
      <c r="F805" s="290"/>
      <c r="G805" s="115" t="s">
        <v>41</v>
      </c>
      <c r="H805" s="297" t="e">
        <f>IF(($L$1-(C789+C790+C791+C792))&gt;12,0,F786*8%)</f>
        <v>#REF!</v>
      </c>
      <c r="I805" s="297"/>
      <c r="J805" s="297"/>
      <c r="K805" s="123" t="s">
        <v>47</v>
      </c>
      <c r="M805" s="289" t="s">
        <v>80</v>
      </c>
      <c r="N805" s="290"/>
      <c r="O805" s="290"/>
      <c r="P805" s="290"/>
      <c r="Q805" s="290"/>
      <c r="R805" s="290"/>
      <c r="S805" s="115" t="s">
        <v>41</v>
      </c>
      <c r="T805" s="297" t="e">
        <f>IF(($L$1-(O789+O790+O791+O792))&gt;12,0,R786*8%)</f>
        <v>#REF!</v>
      </c>
      <c r="U805" s="297"/>
      <c r="V805" s="297"/>
      <c r="W805" s="123" t="s">
        <v>47</v>
      </c>
    </row>
    <row r="806" spans="1:24" ht="18.75" customHeight="1">
      <c r="A806" s="289" t="s">
        <v>81</v>
      </c>
      <c r="B806" s="290"/>
      <c r="C806" s="290"/>
      <c r="D806" s="290"/>
      <c r="E806" s="290"/>
      <c r="F806" s="290"/>
      <c r="G806" s="115" t="s">
        <v>41</v>
      </c>
      <c r="H806" s="291" t="e">
        <f>IF(($L$1-(C789+C790+C791+C792))&gt;12,0,F786*1.5%)</f>
        <v>#REF!</v>
      </c>
      <c r="I806" s="291"/>
      <c r="J806" s="291"/>
      <c r="K806" s="123" t="s">
        <v>47</v>
      </c>
      <c r="M806" s="289" t="s">
        <v>81</v>
      </c>
      <c r="N806" s="290"/>
      <c r="O806" s="290"/>
      <c r="P806" s="290"/>
      <c r="Q806" s="290"/>
      <c r="R806" s="290"/>
      <c r="S806" s="115" t="s">
        <v>41</v>
      </c>
      <c r="T806" s="291" t="e">
        <f>IF(($L$1-(O789+O790+O791+O792))&gt;12,0,R786*1.5%)</f>
        <v>#REF!</v>
      </c>
      <c r="U806" s="291"/>
      <c r="V806" s="291"/>
      <c r="W806" s="123" t="s">
        <v>47</v>
      </c>
    </row>
    <row r="807" spans="1:24" ht="18.75" customHeight="1">
      <c r="A807" s="289" t="s">
        <v>82</v>
      </c>
      <c r="B807" s="290"/>
      <c r="C807" s="290"/>
      <c r="D807" s="290"/>
      <c r="E807" s="290"/>
      <c r="F807" s="290"/>
      <c r="G807" s="115" t="s">
        <v>41</v>
      </c>
      <c r="H807" s="291" t="e">
        <f>IF(($L$1-(C789+C790+C791+C792))&gt;12,0,F786*1%)</f>
        <v>#REF!</v>
      </c>
      <c r="I807" s="291"/>
      <c r="J807" s="291"/>
      <c r="K807" s="123" t="s">
        <v>47</v>
      </c>
      <c r="M807" s="289" t="s">
        <v>82</v>
      </c>
      <c r="N807" s="290"/>
      <c r="O807" s="290"/>
      <c r="P807" s="290"/>
      <c r="Q807" s="290"/>
      <c r="R807" s="290"/>
      <c r="S807" s="115" t="s">
        <v>41</v>
      </c>
      <c r="T807" s="291" t="e">
        <f>IF(($L$1-(O789+O790+O791+O792))&gt;12,0,R786*1%)</f>
        <v>#REF!</v>
      </c>
      <c r="U807" s="291"/>
      <c r="V807" s="291"/>
      <c r="W807" s="123" t="s">
        <v>47</v>
      </c>
    </row>
    <row r="808" spans="1:24" ht="18.75" customHeight="1">
      <c r="A808" s="289" t="s">
        <v>83</v>
      </c>
      <c r="B808" s="290"/>
      <c r="C808" s="290"/>
      <c r="D808" s="290"/>
      <c r="E808" s="290"/>
      <c r="F808" s="290"/>
      <c r="G808" s="115" t="s">
        <v>41</v>
      </c>
      <c r="H808" s="291">
        <v>0</v>
      </c>
      <c r="I808" s="291"/>
      <c r="J808" s="291"/>
      <c r="K808" s="123" t="s">
        <v>47</v>
      </c>
      <c r="M808" s="289" t="s">
        <v>83</v>
      </c>
      <c r="N808" s="290"/>
      <c r="O808" s="290"/>
      <c r="P808" s="290"/>
      <c r="Q808" s="290"/>
      <c r="R808" s="290"/>
      <c r="S808" s="115" t="s">
        <v>41</v>
      </c>
      <c r="T808" s="291">
        <v>0</v>
      </c>
      <c r="U808" s="291"/>
      <c r="V808" s="291"/>
      <c r="W808" s="123" t="s">
        <v>47</v>
      </c>
    </row>
    <row r="809" spans="1:24" ht="18.75" customHeight="1">
      <c r="A809" s="292" t="s">
        <v>84</v>
      </c>
      <c r="B809" s="293"/>
      <c r="C809" s="293"/>
      <c r="D809" s="293"/>
      <c r="E809" s="293"/>
      <c r="F809" s="293"/>
      <c r="G809" s="115" t="s">
        <v>41</v>
      </c>
      <c r="H809" s="294" t="e">
        <f>SUM(H805:J808)</f>
        <v>#REF!</v>
      </c>
      <c r="I809" s="294"/>
      <c r="J809" s="294"/>
      <c r="K809" s="123" t="s">
        <v>47</v>
      </c>
      <c r="M809" s="292" t="s">
        <v>84</v>
      </c>
      <c r="N809" s="293"/>
      <c r="O809" s="293"/>
      <c r="P809" s="293"/>
      <c r="Q809" s="293"/>
      <c r="R809" s="293"/>
      <c r="S809" s="115" t="s">
        <v>41</v>
      </c>
      <c r="T809" s="294" t="e">
        <f>SUM(T805:V808)</f>
        <v>#REF!</v>
      </c>
      <c r="U809" s="294"/>
      <c r="V809" s="294"/>
      <c r="W809" s="123" t="s">
        <v>47</v>
      </c>
    </row>
    <row r="810" spans="1:24" ht="18.75" customHeight="1">
      <c r="A810" s="289" t="s">
        <v>85</v>
      </c>
      <c r="B810" s="290"/>
      <c r="C810" s="290"/>
      <c r="D810" s="290"/>
      <c r="E810" s="290"/>
      <c r="F810" s="290"/>
      <c r="G810" s="115" t="s">
        <v>41</v>
      </c>
      <c r="H810" s="301" t="e">
        <f>ROUND(H802-H809,-2)</f>
        <v>#REF!</v>
      </c>
      <c r="I810" s="301"/>
      <c r="J810" s="301"/>
      <c r="K810" s="123" t="s">
        <v>47</v>
      </c>
      <c r="M810" s="289" t="s">
        <v>85</v>
      </c>
      <c r="N810" s="290"/>
      <c r="O810" s="290"/>
      <c r="P810" s="290"/>
      <c r="Q810" s="290"/>
      <c r="R810" s="290"/>
      <c r="S810" s="115" t="s">
        <v>41</v>
      </c>
      <c r="T810" s="301" t="e">
        <f>ROUND(T802-T809,-2)</f>
        <v>#REF!</v>
      </c>
      <c r="U810" s="301"/>
      <c r="V810" s="301"/>
      <c r="W810" s="123" t="s">
        <v>47</v>
      </c>
    </row>
    <row r="811" spans="1:24" ht="18.75" customHeight="1">
      <c r="A811" s="133"/>
      <c r="B811" s="134"/>
      <c r="C811" s="134"/>
      <c r="D811" s="134"/>
      <c r="E811" s="134"/>
      <c r="F811" s="134"/>
      <c r="G811" s="134"/>
      <c r="H811" s="134"/>
      <c r="I811" s="134"/>
      <c r="J811" s="134"/>
      <c r="K811" s="135"/>
      <c r="M811" s="133"/>
      <c r="N811" s="134"/>
      <c r="O811" s="134"/>
      <c r="P811" s="134"/>
      <c r="Q811" s="134"/>
      <c r="R811" s="134"/>
      <c r="S811" s="134"/>
      <c r="T811" s="134"/>
      <c r="U811" s="134"/>
      <c r="V811" s="134"/>
      <c r="W811" s="135"/>
    </row>
    <row r="812" spans="1:24" ht="18.75" customHeight="1">
      <c r="A812" s="136"/>
      <c r="B812" s="115"/>
      <c r="C812" s="115"/>
      <c r="D812" s="115"/>
      <c r="E812" s="115"/>
      <c r="F812" s="115"/>
      <c r="G812" s="115"/>
      <c r="H812" s="115"/>
      <c r="I812" s="298" t="s">
        <v>86</v>
      </c>
      <c r="J812" s="298"/>
      <c r="K812" s="302"/>
      <c r="M812" s="136"/>
      <c r="N812" s="115"/>
      <c r="O812" s="115"/>
      <c r="P812" s="115"/>
      <c r="Q812" s="115"/>
      <c r="R812" s="115"/>
      <c r="S812" s="115"/>
      <c r="T812" s="115"/>
      <c r="U812" s="298" t="s">
        <v>86</v>
      </c>
      <c r="V812" s="298"/>
      <c r="W812" s="302"/>
    </row>
    <row r="813" spans="1:24" ht="18.75" customHeight="1">
      <c r="A813" s="136"/>
      <c r="B813" s="298"/>
      <c r="C813" s="298"/>
      <c r="D813" s="298"/>
      <c r="E813" s="298"/>
      <c r="F813" s="115"/>
      <c r="G813" s="115"/>
      <c r="H813" s="115"/>
      <c r="I813" s="115"/>
      <c r="J813" s="115"/>
      <c r="K813" s="116"/>
      <c r="M813" s="136"/>
      <c r="N813" s="298"/>
      <c r="O813" s="298"/>
      <c r="P813" s="298"/>
      <c r="Q813" s="298"/>
      <c r="R813" s="115"/>
      <c r="S813" s="115"/>
      <c r="T813" s="115"/>
      <c r="U813" s="115"/>
      <c r="V813" s="115"/>
      <c r="W813" s="116"/>
    </row>
    <row r="814" spans="1:24" ht="18.75" customHeight="1" thickBot="1">
      <c r="A814" s="137"/>
      <c r="B814" s="138"/>
      <c r="C814" s="138"/>
      <c r="D814" s="138"/>
      <c r="E814" s="138"/>
      <c r="F814" s="138"/>
      <c r="G814" s="138"/>
      <c r="H814" s="138"/>
      <c r="I814" s="299" t="s">
        <v>87</v>
      </c>
      <c r="J814" s="299"/>
      <c r="K814" s="300"/>
      <c r="M814" s="137"/>
      <c r="N814" s="138"/>
      <c r="O814" s="138"/>
      <c r="P814" s="138"/>
      <c r="Q814" s="138"/>
      <c r="R814" s="138"/>
      <c r="S814" s="138"/>
      <c r="T814" s="138"/>
      <c r="U814" s="299" t="s">
        <v>87</v>
      </c>
      <c r="V814" s="299"/>
      <c r="W814" s="300"/>
    </row>
    <row r="816" spans="1:24" ht="18.75" customHeight="1" thickTop="1">
      <c r="A816" s="274" t="s">
        <v>35</v>
      </c>
      <c r="B816" s="275"/>
      <c r="C816" s="275"/>
      <c r="D816" s="275"/>
      <c r="E816" s="275"/>
      <c r="F816" s="275"/>
      <c r="G816" s="275"/>
      <c r="H816" s="275"/>
      <c r="I816" s="275"/>
      <c r="J816" s="275"/>
      <c r="K816" s="276"/>
      <c r="L816" s="111">
        <v>25</v>
      </c>
      <c r="M816" s="274" t="s">
        <v>35</v>
      </c>
      <c r="N816" s="275"/>
      <c r="O816" s="275"/>
      <c r="P816" s="275"/>
      <c r="Q816" s="275"/>
      <c r="R816" s="275"/>
      <c r="S816" s="275"/>
      <c r="T816" s="275"/>
      <c r="U816" s="275"/>
      <c r="V816" s="275"/>
      <c r="W816" s="276"/>
      <c r="X816" s="111">
        <v>25</v>
      </c>
    </row>
    <row r="817" spans="1:24" ht="18.75" customHeight="1">
      <c r="A817" s="112" t="s">
        <v>147</v>
      </c>
      <c r="B817" s="113"/>
      <c r="C817" s="113"/>
      <c r="D817" s="113"/>
      <c r="E817" s="113"/>
      <c r="F817" s="113"/>
      <c r="G817" s="113"/>
      <c r="H817" s="113"/>
      <c r="I817" s="113"/>
      <c r="J817" s="113"/>
      <c r="K817" s="114"/>
      <c r="M817" s="112" t="s">
        <v>148</v>
      </c>
      <c r="N817" s="113"/>
      <c r="O817" s="113"/>
      <c r="P817" s="113"/>
      <c r="Q817" s="113"/>
      <c r="R817" s="113"/>
      <c r="S817" s="113"/>
      <c r="T817" s="113"/>
      <c r="U817" s="113"/>
      <c r="V817" s="113"/>
      <c r="W817" s="114"/>
    </row>
    <row r="818" spans="1:24" ht="18.75" customHeight="1">
      <c r="A818" s="277" t="s">
        <v>39</v>
      </c>
      <c r="B818" s="278"/>
      <c r="C818" s="278"/>
      <c r="D818" s="278"/>
      <c r="E818" s="278"/>
      <c r="F818" s="278"/>
      <c r="G818" s="278"/>
      <c r="H818" s="278"/>
      <c r="I818" s="278"/>
      <c r="J818" s="278"/>
      <c r="K818" s="279"/>
      <c r="M818" s="277" t="s">
        <v>39</v>
      </c>
      <c r="N818" s="278"/>
      <c r="O818" s="278"/>
      <c r="P818" s="278"/>
      <c r="Q818" s="278"/>
      <c r="R818" s="278"/>
      <c r="S818" s="278"/>
      <c r="T818" s="278"/>
      <c r="U818" s="278"/>
      <c r="V818" s="278"/>
      <c r="W818" s="279"/>
    </row>
    <row r="819" spans="1:24" ht="18.75" customHeight="1">
      <c r="A819" s="269" t="s">
        <v>40</v>
      </c>
      <c r="B819" s="270"/>
      <c r="C819" s="270"/>
      <c r="D819" s="270"/>
      <c r="E819" s="115" t="s">
        <v>41</v>
      </c>
      <c r="F819" s="271" t="e">
        <f>'[9]Bang TH nop'!B91</f>
        <v>#REF!</v>
      </c>
      <c r="G819" s="270"/>
      <c r="H819" s="270"/>
      <c r="I819" s="270"/>
      <c r="J819" s="270"/>
      <c r="K819" s="273"/>
      <c r="M819" s="269" t="s">
        <v>40</v>
      </c>
      <c r="N819" s="270"/>
      <c r="O819" s="270"/>
      <c r="P819" s="270"/>
      <c r="Q819" s="115" t="s">
        <v>41</v>
      </c>
      <c r="R819" s="271" t="e">
        <f>'[9]Bang TH nop'!B93</f>
        <v>#REF!</v>
      </c>
      <c r="S819" s="270"/>
      <c r="T819" s="270"/>
      <c r="U819" s="270"/>
      <c r="V819" s="270"/>
      <c r="W819" s="273"/>
    </row>
    <row r="820" spans="1:24" ht="18.75" customHeight="1">
      <c r="A820" s="269" t="s">
        <v>43</v>
      </c>
      <c r="B820" s="270"/>
      <c r="C820" s="270"/>
      <c r="D820" s="270"/>
      <c r="E820" s="115" t="s">
        <v>41</v>
      </c>
      <c r="F820" s="271" t="e">
        <f>'[9]Bang TH nop'!C91</f>
        <v>#REF!</v>
      </c>
      <c r="G820" s="271"/>
      <c r="H820" s="271"/>
      <c r="I820" s="271"/>
      <c r="J820" s="271"/>
      <c r="K820" s="272"/>
      <c r="M820" s="269" t="s">
        <v>43</v>
      </c>
      <c r="N820" s="270"/>
      <c r="O820" s="270"/>
      <c r="P820" s="270"/>
      <c r="Q820" s="115" t="s">
        <v>41</v>
      </c>
      <c r="R820" s="271" t="e">
        <f>'[9]Bang TH nop'!C93</f>
        <v>#REF!</v>
      </c>
      <c r="S820" s="271"/>
      <c r="T820" s="271"/>
      <c r="U820" s="271"/>
      <c r="V820" s="271"/>
      <c r="W820" s="272"/>
    </row>
    <row r="821" spans="1:24" ht="18.75" customHeight="1">
      <c r="A821" s="269" t="s">
        <v>44</v>
      </c>
      <c r="B821" s="270"/>
      <c r="C821" s="270"/>
      <c r="D821" s="270"/>
      <c r="E821" s="115" t="s">
        <v>41</v>
      </c>
      <c r="F821" s="270" t="s">
        <v>116</v>
      </c>
      <c r="G821" s="270"/>
      <c r="H821" s="270"/>
      <c r="I821" s="270"/>
      <c r="J821" s="270"/>
      <c r="K821" s="273"/>
      <c r="M821" s="269" t="s">
        <v>44</v>
      </c>
      <c r="N821" s="270"/>
      <c r="O821" s="270"/>
      <c r="P821" s="270"/>
      <c r="Q821" s="115" t="s">
        <v>41</v>
      </c>
      <c r="R821" s="270" t="s">
        <v>116</v>
      </c>
      <c r="S821" s="270"/>
      <c r="T821" s="270"/>
      <c r="U821" s="270"/>
      <c r="V821" s="270"/>
      <c r="W821" s="273"/>
    </row>
    <row r="822" spans="1:24" ht="18.75" customHeight="1">
      <c r="A822" s="277" t="s">
        <v>45</v>
      </c>
      <c r="B822" s="278"/>
      <c r="C822" s="278"/>
      <c r="D822" s="278"/>
      <c r="E822" s="278"/>
      <c r="F822" s="278"/>
      <c r="G822" s="278"/>
      <c r="H822" s="278"/>
      <c r="I822" s="278"/>
      <c r="J822" s="278"/>
      <c r="K822" s="279"/>
      <c r="M822" s="277" t="s">
        <v>45</v>
      </c>
      <c r="N822" s="278"/>
      <c r="O822" s="278"/>
      <c r="P822" s="278"/>
      <c r="Q822" s="278"/>
      <c r="R822" s="278"/>
      <c r="S822" s="278"/>
      <c r="T822" s="278"/>
      <c r="U822" s="278"/>
      <c r="V822" s="278"/>
      <c r="W822" s="279"/>
    </row>
    <row r="823" spans="1:24" ht="18.75" customHeight="1">
      <c r="A823" s="269" t="s">
        <v>46</v>
      </c>
      <c r="B823" s="270"/>
      <c r="C823" s="270"/>
      <c r="D823" s="270"/>
      <c r="E823" s="115" t="s">
        <v>41</v>
      </c>
      <c r="F823" s="284">
        <v>2915400</v>
      </c>
      <c r="G823" s="284"/>
      <c r="H823" s="284"/>
      <c r="I823" s="284"/>
      <c r="J823" s="115" t="s">
        <v>47</v>
      </c>
      <c r="K823" s="116"/>
      <c r="M823" s="269" t="s">
        <v>46</v>
      </c>
      <c r="N823" s="270"/>
      <c r="O823" s="270"/>
      <c r="P823" s="270"/>
      <c r="Q823" s="115" t="s">
        <v>41</v>
      </c>
      <c r="R823" s="284">
        <v>2915400</v>
      </c>
      <c r="S823" s="284"/>
      <c r="T823" s="284"/>
      <c r="U823" s="284"/>
      <c r="V823" s="115" t="s">
        <v>47</v>
      </c>
      <c r="W823" s="116"/>
    </row>
    <row r="824" spans="1:24" ht="18.75" customHeight="1">
      <c r="A824" s="117" t="s">
        <v>48</v>
      </c>
      <c r="B824" s="115"/>
      <c r="C824" s="118"/>
      <c r="D824" s="119"/>
      <c r="E824" s="120"/>
      <c r="F824" s="120"/>
      <c r="G824" s="120"/>
      <c r="H824" s="115"/>
      <c r="I824" s="121" t="e">
        <f>'[9]LUONG T7'!F71</f>
        <v>#REF!</v>
      </c>
      <c r="J824" s="122"/>
      <c r="K824" s="123"/>
      <c r="M824" s="117" t="s">
        <v>48</v>
      </c>
      <c r="N824" s="115"/>
      <c r="O824" s="118"/>
      <c r="P824" s="119"/>
      <c r="Q824" s="120"/>
      <c r="R824" s="120"/>
      <c r="S824" s="120"/>
      <c r="T824" s="115"/>
      <c r="U824" s="121" t="e">
        <f>'[9]LUONG T7'!F73</f>
        <v>#REF!</v>
      </c>
      <c r="V824" s="122"/>
      <c r="W824" s="123"/>
    </row>
    <row r="825" spans="1:24" ht="18.75" customHeight="1">
      <c r="A825" s="117" t="s">
        <v>49</v>
      </c>
      <c r="B825" s="115"/>
      <c r="C825" s="118"/>
      <c r="D825" s="119"/>
      <c r="E825" s="120"/>
      <c r="F825" s="120"/>
      <c r="G825" s="120"/>
      <c r="H825" s="115"/>
      <c r="I825" s="121" t="e">
        <f>I826/C826/8</f>
        <v>#DIV/0!</v>
      </c>
      <c r="J825" s="122"/>
      <c r="K825" s="123"/>
      <c r="M825" s="117" t="s">
        <v>49</v>
      </c>
      <c r="N825" s="115"/>
      <c r="O825" s="118"/>
      <c r="P825" s="119"/>
      <c r="Q825" s="120"/>
      <c r="R825" s="120"/>
      <c r="S825" s="120"/>
      <c r="T825" s="115"/>
      <c r="U825" s="121" t="e">
        <f>U826/O826/8</f>
        <v>#DIV/0!</v>
      </c>
      <c r="V825" s="122"/>
      <c r="W825" s="123"/>
    </row>
    <row r="826" spans="1:24" ht="18.75" customHeight="1">
      <c r="E826" s="303"/>
      <c r="F826" s="303"/>
      <c r="G826" s="303"/>
      <c r="I826" s="303"/>
      <c r="J826" s="303"/>
      <c r="Q826" s="303"/>
      <c r="R826" s="303"/>
      <c r="S826" s="303"/>
      <c r="U826" s="303"/>
      <c r="V826" s="303"/>
    </row>
    <row r="827" spans="1:24" ht="18.75" customHeight="1">
      <c r="A827" s="140" t="s">
        <v>53</v>
      </c>
      <c r="B827" s="140" t="s">
        <v>41</v>
      </c>
      <c r="C827" s="140" t="e">
        <f>'[9]LUONG T7'!J70</f>
        <v>#REF!</v>
      </c>
      <c r="D827" s="140" t="s">
        <v>51</v>
      </c>
      <c r="E827" s="304" t="s">
        <v>54</v>
      </c>
      <c r="F827" s="304"/>
      <c r="G827" s="304"/>
      <c r="H827" s="140" t="s">
        <v>41</v>
      </c>
      <c r="I827" s="304" t="e">
        <f>$F$8/$L$1*C827</f>
        <v>#REF!</v>
      </c>
      <c r="J827" s="304"/>
      <c r="K827" s="140" t="s">
        <v>47</v>
      </c>
      <c r="L827" s="140"/>
      <c r="M827" s="140" t="s">
        <v>53</v>
      </c>
      <c r="N827" s="140" t="s">
        <v>41</v>
      </c>
      <c r="O827" s="140" t="e">
        <f>'[9]LUONG T7'!J72</f>
        <v>#REF!</v>
      </c>
      <c r="P827" s="140" t="s">
        <v>51</v>
      </c>
      <c r="Q827" s="304" t="s">
        <v>54</v>
      </c>
      <c r="R827" s="304"/>
      <c r="S827" s="304"/>
      <c r="T827" s="140" t="s">
        <v>41</v>
      </c>
      <c r="U827" s="304" t="e">
        <f>$F$8/$L$1*O827</f>
        <v>#REF!</v>
      </c>
      <c r="V827" s="304"/>
      <c r="W827" s="140" t="s">
        <v>47</v>
      </c>
      <c r="X827" s="140"/>
    </row>
    <row r="828" spans="1:24" ht="18.75" customHeight="1">
      <c r="A828" s="140" t="s">
        <v>55</v>
      </c>
      <c r="B828" s="140" t="s">
        <v>41</v>
      </c>
      <c r="C828" s="140" t="e">
        <f>'[9]LUONG T7'!K70</f>
        <v>#REF!</v>
      </c>
      <c r="D828" s="140" t="s">
        <v>51</v>
      </c>
      <c r="E828" s="304" t="s">
        <v>56</v>
      </c>
      <c r="F828" s="304"/>
      <c r="G828" s="304"/>
      <c r="H828" s="140" t="s">
        <v>41</v>
      </c>
      <c r="I828" s="304" t="e">
        <f>$F$8/$L$1*C828</f>
        <v>#REF!</v>
      </c>
      <c r="J828" s="304"/>
      <c r="K828" s="140" t="s">
        <v>47</v>
      </c>
      <c r="L828" s="140"/>
      <c r="M828" s="140" t="s">
        <v>55</v>
      </c>
      <c r="N828" s="140" t="s">
        <v>41</v>
      </c>
      <c r="O828" s="140" t="e">
        <f>'[9]LUONG T7'!K72</f>
        <v>#REF!</v>
      </c>
      <c r="P828" s="140" t="s">
        <v>51</v>
      </c>
      <c r="Q828" s="304" t="s">
        <v>56</v>
      </c>
      <c r="R828" s="304"/>
      <c r="S828" s="304"/>
      <c r="T828" s="140" t="s">
        <v>41</v>
      </c>
      <c r="U828" s="304" t="e">
        <f>$F$8/$L$1*O828</f>
        <v>#REF!</v>
      </c>
      <c r="V828" s="304"/>
      <c r="W828" s="140" t="s">
        <v>47</v>
      </c>
      <c r="X828" s="140"/>
    </row>
    <row r="829" spans="1:24" ht="18.75" customHeight="1">
      <c r="A829" s="140" t="s">
        <v>57</v>
      </c>
      <c r="B829" s="140" t="s">
        <v>41</v>
      </c>
      <c r="C829" s="140" t="e">
        <f>'[9]LUONG T7'!L70</f>
        <v>#REF!</v>
      </c>
      <c r="D829" s="140" t="s">
        <v>51</v>
      </c>
      <c r="E829" s="304" t="s">
        <v>58</v>
      </c>
      <c r="F829" s="304"/>
      <c r="G829" s="304"/>
      <c r="H829" s="140" t="s">
        <v>41</v>
      </c>
      <c r="I829" s="304" t="e">
        <f>$F$8/$L$1*C829</f>
        <v>#REF!</v>
      </c>
      <c r="J829" s="304"/>
      <c r="K829" s="140" t="s">
        <v>47</v>
      </c>
      <c r="L829" s="140"/>
      <c r="M829" s="140" t="s">
        <v>57</v>
      </c>
      <c r="N829" s="140" t="s">
        <v>41</v>
      </c>
      <c r="O829" s="140" t="e">
        <f>'[9]LUONG T7'!L72</f>
        <v>#REF!</v>
      </c>
      <c r="P829" s="140" t="s">
        <v>51</v>
      </c>
      <c r="Q829" s="304" t="s">
        <v>58</v>
      </c>
      <c r="R829" s="304"/>
      <c r="S829" s="304"/>
      <c r="T829" s="140" t="s">
        <v>41</v>
      </c>
      <c r="U829" s="304" t="e">
        <f>$F$8/$L$1*O829</f>
        <v>#REF!</v>
      </c>
      <c r="V829" s="304"/>
      <c r="W829" s="140" t="s">
        <v>47</v>
      </c>
      <c r="X829" s="140"/>
    </row>
    <row r="830" spans="1:24" ht="18.75" customHeight="1">
      <c r="A830" s="140" t="s">
        <v>59</v>
      </c>
      <c r="B830" s="140" t="s">
        <v>41</v>
      </c>
      <c r="C830" s="140" t="e">
        <f>'[9]LUONG T7'!Q70</f>
        <v>#REF!</v>
      </c>
      <c r="D830" s="140" t="s">
        <v>60</v>
      </c>
      <c r="E830" s="304" t="s">
        <v>61</v>
      </c>
      <c r="F830" s="304"/>
      <c r="G830" s="304"/>
      <c r="H830" s="140" t="s">
        <v>41</v>
      </c>
      <c r="I830" s="304" t="e">
        <f>I826/C826/8*C830</f>
        <v>#DIV/0!</v>
      </c>
      <c r="J830" s="304"/>
      <c r="K830" s="140" t="s">
        <v>47</v>
      </c>
      <c r="L830" s="140" t="e">
        <f>F823*C830/L816/8*1.5</f>
        <v>#REF!</v>
      </c>
      <c r="M830" s="140" t="s">
        <v>59</v>
      </c>
      <c r="N830" s="140" t="s">
        <v>41</v>
      </c>
      <c r="O830" s="140" t="e">
        <f>'[9]LUONG T7'!Q72</f>
        <v>#REF!</v>
      </c>
      <c r="P830" s="140" t="s">
        <v>60</v>
      </c>
      <c r="Q830" s="304" t="s">
        <v>61</v>
      </c>
      <c r="R830" s="304"/>
      <c r="S830" s="304"/>
      <c r="T830" s="140" t="s">
        <v>41</v>
      </c>
      <c r="U830" s="304" t="e">
        <f>U826/O826/8*O830</f>
        <v>#DIV/0!</v>
      </c>
      <c r="V830" s="304"/>
      <c r="W830" s="140" t="s">
        <v>47</v>
      </c>
      <c r="X830" s="140" t="e">
        <f>R823*O830/X816/8*1.5</f>
        <v>#REF!</v>
      </c>
    </row>
    <row r="831" spans="1:24" ht="18.75" customHeight="1">
      <c r="A831" s="304" t="s">
        <v>62</v>
      </c>
      <c r="B831" s="304"/>
      <c r="C831" s="140"/>
      <c r="D831" s="140" t="s">
        <v>51</v>
      </c>
      <c r="E831" s="304" t="s">
        <v>63</v>
      </c>
      <c r="F831" s="304"/>
      <c r="G831" s="304"/>
      <c r="H831" s="140" t="s">
        <v>41</v>
      </c>
      <c r="I831" s="304"/>
      <c r="J831" s="304"/>
      <c r="K831" s="140" t="s">
        <v>47</v>
      </c>
      <c r="L831" s="140"/>
      <c r="M831" s="304" t="s">
        <v>62</v>
      </c>
      <c r="N831" s="304"/>
      <c r="O831" s="140"/>
      <c r="P831" s="140" t="s">
        <v>51</v>
      </c>
      <c r="Q831" s="304" t="s">
        <v>63</v>
      </c>
      <c r="R831" s="304"/>
      <c r="S831" s="304"/>
      <c r="T831" s="140" t="s">
        <v>41</v>
      </c>
      <c r="U831" s="304"/>
      <c r="V831" s="304"/>
      <c r="W831" s="140" t="s">
        <v>47</v>
      </c>
      <c r="X831" s="140"/>
    </row>
    <row r="832" spans="1:24" ht="18.75" customHeight="1">
      <c r="A832" s="140" t="s">
        <v>64</v>
      </c>
      <c r="B832" s="140" t="s">
        <v>41</v>
      </c>
      <c r="C832" s="140"/>
      <c r="D832" s="140" t="s">
        <v>51</v>
      </c>
      <c r="E832" s="304" t="s">
        <v>65</v>
      </c>
      <c r="F832" s="304"/>
      <c r="G832" s="304"/>
      <c r="H832" s="140" t="s">
        <v>41</v>
      </c>
      <c r="I832" s="304"/>
      <c r="J832" s="304"/>
      <c r="K832" s="140" t="s">
        <v>47</v>
      </c>
      <c r="L832" s="140"/>
      <c r="M832" s="140" t="s">
        <v>64</v>
      </c>
      <c r="N832" s="140" t="s">
        <v>41</v>
      </c>
      <c r="O832" s="140"/>
      <c r="P832" s="140" t="s">
        <v>51</v>
      </c>
      <c r="Q832" s="304" t="s">
        <v>65</v>
      </c>
      <c r="R832" s="304"/>
      <c r="S832" s="304"/>
      <c r="T832" s="140" t="s">
        <v>41</v>
      </c>
      <c r="U832" s="304"/>
      <c r="V832" s="304"/>
      <c r="W832" s="140" t="s">
        <v>47</v>
      </c>
      <c r="X832" s="140"/>
    </row>
    <row r="833" spans="1:24" ht="18.75" customHeight="1">
      <c r="A833" s="140" t="s">
        <v>66</v>
      </c>
      <c r="B833" s="140"/>
      <c r="C833" s="140" t="e">
        <f>'[9]LUONG T7'!M70</f>
        <v>#REF!</v>
      </c>
      <c r="D833" s="140" t="s">
        <v>60</v>
      </c>
      <c r="E833" s="304" t="s">
        <v>67</v>
      </c>
      <c r="F833" s="304"/>
      <c r="G833" s="304"/>
      <c r="H833" s="140" t="s">
        <v>41</v>
      </c>
      <c r="I833" s="304" t="e">
        <f>$F$8*C833/8/$L$1</f>
        <v>#REF!</v>
      </c>
      <c r="J833" s="304"/>
      <c r="K833" s="140" t="s">
        <v>47</v>
      </c>
      <c r="L833" s="140"/>
      <c r="M833" s="140" t="s">
        <v>66</v>
      </c>
      <c r="N833" s="140"/>
      <c r="O833" s="140" t="e">
        <f>'[9]LUONG T7'!M72</f>
        <v>#REF!</v>
      </c>
      <c r="P833" s="140" t="s">
        <v>60</v>
      </c>
      <c r="Q833" s="304" t="s">
        <v>67</v>
      </c>
      <c r="R833" s="304"/>
      <c r="S833" s="304"/>
      <c r="T833" s="140" t="s">
        <v>41</v>
      </c>
      <c r="U833" s="304" t="e">
        <f>$F$8*O833/8/$L$1</f>
        <v>#REF!</v>
      </c>
      <c r="V833" s="304"/>
      <c r="W833" s="140" t="s">
        <v>47</v>
      </c>
      <c r="X833" s="140"/>
    </row>
    <row r="834" spans="1:24" ht="18.75" customHeight="1">
      <c r="A834" s="140" t="s">
        <v>68</v>
      </c>
      <c r="B834" s="140" t="s">
        <v>41</v>
      </c>
      <c r="C834" s="140"/>
      <c r="D834" s="140" t="s">
        <v>60</v>
      </c>
      <c r="E834" s="304" t="s">
        <v>92</v>
      </c>
      <c r="F834" s="304"/>
      <c r="G834" s="304"/>
      <c r="H834" s="140" t="s">
        <v>41</v>
      </c>
      <c r="I834" s="304"/>
      <c r="J834" s="304"/>
      <c r="K834" s="140" t="s">
        <v>47</v>
      </c>
      <c r="L834" s="140"/>
      <c r="M834" s="140" t="s">
        <v>68</v>
      </c>
      <c r="N834" s="140" t="s">
        <v>41</v>
      </c>
      <c r="O834" s="140"/>
      <c r="P834" s="140" t="s">
        <v>60</v>
      </c>
      <c r="Q834" s="304" t="s">
        <v>92</v>
      </c>
      <c r="R834" s="304"/>
      <c r="S834" s="304"/>
      <c r="T834" s="140" t="s">
        <v>41</v>
      </c>
      <c r="U834" s="304"/>
      <c r="V834" s="304"/>
      <c r="W834" s="140" t="s">
        <v>47</v>
      </c>
      <c r="X834" s="140"/>
    </row>
    <row r="835" spans="1:24" ht="18.75" customHeight="1">
      <c r="A835" s="140" t="s">
        <v>70</v>
      </c>
      <c r="B835" s="140" t="s">
        <v>41</v>
      </c>
      <c r="C835" s="140"/>
      <c r="D835" s="140" t="s">
        <v>71</v>
      </c>
      <c r="E835" s="140" t="s">
        <v>72</v>
      </c>
      <c r="F835" s="140"/>
      <c r="G835" s="140"/>
      <c r="H835" s="140" t="s">
        <v>41</v>
      </c>
      <c r="I835" s="304"/>
      <c r="J835" s="304"/>
      <c r="K835" s="140" t="s">
        <v>47</v>
      </c>
      <c r="L835" s="140" t="e">
        <f>+IF(L826-I826&lt;0,0,L826-I826)+IF(L830-I830&lt;0,0,L830-I830)</f>
        <v>#REF!</v>
      </c>
      <c r="M835" s="140" t="s">
        <v>70</v>
      </c>
      <c r="N835" s="140" t="s">
        <v>41</v>
      </c>
      <c r="O835" s="140"/>
      <c r="P835" s="140" t="s">
        <v>71</v>
      </c>
      <c r="Q835" s="140" t="s">
        <v>72</v>
      </c>
      <c r="R835" s="140"/>
      <c r="S835" s="140"/>
      <c r="T835" s="140" t="s">
        <v>41</v>
      </c>
      <c r="U835" s="304"/>
      <c r="V835" s="304"/>
      <c r="W835" s="140" t="s">
        <v>47</v>
      </c>
      <c r="X835" s="140" t="e">
        <f>+IF(X826-U826&lt;0,0,X826-U826)+IF(X830-U830&lt;0,0,X830-U830)</f>
        <v>#REF!</v>
      </c>
    </row>
    <row r="836" spans="1:24" ht="18.75" customHeight="1">
      <c r="A836" s="140" t="s">
        <v>117</v>
      </c>
      <c r="B836" s="140"/>
      <c r="C836" s="140"/>
      <c r="D836" s="140" t="s">
        <v>51</v>
      </c>
      <c r="E836" s="304" t="s">
        <v>118</v>
      </c>
      <c r="F836" s="304"/>
      <c r="G836" s="304"/>
      <c r="H836" s="140" t="s">
        <v>41</v>
      </c>
      <c r="I836" s="304"/>
      <c r="J836" s="304"/>
      <c r="K836" s="140" t="s">
        <v>47</v>
      </c>
      <c r="L836" s="140"/>
      <c r="M836" s="140" t="s">
        <v>117</v>
      </c>
      <c r="N836" s="140"/>
      <c r="O836" s="140"/>
      <c r="P836" s="140" t="s">
        <v>51</v>
      </c>
      <c r="Q836" s="304" t="s">
        <v>118</v>
      </c>
      <c r="R836" s="304"/>
      <c r="S836" s="304"/>
      <c r="T836" s="140" t="s">
        <v>41</v>
      </c>
      <c r="U836" s="304"/>
      <c r="V836" s="304"/>
      <c r="W836" s="140" t="s">
        <v>47</v>
      </c>
      <c r="X836" s="140"/>
    </row>
    <row r="837" spans="1:24" ht="18.75" customHeight="1">
      <c r="A837" s="304" t="s">
        <v>75</v>
      </c>
      <c r="B837" s="304"/>
      <c r="C837" s="140"/>
      <c r="D837" s="140"/>
      <c r="E837" s="140"/>
      <c r="F837" s="140"/>
      <c r="G837" s="140"/>
      <c r="H837" s="140" t="s">
        <v>41</v>
      </c>
      <c r="I837" s="304" t="e">
        <f>'[9]LUONG T7'!P71</f>
        <v>#REF!</v>
      </c>
      <c r="J837" s="304"/>
      <c r="K837" s="140" t="s">
        <v>47</v>
      </c>
      <c r="L837" s="140"/>
      <c r="M837" s="304" t="s">
        <v>75</v>
      </c>
      <c r="N837" s="304"/>
      <c r="O837" s="140"/>
      <c r="P837" s="140"/>
      <c r="Q837" s="140"/>
      <c r="R837" s="140"/>
      <c r="S837" s="140"/>
      <c r="T837" s="140" t="s">
        <v>41</v>
      </c>
      <c r="U837" s="304" t="e">
        <f>'[9]LUONG T7'!P73</f>
        <v>#REF!</v>
      </c>
      <c r="V837" s="304"/>
      <c r="W837" s="140" t="s">
        <v>47</v>
      </c>
      <c r="X837" s="140"/>
    </row>
    <row r="838" spans="1:24" ht="18.75" customHeight="1">
      <c r="A838" s="140" t="s">
        <v>76</v>
      </c>
      <c r="B838" s="140" t="s">
        <v>41</v>
      </c>
      <c r="C838" s="140"/>
      <c r="D838" s="140"/>
      <c r="E838" s="140" t="s">
        <v>77</v>
      </c>
      <c r="F838" s="140"/>
      <c r="G838" s="140"/>
      <c r="H838" s="140" t="s">
        <v>41</v>
      </c>
      <c r="I838" s="304" t="e">
        <f>L835</f>
        <v>#REF!</v>
      </c>
      <c r="J838" s="304"/>
      <c r="K838" s="140" t="s">
        <v>47</v>
      </c>
      <c r="L838" s="140"/>
      <c r="M838" s="140" t="s">
        <v>76</v>
      </c>
      <c r="N838" s="140" t="s">
        <v>41</v>
      </c>
      <c r="O838" s="140"/>
      <c r="P838" s="140"/>
      <c r="Q838" s="140" t="s">
        <v>77</v>
      </c>
      <c r="R838" s="140"/>
      <c r="S838" s="140"/>
      <c r="T838" s="140" t="s">
        <v>41</v>
      </c>
      <c r="U838" s="304" t="e">
        <f>X835</f>
        <v>#REF!</v>
      </c>
      <c r="V838" s="304"/>
      <c r="W838" s="140" t="s">
        <v>47</v>
      </c>
      <c r="X838" s="140"/>
    </row>
    <row r="839" spans="1:24" ht="18.75" customHeight="1">
      <c r="A839" s="304" t="s">
        <v>78</v>
      </c>
      <c r="B839" s="304"/>
      <c r="C839" s="304"/>
      <c r="D839" s="304"/>
      <c r="E839" s="304"/>
      <c r="F839" s="304"/>
      <c r="G839" s="140" t="s">
        <v>41</v>
      </c>
      <c r="H839" s="304" t="e">
        <f>I826+I827+I828+I829+I830+I833+I837+I838</f>
        <v>#REF!</v>
      </c>
      <c r="I839" s="304"/>
      <c r="J839" s="304"/>
      <c r="K839" s="140" t="s">
        <v>47</v>
      </c>
      <c r="M839" s="304" t="s">
        <v>78</v>
      </c>
      <c r="N839" s="304"/>
      <c r="O839" s="304"/>
      <c r="P839" s="304"/>
      <c r="Q839" s="304"/>
      <c r="R839" s="304"/>
      <c r="S839" s="140" t="s">
        <v>41</v>
      </c>
      <c r="T839" s="304" t="e">
        <f>U826+U827+U828+U829+U830+U833+U837+U838</f>
        <v>#REF!</v>
      </c>
      <c r="U839" s="304"/>
      <c r="V839" s="304"/>
      <c r="W839" s="140" t="s">
        <v>47</v>
      </c>
    </row>
    <row r="840" spans="1:24" ht="18.75" customHeight="1">
      <c r="A840" s="140"/>
      <c r="B840" s="140"/>
      <c r="C840" s="140"/>
      <c r="D840" s="140"/>
      <c r="E840" s="140"/>
      <c r="F840" s="140"/>
      <c r="G840" s="140"/>
      <c r="H840" s="140"/>
      <c r="I840" s="140"/>
      <c r="J840" s="140"/>
      <c r="K840" s="140"/>
      <c r="M840" s="140"/>
      <c r="N840" s="140"/>
      <c r="O840" s="140"/>
      <c r="P840" s="140"/>
      <c r="Q840" s="140"/>
      <c r="R840" s="140"/>
      <c r="S840" s="140"/>
      <c r="T840" s="140"/>
      <c r="U840" s="140"/>
      <c r="V840" s="140"/>
      <c r="W840" s="140"/>
    </row>
    <row r="841" spans="1:24" ht="18.75" customHeight="1">
      <c r="A841" s="304" t="s">
        <v>79</v>
      </c>
      <c r="B841" s="304"/>
      <c r="C841" s="304"/>
      <c r="D841" s="304"/>
      <c r="E841" s="304"/>
      <c r="F841" s="304"/>
      <c r="G841" s="140"/>
      <c r="H841" s="140"/>
      <c r="I841" s="140"/>
      <c r="J841" s="140"/>
      <c r="K841" s="140"/>
      <c r="M841" s="304" t="s">
        <v>79</v>
      </c>
      <c r="N841" s="304"/>
      <c r="O841" s="304"/>
      <c r="P841" s="304"/>
      <c r="Q841" s="304"/>
      <c r="R841" s="304"/>
      <c r="S841" s="140"/>
      <c r="T841" s="140"/>
      <c r="U841" s="140"/>
      <c r="V841" s="140"/>
      <c r="W841" s="140"/>
    </row>
    <row r="842" spans="1:24" ht="18.75" customHeight="1">
      <c r="A842" s="304" t="s">
        <v>80</v>
      </c>
      <c r="B842" s="304"/>
      <c r="C842" s="304"/>
      <c r="D842" s="304"/>
      <c r="E842" s="304"/>
      <c r="F842" s="304"/>
      <c r="G842" s="140" t="s">
        <v>41</v>
      </c>
      <c r="H842" s="304" t="e">
        <f>IF(($L$1-(C826+C827+C828+C829))&gt;12,0,F823*8%)</f>
        <v>#REF!</v>
      </c>
      <c r="I842" s="304"/>
      <c r="J842" s="304"/>
      <c r="K842" s="140" t="s">
        <v>47</v>
      </c>
      <c r="M842" s="304" t="s">
        <v>80</v>
      </c>
      <c r="N842" s="304"/>
      <c r="O842" s="304"/>
      <c r="P842" s="304"/>
      <c r="Q842" s="304"/>
      <c r="R842" s="304"/>
      <c r="S842" s="140" t="s">
        <v>41</v>
      </c>
      <c r="T842" s="304" t="e">
        <f>IF(($L$1-(O826+O827+O828+O829))&gt;12,0,R823*8%)</f>
        <v>#REF!</v>
      </c>
      <c r="U842" s="304"/>
      <c r="V842" s="304"/>
      <c r="W842" s="140" t="s">
        <v>47</v>
      </c>
    </row>
    <row r="843" spans="1:24" ht="18.75" customHeight="1">
      <c r="A843" s="304" t="s">
        <v>81</v>
      </c>
      <c r="B843" s="304"/>
      <c r="C843" s="304"/>
      <c r="D843" s="304"/>
      <c r="E843" s="304"/>
      <c r="F843" s="304"/>
      <c r="G843" s="140" t="s">
        <v>41</v>
      </c>
      <c r="H843" s="304" t="e">
        <f>IF(($L$1-(C826+C827+C828+C829))&gt;12,0,F823*1.5%)</f>
        <v>#REF!</v>
      </c>
      <c r="I843" s="304"/>
      <c r="J843" s="304"/>
      <c r="K843" s="140" t="s">
        <v>47</v>
      </c>
      <c r="M843" s="304" t="s">
        <v>81</v>
      </c>
      <c r="N843" s="304"/>
      <c r="O843" s="304"/>
      <c r="P843" s="304"/>
      <c r="Q843" s="304"/>
      <c r="R843" s="304"/>
      <c r="S843" s="140" t="s">
        <v>41</v>
      </c>
      <c r="T843" s="304" t="e">
        <f>IF(($L$1-(O826+O827+O828+O829))&gt;12,0,R823*1.5%)</f>
        <v>#REF!</v>
      </c>
      <c r="U843" s="304"/>
      <c r="V843" s="304"/>
      <c r="W843" s="140" t="s">
        <v>47</v>
      </c>
    </row>
    <row r="844" spans="1:24" ht="18.75" customHeight="1">
      <c r="A844" s="304" t="s">
        <v>82</v>
      </c>
      <c r="B844" s="304"/>
      <c r="C844" s="304"/>
      <c r="D844" s="304"/>
      <c r="E844" s="304"/>
      <c r="F844" s="304"/>
      <c r="G844" s="140" t="s">
        <v>41</v>
      </c>
      <c r="H844" s="304" t="e">
        <f>IF(($L$1-(C826+C827+C828+C829))&gt;12,0,F823*1%)</f>
        <v>#REF!</v>
      </c>
      <c r="I844" s="304"/>
      <c r="J844" s="304"/>
      <c r="K844" s="140" t="s">
        <v>47</v>
      </c>
      <c r="M844" s="304" t="s">
        <v>82</v>
      </c>
      <c r="N844" s="304"/>
      <c r="O844" s="304"/>
      <c r="P844" s="304"/>
      <c r="Q844" s="304"/>
      <c r="R844" s="304"/>
      <c r="S844" s="140" t="s">
        <v>41</v>
      </c>
      <c r="T844" s="304" t="e">
        <f>IF(($L$1-(O826+O827+O828+O829))&gt;12,0,R823*1%)</f>
        <v>#REF!</v>
      </c>
      <c r="U844" s="304"/>
      <c r="V844" s="304"/>
      <c r="W844" s="140" t="s">
        <v>47</v>
      </c>
    </row>
    <row r="845" spans="1:24" ht="18.75" customHeight="1">
      <c r="A845" s="304" t="s">
        <v>83</v>
      </c>
      <c r="B845" s="304"/>
      <c r="C845" s="304"/>
      <c r="D845" s="304"/>
      <c r="E845" s="304"/>
      <c r="F845" s="304"/>
      <c r="G845" s="140" t="s">
        <v>41</v>
      </c>
      <c r="H845" s="304">
        <v>0</v>
      </c>
      <c r="I845" s="304"/>
      <c r="J845" s="304"/>
      <c r="K845" s="140" t="s">
        <v>47</v>
      </c>
      <c r="M845" s="304" t="s">
        <v>83</v>
      </c>
      <c r="N845" s="304"/>
      <c r="O845" s="304"/>
      <c r="P845" s="304"/>
      <c r="Q845" s="304"/>
      <c r="R845" s="304"/>
      <c r="S845" s="140" t="s">
        <v>41</v>
      </c>
      <c r="T845" s="304">
        <v>0</v>
      </c>
      <c r="U845" s="304"/>
      <c r="V845" s="304"/>
      <c r="W845" s="140" t="s">
        <v>47</v>
      </c>
    </row>
    <row r="846" spans="1:24" ht="18.75" customHeight="1">
      <c r="A846" s="304" t="s">
        <v>84</v>
      </c>
      <c r="B846" s="304"/>
      <c r="C846" s="304"/>
      <c r="D846" s="304"/>
      <c r="E846" s="304"/>
      <c r="F846" s="304"/>
      <c r="G846" s="140" t="s">
        <v>41</v>
      </c>
      <c r="H846" s="304" t="e">
        <f>SUM(H842:J845)</f>
        <v>#REF!</v>
      </c>
      <c r="I846" s="304"/>
      <c r="J846" s="304"/>
      <c r="K846" s="140" t="s">
        <v>47</v>
      </c>
      <c r="M846" s="304" t="s">
        <v>84</v>
      </c>
      <c r="N846" s="304"/>
      <c r="O846" s="304"/>
      <c r="P846" s="304"/>
      <c r="Q846" s="304"/>
      <c r="R846" s="304"/>
      <c r="S846" s="140" t="s">
        <v>41</v>
      </c>
      <c r="T846" s="304" t="e">
        <f>SUM(T842:V845)</f>
        <v>#REF!</v>
      </c>
      <c r="U846" s="304"/>
      <c r="V846" s="304"/>
      <c r="W846" s="140" t="s">
        <v>47</v>
      </c>
    </row>
    <row r="847" spans="1:24" ht="18.75" customHeight="1">
      <c r="A847" s="304" t="s">
        <v>85</v>
      </c>
      <c r="B847" s="304"/>
      <c r="C847" s="304"/>
      <c r="D847" s="304"/>
      <c r="E847" s="304"/>
      <c r="F847" s="304"/>
      <c r="G847" s="140" t="s">
        <v>41</v>
      </c>
      <c r="H847" s="304" t="e">
        <f>ROUND(H839-H846,-2)</f>
        <v>#REF!</v>
      </c>
      <c r="I847" s="304"/>
      <c r="J847" s="304"/>
      <c r="K847" s="140" t="s">
        <v>47</v>
      </c>
      <c r="M847" s="304" t="s">
        <v>85</v>
      </c>
      <c r="N847" s="304"/>
      <c r="O847" s="304"/>
      <c r="P847" s="304"/>
      <c r="Q847" s="304"/>
      <c r="R847" s="304"/>
      <c r="S847" s="140" t="s">
        <v>41</v>
      </c>
      <c r="T847" s="304" t="e">
        <f>ROUND(T839-T846,-2)</f>
        <v>#REF!</v>
      </c>
      <c r="U847" s="304"/>
      <c r="V847" s="304"/>
      <c r="W847" s="140" t="s">
        <v>47</v>
      </c>
    </row>
    <row r="848" spans="1:24" ht="18.75" customHeight="1">
      <c r="A848" s="140"/>
      <c r="B848" s="140"/>
      <c r="C848" s="140"/>
      <c r="D848" s="140"/>
      <c r="E848" s="140"/>
      <c r="F848" s="140"/>
      <c r="G848" s="140"/>
      <c r="H848" s="140"/>
      <c r="I848" s="140"/>
      <c r="J848" s="140"/>
      <c r="K848" s="140"/>
      <c r="M848" s="140"/>
      <c r="N848" s="140"/>
      <c r="O848" s="140"/>
      <c r="P848" s="140"/>
      <c r="Q848" s="140"/>
      <c r="R848" s="140"/>
      <c r="S848" s="140"/>
      <c r="T848" s="140"/>
      <c r="U848" s="140"/>
      <c r="V848" s="140"/>
      <c r="W848" s="140"/>
    </row>
    <row r="849" spans="1:24" ht="18.75" customHeight="1">
      <c r="A849" s="140"/>
      <c r="B849" s="140"/>
      <c r="C849" s="140"/>
      <c r="D849" s="140"/>
      <c r="E849" s="140"/>
      <c r="F849" s="140"/>
      <c r="G849" s="140"/>
      <c r="H849" s="140"/>
      <c r="I849" s="304" t="s">
        <v>86</v>
      </c>
      <c r="J849" s="304"/>
      <c r="K849" s="304"/>
      <c r="M849" s="140"/>
      <c r="N849" s="140"/>
      <c r="O849" s="140"/>
      <c r="P849" s="140"/>
      <c r="Q849" s="140"/>
      <c r="R849" s="140"/>
      <c r="S849" s="140"/>
      <c r="T849" s="140"/>
      <c r="U849" s="304" t="s">
        <v>86</v>
      </c>
      <c r="V849" s="304"/>
      <c r="W849" s="304"/>
    </row>
    <row r="850" spans="1:24" ht="18.75" customHeight="1">
      <c r="A850" s="140"/>
      <c r="B850" s="304"/>
      <c r="C850" s="304"/>
      <c r="D850" s="304"/>
      <c r="E850" s="304"/>
      <c r="F850" s="140"/>
      <c r="G850" s="140"/>
      <c r="H850" s="140"/>
      <c r="I850" s="140"/>
      <c r="J850" s="140"/>
      <c r="K850" s="140"/>
      <c r="M850" s="140"/>
      <c r="N850" s="304"/>
      <c r="O850" s="304"/>
      <c r="P850" s="304"/>
      <c r="Q850" s="304"/>
      <c r="R850" s="140"/>
      <c r="S850" s="140"/>
      <c r="T850" s="140"/>
      <c r="U850" s="140"/>
      <c r="V850" s="140"/>
      <c r="W850" s="140"/>
    </row>
    <row r="851" spans="1:24" ht="18.75" customHeight="1">
      <c r="A851" s="140"/>
      <c r="B851" s="140"/>
      <c r="C851" s="140"/>
      <c r="D851" s="140"/>
      <c r="E851" s="140"/>
      <c r="F851" s="140"/>
      <c r="G851" s="140"/>
      <c r="H851" s="140"/>
      <c r="I851" s="304" t="s">
        <v>87</v>
      </c>
      <c r="J851" s="304"/>
      <c r="K851" s="304"/>
      <c r="M851" s="140"/>
      <c r="N851" s="140"/>
      <c r="O851" s="140"/>
      <c r="P851" s="140"/>
      <c r="Q851" s="140"/>
      <c r="R851" s="140"/>
      <c r="S851" s="140"/>
      <c r="T851" s="140"/>
      <c r="U851" s="304" t="s">
        <v>87</v>
      </c>
      <c r="V851" s="304"/>
      <c r="W851" s="304"/>
    </row>
    <row r="853" spans="1:24" ht="18.75" customHeight="1">
      <c r="A853" s="304" t="s">
        <v>35</v>
      </c>
      <c r="B853" s="304"/>
      <c r="C853" s="304"/>
      <c r="D853" s="304"/>
      <c r="E853" s="304"/>
      <c r="F853" s="304"/>
      <c r="G853" s="304"/>
      <c r="H853" s="304"/>
      <c r="I853" s="304"/>
      <c r="J853" s="304"/>
      <c r="K853" s="304"/>
      <c r="L853" s="140">
        <v>24</v>
      </c>
      <c r="M853" s="304" t="s">
        <v>35</v>
      </c>
      <c r="N853" s="304"/>
      <c r="O853" s="304"/>
      <c r="P853" s="304"/>
      <c r="Q853" s="304"/>
      <c r="R853" s="304"/>
      <c r="S853" s="304"/>
      <c r="T853" s="304"/>
      <c r="U853" s="304"/>
      <c r="V853" s="304"/>
      <c r="W853" s="304"/>
      <c r="X853" s="140">
        <v>24</v>
      </c>
    </row>
    <row r="854" spans="1:24" ht="18.75" customHeight="1">
      <c r="A854" s="140" t="s">
        <v>149</v>
      </c>
      <c r="B854" s="140"/>
      <c r="C854" s="140"/>
      <c r="D854" s="140"/>
      <c r="E854" s="140"/>
      <c r="F854" s="140"/>
      <c r="G854" s="140"/>
      <c r="H854" s="140"/>
      <c r="I854" s="140"/>
      <c r="J854" s="140"/>
      <c r="K854" s="140"/>
      <c r="M854" s="140" t="s">
        <v>150</v>
      </c>
      <c r="N854" s="140"/>
      <c r="O854" s="140"/>
      <c r="P854" s="140"/>
      <c r="Q854" s="140"/>
      <c r="R854" s="140"/>
      <c r="S854" s="140"/>
      <c r="T854" s="140"/>
      <c r="U854" s="140"/>
      <c r="V854" s="140"/>
      <c r="W854" s="140"/>
    </row>
    <row r="855" spans="1:24" ht="18.75" customHeight="1">
      <c r="A855" s="304" t="s">
        <v>39</v>
      </c>
      <c r="B855" s="304"/>
      <c r="C855" s="304"/>
      <c r="D855" s="304"/>
      <c r="E855" s="304"/>
      <c r="F855" s="304"/>
      <c r="G855" s="304"/>
      <c r="H855" s="304"/>
      <c r="I855" s="304"/>
      <c r="J855" s="304"/>
      <c r="K855" s="304"/>
      <c r="M855" s="304" t="s">
        <v>39</v>
      </c>
      <c r="N855" s="304"/>
      <c r="O855" s="304"/>
      <c r="P855" s="304"/>
      <c r="Q855" s="304"/>
      <c r="R855" s="304"/>
      <c r="S855" s="304"/>
      <c r="T855" s="304"/>
      <c r="U855" s="304"/>
      <c r="V855" s="304"/>
      <c r="W855" s="304"/>
    </row>
    <row r="856" spans="1:24" ht="18.75" customHeight="1">
      <c r="A856" s="304" t="s">
        <v>40</v>
      </c>
      <c r="B856" s="304"/>
      <c r="C856" s="304"/>
      <c r="D856" s="304"/>
      <c r="E856" s="140" t="s">
        <v>41</v>
      </c>
      <c r="F856" s="304" t="e">
        <f>'[9]Bang TH nop'!B95</f>
        <v>#REF!</v>
      </c>
      <c r="G856" s="304"/>
      <c r="H856" s="304"/>
      <c r="I856" s="304"/>
      <c r="J856" s="304"/>
      <c r="K856" s="304"/>
      <c r="M856" s="304" t="s">
        <v>40</v>
      </c>
      <c r="N856" s="304"/>
      <c r="O856" s="304"/>
      <c r="P856" s="304"/>
      <c r="Q856" s="140" t="s">
        <v>41</v>
      </c>
      <c r="R856" s="304"/>
      <c r="S856" s="304"/>
      <c r="T856" s="304"/>
      <c r="U856" s="304"/>
      <c r="V856" s="304"/>
      <c r="W856" s="304"/>
    </row>
    <row r="857" spans="1:24" ht="18.75" customHeight="1">
      <c r="A857" s="304" t="s">
        <v>43</v>
      </c>
      <c r="B857" s="304"/>
      <c r="C857" s="304"/>
      <c r="D857" s="304"/>
      <c r="E857" s="140" t="s">
        <v>41</v>
      </c>
      <c r="F857" s="304" t="e">
        <f>'[9]Bang TH nop'!C95</f>
        <v>#REF!</v>
      </c>
      <c r="G857" s="304"/>
      <c r="H857" s="304"/>
      <c r="I857" s="304"/>
      <c r="J857" s="304"/>
      <c r="K857" s="304"/>
      <c r="M857" s="304" t="s">
        <v>43</v>
      </c>
      <c r="N857" s="304"/>
      <c r="O857" s="304"/>
      <c r="P857" s="304"/>
      <c r="Q857" s="140" t="s">
        <v>41</v>
      </c>
      <c r="R857" s="304"/>
      <c r="S857" s="304"/>
      <c r="T857" s="304"/>
      <c r="U857" s="304"/>
      <c r="V857" s="304"/>
      <c r="W857" s="304"/>
    </row>
    <row r="858" spans="1:24" ht="18.75" customHeight="1">
      <c r="A858" s="304" t="s">
        <v>44</v>
      </c>
      <c r="B858" s="304"/>
      <c r="C858" s="304"/>
      <c r="D858" s="304"/>
      <c r="E858" s="140" t="s">
        <v>41</v>
      </c>
      <c r="F858" s="304" t="s">
        <v>116</v>
      </c>
      <c r="G858" s="304"/>
      <c r="H858" s="304"/>
      <c r="I858" s="304"/>
      <c r="J858" s="304"/>
      <c r="K858" s="304"/>
      <c r="M858" s="304" t="s">
        <v>44</v>
      </c>
      <c r="N858" s="304"/>
      <c r="O858" s="304"/>
      <c r="P858" s="304"/>
      <c r="Q858" s="140" t="s">
        <v>41</v>
      </c>
      <c r="R858" s="304" t="s">
        <v>116</v>
      </c>
      <c r="S858" s="304"/>
      <c r="T858" s="304"/>
      <c r="U858" s="304"/>
      <c r="V858" s="304"/>
      <c r="W858" s="304"/>
    </row>
    <row r="859" spans="1:24" ht="18.75" customHeight="1">
      <c r="A859" s="304" t="s">
        <v>45</v>
      </c>
      <c r="B859" s="304"/>
      <c r="C859" s="304"/>
      <c r="D859" s="304"/>
      <c r="E859" s="304"/>
      <c r="F859" s="304"/>
      <c r="G859" s="304"/>
      <c r="H859" s="304"/>
      <c r="I859" s="304"/>
      <c r="J859" s="304"/>
      <c r="K859" s="304"/>
      <c r="M859" s="304" t="s">
        <v>45</v>
      </c>
      <c r="N859" s="304"/>
      <c r="O859" s="304"/>
      <c r="P859" s="304"/>
      <c r="Q859" s="304"/>
      <c r="R859" s="304"/>
      <c r="S859" s="304"/>
      <c r="T859" s="304"/>
      <c r="U859" s="304"/>
      <c r="V859" s="304"/>
      <c r="W859" s="304"/>
    </row>
    <row r="860" spans="1:24" ht="18.75" customHeight="1">
      <c r="A860" s="304" t="s">
        <v>46</v>
      </c>
      <c r="B860" s="304"/>
      <c r="C860" s="304"/>
      <c r="D860" s="304"/>
      <c r="E860" s="140" t="s">
        <v>41</v>
      </c>
      <c r="F860" s="304">
        <v>2915400</v>
      </c>
      <c r="G860" s="304"/>
      <c r="H860" s="304"/>
      <c r="I860" s="304"/>
      <c r="J860" s="140" t="s">
        <v>47</v>
      </c>
      <c r="K860" s="140"/>
      <c r="M860" s="304" t="s">
        <v>46</v>
      </c>
      <c r="N860" s="304"/>
      <c r="O860" s="304"/>
      <c r="P860" s="304"/>
      <c r="Q860" s="140" t="s">
        <v>41</v>
      </c>
      <c r="R860" s="304">
        <v>2915400</v>
      </c>
      <c r="S860" s="304"/>
      <c r="T860" s="304"/>
      <c r="U860" s="304"/>
      <c r="V860" s="140" t="s">
        <v>47</v>
      </c>
      <c r="W860" s="140"/>
    </row>
    <row r="861" spans="1:24" ht="18.75" customHeight="1">
      <c r="A861" s="140" t="s">
        <v>48</v>
      </c>
      <c r="B861" s="140"/>
      <c r="C861" s="140"/>
      <c r="D861" s="140"/>
      <c r="E861" s="140"/>
      <c r="F861" s="140"/>
      <c r="G861" s="140"/>
      <c r="H861" s="140"/>
      <c r="I861" s="140" t="e">
        <f>'[9]LUONG T7'!F75</f>
        <v>#REF!</v>
      </c>
      <c r="J861" s="140"/>
      <c r="K861" s="140"/>
      <c r="M861" s="140" t="s">
        <v>48</v>
      </c>
      <c r="N861" s="140"/>
      <c r="O861" s="140"/>
      <c r="P861" s="140"/>
      <c r="Q861" s="140"/>
      <c r="R861" s="140"/>
      <c r="S861" s="140"/>
      <c r="T861" s="140"/>
      <c r="U861" s="140"/>
      <c r="V861" s="140"/>
      <c r="W861" s="140"/>
    </row>
    <row r="862" spans="1:24" ht="18.75" customHeight="1">
      <c r="A862" s="140" t="s">
        <v>49</v>
      </c>
      <c r="B862" s="140"/>
      <c r="C862" s="140"/>
      <c r="D862" s="140"/>
      <c r="E862" s="140"/>
      <c r="F862" s="140"/>
      <c r="G862" s="140"/>
      <c r="H862" s="140"/>
      <c r="I862" s="140" t="e">
        <f>I863/C863/8</f>
        <v>#REF!</v>
      </c>
      <c r="J862" s="140"/>
      <c r="K862" s="140"/>
      <c r="M862" s="140" t="s">
        <v>49</v>
      </c>
      <c r="N862" s="140"/>
      <c r="O862" s="140"/>
      <c r="P862" s="140"/>
      <c r="Q862" s="140"/>
      <c r="R862" s="140"/>
      <c r="S862" s="140"/>
      <c r="T862" s="140"/>
      <c r="U862" s="140" t="e">
        <f>U863/O863/8</f>
        <v>#DIV/0!</v>
      </c>
      <c r="V862" s="140"/>
      <c r="W862" s="140"/>
    </row>
    <row r="863" spans="1:24" ht="18.75" customHeight="1">
      <c r="A863" s="140" t="s">
        <v>50</v>
      </c>
      <c r="B863" s="140" t="s">
        <v>41</v>
      </c>
      <c r="C863" s="140" t="e">
        <f>'[9]LUONG T7'!I74</f>
        <v>#REF!</v>
      </c>
      <c r="D863" s="140" t="s">
        <v>51</v>
      </c>
      <c r="E863" s="304" t="s">
        <v>52</v>
      </c>
      <c r="F863" s="304"/>
      <c r="G863" s="304"/>
      <c r="H863" s="140" t="s">
        <v>41</v>
      </c>
      <c r="I863" s="304" t="e">
        <f>I861*680/((C863-C870)*8+C870*7+C867)*((C863-C870)*8+C870*7)</f>
        <v>#REF!</v>
      </c>
      <c r="J863" s="304"/>
      <c r="K863" s="140" t="s">
        <v>47</v>
      </c>
      <c r="L863" s="140" t="e">
        <f>F860/L853*C863</f>
        <v>#REF!</v>
      </c>
      <c r="M863" s="140" t="s">
        <v>50</v>
      </c>
      <c r="N863" s="140" t="s">
        <v>41</v>
      </c>
      <c r="O863" s="140"/>
      <c r="P863" s="140" t="s">
        <v>51</v>
      </c>
      <c r="Q863" s="304" t="s">
        <v>52</v>
      </c>
      <c r="R863" s="304"/>
      <c r="S863" s="304"/>
      <c r="T863" s="140" t="s">
        <v>41</v>
      </c>
      <c r="U863" s="304" t="e">
        <f>U861*680/((O863-O870)*8+O870*7+O867)*((O863-O870)*8+O870*7)</f>
        <v>#DIV/0!</v>
      </c>
      <c r="V863" s="304"/>
      <c r="W863" s="140" t="s">
        <v>47</v>
      </c>
      <c r="X863" s="140">
        <f>R860/X853*O863</f>
        <v>0</v>
      </c>
    </row>
    <row r="864" spans="1:24" ht="18.75" customHeight="1">
      <c r="A864" s="140" t="s">
        <v>53</v>
      </c>
      <c r="B864" s="140" t="s">
        <v>41</v>
      </c>
      <c r="C864" s="140" t="e">
        <f>'[9]LUONG T7'!J74</f>
        <v>#REF!</v>
      </c>
      <c r="D864" s="140" t="s">
        <v>51</v>
      </c>
      <c r="E864" s="304" t="s">
        <v>54</v>
      </c>
      <c r="F864" s="304"/>
      <c r="G864" s="304"/>
      <c r="H864" s="140" t="s">
        <v>41</v>
      </c>
      <c r="I864" s="304" t="e">
        <f>$F$8/$L$1*C864</f>
        <v>#REF!</v>
      </c>
      <c r="J864" s="304"/>
      <c r="K864" s="140" t="s">
        <v>47</v>
      </c>
      <c r="L864" s="140"/>
      <c r="M864" s="140" t="s">
        <v>53</v>
      </c>
      <c r="N864" s="140" t="s">
        <v>41</v>
      </c>
      <c r="O864" s="140"/>
      <c r="P864" s="140" t="s">
        <v>51</v>
      </c>
      <c r="Q864" s="304" t="s">
        <v>54</v>
      </c>
      <c r="R864" s="304"/>
      <c r="S864" s="304"/>
      <c r="T864" s="140" t="s">
        <v>41</v>
      </c>
      <c r="U864" s="304">
        <f>$F$8/$L$1*O864</f>
        <v>0</v>
      </c>
      <c r="V864" s="304"/>
      <c r="W864" s="140" t="s">
        <v>47</v>
      </c>
      <c r="X864" s="140"/>
    </row>
    <row r="865" spans="1:24" ht="18.75" customHeight="1">
      <c r="A865" s="140" t="s">
        <v>55</v>
      </c>
      <c r="B865" s="140" t="s">
        <v>41</v>
      </c>
      <c r="C865" s="140" t="e">
        <f>'[9]LUONG T7'!K74</f>
        <v>#REF!</v>
      </c>
      <c r="D865" s="140" t="s">
        <v>51</v>
      </c>
      <c r="E865" s="304" t="s">
        <v>56</v>
      </c>
      <c r="F865" s="304"/>
      <c r="G865" s="304"/>
      <c r="H865" s="140" t="s">
        <v>41</v>
      </c>
      <c r="I865" s="304" t="e">
        <f>$F$8/$L$1*C865</f>
        <v>#REF!</v>
      </c>
      <c r="J865" s="304"/>
      <c r="K865" s="140" t="s">
        <v>47</v>
      </c>
      <c r="L865" s="140"/>
      <c r="M865" s="140" t="s">
        <v>55</v>
      </c>
      <c r="N865" s="140" t="s">
        <v>41</v>
      </c>
      <c r="O865" s="140"/>
      <c r="P865" s="140" t="s">
        <v>51</v>
      </c>
      <c r="Q865" s="304" t="s">
        <v>56</v>
      </c>
      <c r="R865" s="304"/>
      <c r="S865" s="304"/>
      <c r="T865" s="140" t="s">
        <v>41</v>
      </c>
      <c r="U865" s="304">
        <f>$F$8/$L$1*O865</f>
        <v>0</v>
      </c>
      <c r="V865" s="304"/>
      <c r="W865" s="140" t="s">
        <v>47</v>
      </c>
      <c r="X865" s="140"/>
    </row>
    <row r="866" spans="1:24" ht="18.75" customHeight="1">
      <c r="A866" s="140" t="s">
        <v>57</v>
      </c>
      <c r="B866" s="140" t="s">
        <v>41</v>
      </c>
      <c r="C866" s="140" t="e">
        <f>'[9]LUONG T7'!L74</f>
        <v>#REF!</v>
      </c>
      <c r="D866" s="140" t="s">
        <v>51</v>
      </c>
      <c r="E866" s="304" t="s">
        <v>58</v>
      </c>
      <c r="F866" s="304"/>
      <c r="G866" s="304"/>
      <c r="H866" s="140" t="s">
        <v>41</v>
      </c>
      <c r="I866" s="304" t="e">
        <f>$F$8/$L$1*C866</f>
        <v>#REF!</v>
      </c>
      <c r="J866" s="304"/>
      <c r="K866" s="140" t="s">
        <v>47</v>
      </c>
      <c r="L866" s="140"/>
      <c r="M866" s="140" t="s">
        <v>57</v>
      </c>
      <c r="N866" s="140" t="s">
        <v>41</v>
      </c>
      <c r="O866" s="140"/>
      <c r="P866" s="140" t="s">
        <v>51</v>
      </c>
      <c r="Q866" s="304" t="s">
        <v>58</v>
      </c>
      <c r="R866" s="304"/>
      <c r="S866" s="304"/>
      <c r="T866" s="140" t="s">
        <v>41</v>
      </c>
      <c r="U866" s="304">
        <f>$F$8/$L$1*O866</f>
        <v>0</v>
      </c>
      <c r="V866" s="304"/>
      <c r="W866" s="140" t="s">
        <v>47</v>
      </c>
      <c r="X866" s="140"/>
    </row>
    <row r="867" spans="1:24" ht="18.75" customHeight="1">
      <c r="A867" s="140" t="s">
        <v>59</v>
      </c>
      <c r="B867" s="140" t="s">
        <v>41</v>
      </c>
      <c r="C867" s="140" t="e">
        <f>'[9]LUONG T7'!Q74</f>
        <v>#REF!</v>
      </c>
      <c r="D867" s="140" t="s">
        <v>60</v>
      </c>
      <c r="E867" s="304" t="s">
        <v>61</v>
      </c>
      <c r="F867" s="304"/>
      <c r="G867" s="304"/>
      <c r="H867" s="140" t="s">
        <v>41</v>
      </c>
      <c r="I867" s="304" t="e">
        <f>I863/C863/8*C867</f>
        <v>#REF!</v>
      </c>
      <c r="J867" s="304"/>
      <c r="K867" s="140" t="s">
        <v>47</v>
      </c>
      <c r="L867" s="140" t="e">
        <f>F860*C867/L853/8*1.5</f>
        <v>#REF!</v>
      </c>
      <c r="M867" s="140" t="s">
        <v>59</v>
      </c>
      <c r="N867" s="140" t="s">
        <v>41</v>
      </c>
      <c r="O867" s="140"/>
      <c r="P867" s="140" t="s">
        <v>60</v>
      </c>
      <c r="Q867" s="304" t="s">
        <v>61</v>
      </c>
      <c r="R867" s="304"/>
      <c r="S867" s="304"/>
      <c r="T867" s="140" t="s">
        <v>41</v>
      </c>
      <c r="U867" s="304" t="e">
        <f>U863/O863/8*O867</f>
        <v>#DIV/0!</v>
      </c>
      <c r="V867" s="304"/>
      <c r="W867" s="140" t="s">
        <v>47</v>
      </c>
      <c r="X867" s="140">
        <f>R860*O867/X853/8*1.5</f>
        <v>0</v>
      </c>
    </row>
    <row r="868" spans="1:24" ht="18.75" customHeight="1">
      <c r="A868" s="304" t="s">
        <v>62</v>
      </c>
      <c r="B868" s="304"/>
      <c r="C868" s="140"/>
      <c r="D868" s="140" t="s">
        <v>51</v>
      </c>
      <c r="E868" s="304" t="s">
        <v>63</v>
      </c>
      <c r="F868" s="304"/>
      <c r="G868" s="304"/>
      <c r="H868" s="140" t="s">
        <v>41</v>
      </c>
      <c r="I868" s="304"/>
      <c r="J868" s="304"/>
      <c r="K868" s="140" t="s">
        <v>47</v>
      </c>
      <c r="L868" s="140"/>
      <c r="M868" s="304" t="s">
        <v>62</v>
      </c>
      <c r="N868" s="304"/>
      <c r="O868" s="140"/>
      <c r="P868" s="140" t="s">
        <v>51</v>
      </c>
      <c r="Q868" s="304" t="s">
        <v>63</v>
      </c>
      <c r="R868" s="304"/>
      <c r="S868" s="304"/>
      <c r="T868" s="140" t="s">
        <v>41</v>
      </c>
      <c r="U868" s="304"/>
      <c r="V868" s="304"/>
      <c r="W868" s="140" t="s">
        <v>47</v>
      </c>
      <c r="X868" s="140"/>
    </row>
    <row r="869" spans="1:24" ht="18.75" customHeight="1">
      <c r="A869" s="140" t="s">
        <v>64</v>
      </c>
      <c r="B869" s="140" t="s">
        <v>41</v>
      </c>
      <c r="C869" s="140"/>
      <c r="D869" s="140" t="s">
        <v>51</v>
      </c>
      <c r="E869" s="304" t="s">
        <v>65</v>
      </c>
      <c r="F869" s="304"/>
      <c r="G869" s="304"/>
      <c r="H869" s="140" t="s">
        <v>41</v>
      </c>
      <c r="I869" s="304"/>
      <c r="J869" s="304"/>
      <c r="K869" s="140" t="s">
        <v>47</v>
      </c>
      <c r="L869" s="140"/>
      <c r="M869" s="140" t="s">
        <v>64</v>
      </c>
      <c r="N869" s="140" t="s">
        <v>41</v>
      </c>
      <c r="O869" s="140"/>
      <c r="P869" s="140" t="s">
        <v>51</v>
      </c>
      <c r="Q869" s="304" t="s">
        <v>65</v>
      </c>
      <c r="R869" s="304"/>
      <c r="S869" s="304"/>
      <c r="T869" s="140" t="s">
        <v>41</v>
      </c>
      <c r="U869" s="304"/>
      <c r="V869" s="304"/>
      <c r="W869" s="140" t="s">
        <v>47</v>
      </c>
      <c r="X869" s="140"/>
    </row>
    <row r="870" spans="1:24" ht="18.75" customHeight="1">
      <c r="A870" s="140" t="s">
        <v>66</v>
      </c>
      <c r="B870" s="140"/>
      <c r="C870" s="140" t="e">
        <f>'[9]LUONG T7'!M74</f>
        <v>#REF!</v>
      </c>
      <c r="D870" s="140" t="s">
        <v>60</v>
      </c>
      <c r="E870" s="304" t="s">
        <v>67</v>
      </c>
      <c r="F870" s="304"/>
      <c r="G870" s="304"/>
      <c r="H870" s="140" t="s">
        <v>41</v>
      </c>
      <c r="I870" s="304" t="e">
        <f>$F$8*C870/8/$L$1</f>
        <v>#REF!</v>
      </c>
      <c r="J870" s="304"/>
      <c r="K870" s="140" t="s">
        <v>47</v>
      </c>
      <c r="L870" s="140"/>
      <c r="M870" s="140" t="s">
        <v>66</v>
      </c>
      <c r="N870" s="140"/>
      <c r="O870" s="140"/>
      <c r="P870" s="140" t="s">
        <v>60</v>
      </c>
      <c r="Q870" s="304" t="s">
        <v>67</v>
      </c>
      <c r="R870" s="304"/>
      <c r="S870" s="304"/>
      <c r="T870" s="140" t="s">
        <v>41</v>
      </c>
      <c r="U870" s="304">
        <f>$F$8*O870/8/$L$1</f>
        <v>0</v>
      </c>
      <c r="V870" s="304"/>
      <c r="W870" s="140" t="s">
        <v>47</v>
      </c>
      <c r="X870" s="140"/>
    </row>
    <row r="871" spans="1:24" ht="18.75" customHeight="1">
      <c r="A871" s="140" t="s">
        <v>68</v>
      </c>
      <c r="B871" s="140" t="s">
        <v>41</v>
      </c>
      <c r="C871" s="140"/>
      <c r="D871" s="140" t="s">
        <v>60</v>
      </c>
      <c r="E871" s="304" t="s">
        <v>92</v>
      </c>
      <c r="F871" s="304"/>
      <c r="G871" s="304"/>
      <c r="H871" s="140" t="s">
        <v>41</v>
      </c>
      <c r="I871" s="304"/>
      <c r="J871" s="304"/>
      <c r="K871" s="140" t="s">
        <v>47</v>
      </c>
      <c r="L871" s="140"/>
      <c r="M871" s="140" t="s">
        <v>68</v>
      </c>
      <c r="N871" s="140" t="s">
        <v>41</v>
      </c>
      <c r="O871" s="140"/>
      <c r="P871" s="140" t="s">
        <v>60</v>
      </c>
      <c r="Q871" s="304" t="s">
        <v>92</v>
      </c>
      <c r="R871" s="304"/>
      <c r="S871" s="304"/>
      <c r="T871" s="140" t="s">
        <v>41</v>
      </c>
      <c r="U871" s="304"/>
      <c r="V871" s="304"/>
      <c r="W871" s="140" t="s">
        <v>47</v>
      </c>
      <c r="X871" s="140"/>
    </row>
    <row r="872" spans="1:24" ht="18.75" customHeight="1">
      <c r="A872" s="140" t="s">
        <v>70</v>
      </c>
      <c r="B872" s="140" t="s">
        <v>41</v>
      </c>
      <c r="C872" s="140"/>
      <c r="D872" s="140" t="s">
        <v>71</v>
      </c>
      <c r="E872" s="140" t="s">
        <v>72</v>
      </c>
      <c r="F872" s="140"/>
      <c r="G872" s="140"/>
      <c r="H872" s="140" t="s">
        <v>41</v>
      </c>
      <c r="I872" s="304"/>
      <c r="J872" s="304"/>
      <c r="K872" s="140" t="s">
        <v>47</v>
      </c>
      <c r="L872" s="140" t="e">
        <f>+IF(L863-I863&lt;0,0,L863-I863)+IF(L867-I867&lt;0,0,L867-I867)</f>
        <v>#REF!</v>
      </c>
      <c r="M872" s="140" t="s">
        <v>70</v>
      </c>
      <c r="N872" s="140" t="s">
        <v>41</v>
      </c>
      <c r="O872" s="140"/>
      <c r="P872" s="140" t="s">
        <v>71</v>
      </c>
      <c r="Q872" s="140" t="s">
        <v>72</v>
      </c>
      <c r="R872" s="140"/>
      <c r="S872" s="140"/>
      <c r="T872" s="140" t="s">
        <v>41</v>
      </c>
      <c r="U872" s="304"/>
      <c r="V872" s="304"/>
      <c r="W872" s="140" t="s">
        <v>47</v>
      </c>
      <c r="X872" s="140" t="e">
        <f>+IF(X863-U863&lt;0,0,X863-U863)+IF(X867-U867&lt;0,0,X867-U867)</f>
        <v>#DIV/0!</v>
      </c>
    </row>
    <row r="873" spans="1:24" ht="18.75" customHeight="1">
      <c r="A873" s="140" t="s">
        <v>117</v>
      </c>
      <c r="B873" s="140"/>
      <c r="C873" s="140"/>
      <c r="D873" s="140" t="s">
        <v>51</v>
      </c>
      <c r="E873" s="304" t="s">
        <v>118</v>
      </c>
      <c r="F873" s="304"/>
      <c r="G873" s="304"/>
      <c r="H873" s="140" t="s">
        <v>41</v>
      </c>
      <c r="I873" s="304"/>
      <c r="J873" s="304"/>
      <c r="K873" s="140" t="s">
        <v>47</v>
      </c>
      <c r="L873" s="140"/>
      <c r="M873" s="140" t="s">
        <v>117</v>
      </c>
      <c r="N873" s="140"/>
      <c r="O873" s="140"/>
      <c r="P873" s="140" t="s">
        <v>51</v>
      </c>
      <c r="Q873" s="304" t="s">
        <v>118</v>
      </c>
      <c r="R873" s="304"/>
      <c r="S873" s="304"/>
      <c r="T873" s="140" t="s">
        <v>41</v>
      </c>
      <c r="U873" s="304"/>
      <c r="V873" s="304"/>
      <c r="W873" s="140" t="s">
        <v>47</v>
      </c>
      <c r="X873" s="140"/>
    </row>
    <row r="874" spans="1:24" ht="18.75" customHeight="1">
      <c r="A874" s="304" t="s">
        <v>75</v>
      </c>
      <c r="B874" s="304"/>
      <c r="C874" s="140"/>
      <c r="D874" s="140"/>
      <c r="E874" s="140"/>
      <c r="F874" s="140"/>
      <c r="G874" s="140"/>
      <c r="H874" s="140" t="s">
        <v>41</v>
      </c>
      <c r="I874" s="304" t="e">
        <f>'[9]LUONG T7'!P75</f>
        <v>#REF!</v>
      </c>
      <c r="J874" s="304"/>
      <c r="K874" s="140" t="s">
        <v>47</v>
      </c>
      <c r="L874" s="140"/>
      <c r="M874" s="304" t="s">
        <v>75</v>
      </c>
      <c r="N874" s="304"/>
      <c r="O874" s="140"/>
      <c r="P874" s="140"/>
      <c r="Q874" s="140"/>
      <c r="R874" s="140"/>
      <c r="S874" s="140"/>
      <c r="T874" s="140" t="s">
        <v>41</v>
      </c>
      <c r="U874" s="304"/>
      <c r="V874" s="304"/>
      <c r="W874" s="140" t="s">
        <v>47</v>
      </c>
      <c r="X874" s="140"/>
    </row>
    <row r="875" spans="1:24" ht="18.75" customHeight="1">
      <c r="A875" s="140" t="s">
        <v>76</v>
      </c>
      <c r="B875" s="140" t="s">
        <v>41</v>
      </c>
      <c r="C875" s="140"/>
      <c r="D875" s="140"/>
      <c r="E875" s="140" t="s">
        <v>77</v>
      </c>
      <c r="F875" s="140"/>
      <c r="G875" s="140"/>
      <c r="H875" s="140" t="s">
        <v>41</v>
      </c>
      <c r="I875" s="304" t="e">
        <f>L872</f>
        <v>#REF!</v>
      </c>
      <c r="J875" s="304"/>
      <c r="K875" s="140" t="s">
        <v>47</v>
      </c>
      <c r="L875" s="140"/>
      <c r="M875" s="140" t="s">
        <v>76</v>
      </c>
      <c r="N875" s="140" t="s">
        <v>41</v>
      </c>
      <c r="O875" s="140"/>
      <c r="P875" s="140"/>
      <c r="Q875" s="140" t="s">
        <v>77</v>
      </c>
      <c r="R875" s="140"/>
      <c r="S875" s="140"/>
      <c r="T875" s="140" t="s">
        <v>41</v>
      </c>
      <c r="U875" s="304" t="e">
        <f>X872</f>
        <v>#DIV/0!</v>
      </c>
      <c r="V875" s="304"/>
      <c r="W875" s="140" t="s">
        <v>47</v>
      </c>
      <c r="X875" s="140"/>
    </row>
    <row r="876" spans="1:24" ht="18.75" customHeight="1">
      <c r="A876" s="304" t="s">
        <v>78</v>
      </c>
      <c r="B876" s="304"/>
      <c r="C876" s="304"/>
      <c r="D876" s="304"/>
      <c r="E876" s="304"/>
      <c r="F876" s="304"/>
      <c r="G876" s="140" t="s">
        <v>41</v>
      </c>
      <c r="H876" s="304" t="e">
        <f>I863+I864+I865+I866+I867+I870+I874+I875</f>
        <v>#REF!</v>
      </c>
      <c r="I876" s="304"/>
      <c r="J876" s="304"/>
      <c r="K876" s="140" t="s">
        <v>47</v>
      </c>
      <c r="M876" s="304" t="s">
        <v>78</v>
      </c>
      <c r="N876" s="304"/>
      <c r="O876" s="304"/>
      <c r="P876" s="304"/>
      <c r="Q876" s="304"/>
      <c r="R876" s="304"/>
      <c r="S876" s="140" t="s">
        <v>41</v>
      </c>
      <c r="T876" s="304" t="e">
        <f>U863+U864+U865+U866+U867+U870+U874+U875</f>
        <v>#DIV/0!</v>
      </c>
      <c r="U876" s="304"/>
      <c r="V876" s="304"/>
      <c r="W876" s="140" t="s">
        <v>47</v>
      </c>
    </row>
    <row r="877" spans="1:24" ht="18.75" customHeight="1">
      <c r="A877" s="140"/>
      <c r="B877" s="140"/>
      <c r="C877" s="140"/>
      <c r="D877" s="140"/>
      <c r="E877" s="140"/>
      <c r="F877" s="140"/>
      <c r="G877" s="140"/>
      <c r="H877" s="140"/>
      <c r="I877" s="140"/>
      <c r="J877" s="140"/>
      <c r="K877" s="140"/>
      <c r="M877" s="140"/>
      <c r="N877" s="140"/>
      <c r="O877" s="140"/>
      <c r="P877" s="140"/>
      <c r="Q877" s="140"/>
      <c r="R877" s="140"/>
      <c r="S877" s="140"/>
      <c r="T877" s="140"/>
      <c r="U877" s="140"/>
      <c r="V877" s="140"/>
      <c r="W877" s="140"/>
    </row>
    <row r="878" spans="1:24" ht="18.75" customHeight="1">
      <c r="A878" s="304" t="s">
        <v>79</v>
      </c>
      <c r="B878" s="304"/>
      <c r="C878" s="304"/>
      <c r="D878" s="304"/>
      <c r="E878" s="304"/>
      <c r="F878" s="304"/>
      <c r="G878" s="140"/>
      <c r="H878" s="140"/>
      <c r="I878" s="140"/>
      <c r="J878" s="140"/>
      <c r="K878" s="140"/>
      <c r="M878" s="304" t="s">
        <v>79</v>
      </c>
      <c r="N878" s="304"/>
      <c r="O878" s="304"/>
      <c r="P878" s="304"/>
      <c r="Q878" s="304"/>
      <c r="R878" s="304"/>
      <c r="S878" s="140"/>
      <c r="T878" s="140"/>
      <c r="U878" s="140"/>
      <c r="V878" s="140"/>
      <c r="W878" s="140"/>
    </row>
    <row r="879" spans="1:24" ht="18.75" customHeight="1">
      <c r="A879" s="304" t="s">
        <v>80</v>
      </c>
      <c r="B879" s="304"/>
      <c r="C879" s="304"/>
      <c r="D879" s="304"/>
      <c r="E879" s="304"/>
      <c r="F879" s="304"/>
      <c r="G879" s="140" t="s">
        <v>41</v>
      </c>
      <c r="H879" s="304" t="e">
        <f>IF(($L$1-(C863+C864+C865+C866))&gt;12,0,F860*8%)</f>
        <v>#REF!</v>
      </c>
      <c r="I879" s="304"/>
      <c r="J879" s="304"/>
      <c r="K879" s="140" t="s">
        <v>47</v>
      </c>
      <c r="M879" s="304" t="s">
        <v>80</v>
      </c>
      <c r="N879" s="304"/>
      <c r="O879" s="304"/>
      <c r="P879" s="304"/>
      <c r="Q879" s="304"/>
      <c r="R879" s="304"/>
      <c r="S879" s="140" t="s">
        <v>41</v>
      </c>
      <c r="T879" s="304">
        <f>IF(($L$1-(O863+O864+O865+O866))&gt;12,0,R860*8%)</f>
        <v>0</v>
      </c>
      <c r="U879" s="304"/>
      <c r="V879" s="304"/>
      <c r="W879" s="140" t="s">
        <v>47</v>
      </c>
    </row>
    <row r="880" spans="1:24" ht="18.75" customHeight="1">
      <c r="A880" s="304" t="s">
        <v>81</v>
      </c>
      <c r="B880" s="304"/>
      <c r="C880" s="304"/>
      <c r="D880" s="304"/>
      <c r="E880" s="304"/>
      <c r="F880" s="304"/>
      <c r="G880" s="140" t="s">
        <v>41</v>
      </c>
      <c r="H880" s="304" t="e">
        <f>IF(($L$1-(C863+C864+C865+C866))&gt;12,0,F860*1.5%)</f>
        <v>#REF!</v>
      </c>
      <c r="I880" s="304"/>
      <c r="J880" s="304"/>
      <c r="K880" s="140" t="s">
        <v>47</v>
      </c>
      <c r="M880" s="304" t="s">
        <v>81</v>
      </c>
      <c r="N880" s="304"/>
      <c r="O880" s="304"/>
      <c r="P880" s="304"/>
      <c r="Q880" s="304"/>
      <c r="R880" s="304"/>
      <c r="S880" s="140" t="s">
        <v>41</v>
      </c>
      <c r="T880" s="304">
        <f>IF(($L$1-(O863+O864+O865+O866))&gt;12,0,R860*1.5%)</f>
        <v>0</v>
      </c>
      <c r="U880" s="304"/>
      <c r="V880" s="304"/>
      <c r="W880" s="140" t="s">
        <v>47</v>
      </c>
    </row>
    <row r="881" spans="1:24" ht="18.75" customHeight="1">
      <c r="A881" s="304" t="s">
        <v>82</v>
      </c>
      <c r="B881" s="304"/>
      <c r="C881" s="304"/>
      <c r="D881" s="304"/>
      <c r="E881" s="304"/>
      <c r="F881" s="304"/>
      <c r="G881" s="140" t="s">
        <v>41</v>
      </c>
      <c r="H881" s="304" t="e">
        <f>IF(($L$1-(C863+C864+C865+C866))&gt;12,0,F860*1%)</f>
        <v>#REF!</v>
      </c>
      <c r="I881" s="304"/>
      <c r="J881" s="304"/>
      <c r="K881" s="140" t="s">
        <v>47</v>
      </c>
      <c r="M881" s="304" t="s">
        <v>82</v>
      </c>
      <c r="N881" s="304"/>
      <c r="O881" s="304"/>
      <c r="P881" s="304"/>
      <c r="Q881" s="304"/>
      <c r="R881" s="304"/>
      <c r="S881" s="140" t="s">
        <v>41</v>
      </c>
      <c r="T881" s="304">
        <f>IF(($L$1-(O863+O864+O865+O866))&gt;12,0,R860*1%)</f>
        <v>0</v>
      </c>
      <c r="U881" s="304"/>
      <c r="V881" s="304"/>
      <c r="W881" s="140" t="s">
        <v>47</v>
      </c>
    </row>
    <row r="882" spans="1:24" ht="18.75" customHeight="1">
      <c r="A882" s="304" t="s">
        <v>83</v>
      </c>
      <c r="B882" s="304"/>
      <c r="C882" s="304"/>
      <c r="D882" s="304"/>
      <c r="E882" s="304"/>
      <c r="F882" s="304"/>
      <c r="G882" s="140" t="s">
        <v>41</v>
      </c>
      <c r="H882" s="304">
        <v>0</v>
      </c>
      <c r="I882" s="304"/>
      <c r="J882" s="304"/>
      <c r="K882" s="140" t="s">
        <v>47</v>
      </c>
      <c r="M882" s="304" t="s">
        <v>83</v>
      </c>
      <c r="N882" s="304"/>
      <c r="O882" s="304"/>
      <c r="P882" s="304"/>
      <c r="Q882" s="304"/>
      <c r="R882" s="304"/>
      <c r="S882" s="140" t="s">
        <v>41</v>
      </c>
      <c r="T882" s="304">
        <v>0</v>
      </c>
      <c r="U882" s="304"/>
      <c r="V882" s="304"/>
      <c r="W882" s="140" t="s">
        <v>47</v>
      </c>
    </row>
    <row r="883" spans="1:24" ht="18.75" customHeight="1">
      <c r="A883" s="304" t="s">
        <v>84</v>
      </c>
      <c r="B883" s="304"/>
      <c r="C883" s="304"/>
      <c r="D883" s="304"/>
      <c r="E883" s="304"/>
      <c r="F883" s="304"/>
      <c r="G883" s="140" t="s">
        <v>41</v>
      </c>
      <c r="H883" s="304" t="e">
        <f>SUM(H879:J882)</f>
        <v>#REF!</v>
      </c>
      <c r="I883" s="304"/>
      <c r="J883" s="304"/>
      <c r="K883" s="140" t="s">
        <v>47</v>
      </c>
      <c r="M883" s="304" t="s">
        <v>84</v>
      </c>
      <c r="N883" s="304"/>
      <c r="O883" s="304"/>
      <c r="P883" s="304"/>
      <c r="Q883" s="304"/>
      <c r="R883" s="304"/>
      <c r="S883" s="140" t="s">
        <v>41</v>
      </c>
      <c r="T883" s="304">
        <f>SUM(T879:V882)</f>
        <v>0</v>
      </c>
      <c r="U883" s="304"/>
      <c r="V883" s="304"/>
      <c r="W883" s="140" t="s">
        <v>47</v>
      </c>
    </row>
    <row r="884" spans="1:24" ht="18.75" customHeight="1">
      <c r="A884" s="304" t="s">
        <v>85</v>
      </c>
      <c r="B884" s="304"/>
      <c r="C884" s="304"/>
      <c r="D884" s="304"/>
      <c r="E884" s="304"/>
      <c r="F884" s="304"/>
      <c r="G884" s="140" t="s">
        <v>41</v>
      </c>
      <c r="H884" s="304" t="e">
        <f>ROUND(H876-H883,-2)</f>
        <v>#REF!</v>
      </c>
      <c r="I884" s="304"/>
      <c r="J884" s="304"/>
      <c r="K884" s="140" t="s">
        <v>47</v>
      </c>
      <c r="M884" s="304" t="s">
        <v>85</v>
      </c>
      <c r="N884" s="304"/>
      <c r="O884" s="304"/>
      <c r="P884" s="304"/>
      <c r="Q884" s="304"/>
      <c r="R884" s="304"/>
      <c r="S884" s="140" t="s">
        <v>41</v>
      </c>
      <c r="T884" s="304" t="e">
        <f>ROUND(T876-T883,-2)</f>
        <v>#DIV/0!</v>
      </c>
      <c r="U884" s="304"/>
      <c r="V884" s="304"/>
      <c r="W884" s="140" t="s">
        <v>47</v>
      </c>
    </row>
    <row r="885" spans="1:24" ht="18.75" customHeight="1">
      <c r="A885" s="140"/>
      <c r="B885" s="140"/>
      <c r="C885" s="140"/>
      <c r="D885" s="140"/>
      <c r="E885" s="140"/>
      <c r="F885" s="140"/>
      <c r="G885" s="140"/>
      <c r="H885" s="140"/>
      <c r="I885" s="140"/>
      <c r="J885" s="140"/>
      <c r="K885" s="140"/>
      <c r="M885" s="140"/>
      <c r="N885" s="140"/>
      <c r="O885" s="140"/>
      <c r="P885" s="140"/>
      <c r="Q885" s="140"/>
      <c r="R885" s="140"/>
      <c r="S885" s="140"/>
      <c r="T885" s="140"/>
      <c r="U885" s="140"/>
      <c r="V885" s="140"/>
      <c r="W885" s="140"/>
    </row>
    <row r="886" spans="1:24" ht="18.75" customHeight="1">
      <c r="A886" s="140"/>
      <c r="B886" s="140"/>
      <c r="C886" s="140"/>
      <c r="D886" s="140"/>
      <c r="E886" s="140"/>
      <c r="F886" s="140"/>
      <c r="G886" s="140"/>
      <c r="H886" s="140"/>
      <c r="I886" s="304" t="s">
        <v>86</v>
      </c>
      <c r="J886" s="304"/>
      <c r="K886" s="304"/>
      <c r="M886" s="140"/>
      <c r="N886" s="140"/>
      <c r="O886" s="140"/>
      <c r="P886" s="140"/>
      <c r="Q886" s="140"/>
      <c r="R886" s="140"/>
      <c r="S886" s="140"/>
      <c r="T886" s="140"/>
      <c r="U886" s="304" t="s">
        <v>86</v>
      </c>
      <c r="V886" s="304"/>
      <c r="W886" s="304"/>
    </row>
    <row r="887" spans="1:24" ht="18.75" customHeight="1">
      <c r="A887" s="140"/>
      <c r="B887" s="304"/>
      <c r="C887" s="304"/>
      <c r="D887" s="304"/>
      <c r="E887" s="304"/>
      <c r="F887" s="140"/>
      <c r="G887" s="140"/>
      <c r="H887" s="140"/>
      <c r="I887" s="140"/>
      <c r="J887" s="140"/>
      <c r="K887" s="140"/>
      <c r="M887" s="140"/>
      <c r="N887" s="304"/>
      <c r="O887" s="304"/>
      <c r="P887" s="304"/>
      <c r="Q887" s="304"/>
      <c r="R887" s="140"/>
      <c r="S887" s="140"/>
      <c r="T887" s="140"/>
      <c r="U887" s="140"/>
      <c r="V887" s="140"/>
      <c r="W887" s="140"/>
    </row>
    <row r="888" spans="1:24" ht="18.75" customHeight="1">
      <c r="A888" s="140"/>
      <c r="B888" s="140"/>
      <c r="C888" s="140"/>
      <c r="D888" s="140"/>
      <c r="E888" s="140"/>
      <c r="F888" s="140"/>
      <c r="G888" s="140"/>
      <c r="H888" s="140"/>
      <c r="I888" s="304" t="s">
        <v>87</v>
      </c>
      <c r="J888" s="304"/>
      <c r="K888" s="304"/>
      <c r="M888" s="140"/>
      <c r="N888" s="140"/>
      <c r="O888" s="140"/>
      <c r="P888" s="140"/>
      <c r="Q888" s="140"/>
      <c r="R888" s="140"/>
      <c r="S888" s="140"/>
      <c r="T888" s="140"/>
      <c r="U888" s="304" t="s">
        <v>87</v>
      </c>
      <c r="V888" s="304"/>
      <c r="W888" s="304"/>
    </row>
    <row r="890" spans="1:24" ht="18.75" customHeight="1">
      <c r="A890" s="304" t="s">
        <v>35</v>
      </c>
      <c r="B890" s="304"/>
      <c r="C890" s="304"/>
      <c r="D890" s="304"/>
      <c r="E890" s="304"/>
      <c r="F890" s="304"/>
      <c r="G890" s="304"/>
      <c r="H890" s="304"/>
      <c r="I890" s="304"/>
      <c r="J890" s="304"/>
      <c r="K890" s="304"/>
      <c r="L890" s="140">
        <v>24</v>
      </c>
      <c r="M890" s="304" t="s">
        <v>35</v>
      </c>
      <c r="N890" s="304"/>
      <c r="O890" s="304"/>
      <c r="P890" s="304"/>
      <c r="Q890" s="304"/>
      <c r="R890" s="304"/>
      <c r="S890" s="304"/>
      <c r="T890" s="304"/>
      <c r="U890" s="304"/>
      <c r="V890" s="304"/>
      <c r="W890" s="304"/>
      <c r="X890" s="140">
        <v>24</v>
      </c>
    </row>
    <row r="891" spans="1:24" ht="18.75" customHeight="1">
      <c r="A891" s="140" t="s">
        <v>151</v>
      </c>
      <c r="B891" s="140"/>
      <c r="C891" s="140"/>
      <c r="D891" s="140"/>
      <c r="E891" s="140"/>
      <c r="F891" s="140"/>
      <c r="G891" s="140"/>
      <c r="H891" s="140"/>
      <c r="I891" s="140"/>
      <c r="J891" s="140"/>
      <c r="K891" s="140"/>
      <c r="M891" s="140" t="s">
        <v>152</v>
      </c>
      <c r="N891" s="140"/>
      <c r="O891" s="140"/>
      <c r="P891" s="140"/>
      <c r="Q891" s="140"/>
      <c r="R891" s="140"/>
      <c r="S891" s="140"/>
      <c r="T891" s="140"/>
      <c r="U891" s="140"/>
      <c r="V891" s="140"/>
      <c r="W891" s="140"/>
    </row>
    <row r="892" spans="1:24" ht="18.75" customHeight="1">
      <c r="A892" s="304" t="s">
        <v>39</v>
      </c>
      <c r="B892" s="304"/>
      <c r="C892" s="304"/>
      <c r="D892" s="304"/>
      <c r="E892" s="304"/>
      <c r="F892" s="304"/>
      <c r="G892" s="304"/>
      <c r="H892" s="304"/>
      <c r="I892" s="304"/>
      <c r="J892" s="304"/>
      <c r="K892" s="304"/>
      <c r="M892" s="304" t="s">
        <v>39</v>
      </c>
      <c r="N892" s="304"/>
      <c r="O892" s="304"/>
      <c r="P892" s="304"/>
      <c r="Q892" s="304"/>
      <c r="R892" s="304"/>
      <c r="S892" s="304"/>
      <c r="T892" s="304"/>
      <c r="U892" s="304"/>
      <c r="V892" s="304"/>
      <c r="W892" s="304"/>
    </row>
    <row r="893" spans="1:24" ht="18.75" customHeight="1">
      <c r="A893" s="304" t="s">
        <v>40</v>
      </c>
      <c r="B893" s="304"/>
      <c r="C893" s="304"/>
      <c r="D893" s="304"/>
      <c r="E893" s="140" t="s">
        <v>41</v>
      </c>
      <c r="F893" s="304"/>
      <c r="G893" s="304"/>
      <c r="H893" s="304"/>
      <c r="I893" s="304"/>
      <c r="J893" s="304"/>
      <c r="K893" s="304"/>
      <c r="M893" s="304" t="s">
        <v>40</v>
      </c>
      <c r="N893" s="304"/>
      <c r="O893" s="304"/>
      <c r="P893" s="304"/>
      <c r="Q893" s="140" t="s">
        <v>41</v>
      </c>
      <c r="R893" s="304"/>
      <c r="S893" s="304"/>
      <c r="T893" s="304"/>
      <c r="U893" s="304"/>
      <c r="V893" s="304"/>
      <c r="W893" s="304"/>
    </row>
    <row r="894" spans="1:24" ht="18.75" customHeight="1">
      <c r="A894" s="304" t="s">
        <v>43</v>
      </c>
      <c r="B894" s="304"/>
      <c r="C894" s="304"/>
      <c r="D894" s="304"/>
      <c r="E894" s="140" t="s">
        <v>41</v>
      </c>
      <c r="F894" s="304"/>
      <c r="G894" s="304"/>
      <c r="H894" s="304"/>
      <c r="I894" s="304"/>
      <c r="J894" s="304"/>
      <c r="K894" s="304"/>
      <c r="M894" s="304" t="s">
        <v>43</v>
      </c>
      <c r="N894" s="304"/>
      <c r="O894" s="304"/>
      <c r="P894" s="304"/>
      <c r="Q894" s="140" t="s">
        <v>41</v>
      </c>
      <c r="R894" s="304"/>
      <c r="S894" s="304"/>
      <c r="T894" s="304"/>
      <c r="U894" s="304"/>
      <c r="V894" s="304"/>
      <c r="W894" s="304"/>
    </row>
    <row r="895" spans="1:24" ht="18.75" customHeight="1">
      <c r="A895" s="304" t="s">
        <v>44</v>
      </c>
      <c r="B895" s="304"/>
      <c r="C895" s="304"/>
      <c r="D895" s="304"/>
      <c r="E895" s="140" t="s">
        <v>41</v>
      </c>
      <c r="F895" s="304" t="s">
        <v>116</v>
      </c>
      <c r="G895" s="304"/>
      <c r="H895" s="304"/>
      <c r="I895" s="304"/>
      <c r="J895" s="304"/>
      <c r="K895" s="304"/>
      <c r="M895" s="304" t="s">
        <v>44</v>
      </c>
      <c r="N895" s="304"/>
      <c r="O895" s="304"/>
      <c r="P895" s="304"/>
      <c r="Q895" s="140" t="s">
        <v>41</v>
      </c>
      <c r="R895" s="304" t="s">
        <v>116</v>
      </c>
      <c r="S895" s="304"/>
      <c r="T895" s="304"/>
      <c r="U895" s="304"/>
      <c r="V895" s="304"/>
      <c r="W895" s="304"/>
    </row>
    <row r="896" spans="1:24" ht="18.75" customHeight="1">
      <c r="A896" s="304" t="s">
        <v>45</v>
      </c>
      <c r="B896" s="304"/>
      <c r="C896" s="304"/>
      <c r="D896" s="304"/>
      <c r="E896" s="304"/>
      <c r="F896" s="304"/>
      <c r="G896" s="304"/>
      <c r="H896" s="304"/>
      <c r="I896" s="304"/>
      <c r="J896" s="304"/>
      <c r="K896" s="304"/>
      <c r="M896" s="304" t="s">
        <v>45</v>
      </c>
      <c r="N896" s="304"/>
      <c r="O896" s="304"/>
      <c r="P896" s="304"/>
      <c r="Q896" s="304"/>
      <c r="R896" s="304"/>
      <c r="S896" s="304"/>
      <c r="T896" s="304"/>
      <c r="U896" s="304"/>
      <c r="V896" s="304"/>
      <c r="W896" s="304"/>
    </row>
    <row r="897" spans="1:24" ht="18.75" customHeight="1">
      <c r="A897" s="304" t="s">
        <v>46</v>
      </c>
      <c r="B897" s="304"/>
      <c r="C897" s="304"/>
      <c r="D897" s="304"/>
      <c r="E897" s="140" t="s">
        <v>41</v>
      </c>
      <c r="F897" s="304">
        <v>2915400</v>
      </c>
      <c r="G897" s="304"/>
      <c r="H897" s="304"/>
      <c r="I897" s="304"/>
      <c r="J897" s="140" t="s">
        <v>47</v>
      </c>
      <c r="K897" s="140"/>
      <c r="M897" s="304" t="s">
        <v>46</v>
      </c>
      <c r="N897" s="304"/>
      <c r="O897" s="304"/>
      <c r="P897" s="304"/>
      <c r="Q897" s="140" t="s">
        <v>41</v>
      </c>
      <c r="R897" s="304">
        <v>2915400</v>
      </c>
      <c r="S897" s="304"/>
      <c r="T897" s="304"/>
      <c r="U897" s="304"/>
      <c r="V897" s="140" t="s">
        <v>47</v>
      </c>
      <c r="W897" s="140"/>
    </row>
    <row r="898" spans="1:24" ht="18.75" customHeight="1">
      <c r="A898" s="140" t="s">
        <v>48</v>
      </c>
      <c r="B898" s="140"/>
      <c r="C898" s="140"/>
      <c r="D898" s="140"/>
      <c r="E898" s="140"/>
      <c r="F898" s="140"/>
      <c r="G898" s="140"/>
      <c r="H898" s="140"/>
      <c r="I898" s="140"/>
      <c r="J898" s="140"/>
      <c r="K898" s="140"/>
      <c r="M898" s="140" t="s">
        <v>48</v>
      </c>
      <c r="N898" s="140"/>
      <c r="O898" s="140"/>
      <c r="P898" s="140"/>
      <c r="Q898" s="140"/>
      <c r="R898" s="140"/>
      <c r="S898" s="140"/>
      <c r="T898" s="140"/>
      <c r="U898" s="140"/>
      <c r="V898" s="140"/>
      <c r="W898" s="140"/>
    </row>
    <row r="899" spans="1:24" ht="18.75" customHeight="1">
      <c r="A899" s="140" t="s">
        <v>49</v>
      </c>
      <c r="B899" s="140"/>
      <c r="C899" s="140"/>
      <c r="D899" s="140"/>
      <c r="E899" s="140"/>
      <c r="F899" s="140"/>
      <c r="G899" s="140"/>
      <c r="H899" s="140"/>
      <c r="I899" s="140" t="e">
        <f>I900/C900/8</f>
        <v>#DIV/0!</v>
      </c>
      <c r="J899" s="140"/>
      <c r="K899" s="140"/>
      <c r="M899" s="140" t="s">
        <v>49</v>
      </c>
      <c r="N899" s="140"/>
      <c r="O899" s="140"/>
      <c r="P899" s="140"/>
      <c r="Q899" s="140"/>
      <c r="R899" s="140"/>
      <c r="S899" s="140"/>
      <c r="T899" s="140"/>
      <c r="U899" s="140" t="e">
        <f>U900/O900/8</f>
        <v>#DIV/0!</v>
      </c>
      <c r="V899" s="140"/>
      <c r="W899" s="140"/>
    </row>
    <row r="900" spans="1:24" ht="18.75" customHeight="1">
      <c r="A900" s="140" t="s">
        <v>50</v>
      </c>
      <c r="B900" s="140" t="s">
        <v>41</v>
      </c>
      <c r="C900" s="140"/>
      <c r="D900" s="140" t="s">
        <v>51</v>
      </c>
      <c r="E900" s="304" t="s">
        <v>52</v>
      </c>
      <c r="F900" s="304"/>
      <c r="G900" s="304"/>
      <c r="H900" s="140" t="s">
        <v>41</v>
      </c>
      <c r="I900" s="304" t="e">
        <f>I898*680/((C900-C907)*8+C907*7+C904)*((C900-C907)*8+C907*7)</f>
        <v>#DIV/0!</v>
      </c>
      <c r="J900" s="304"/>
      <c r="K900" s="140" t="s">
        <v>47</v>
      </c>
      <c r="L900" s="140">
        <f>F897/L890*C900</f>
        <v>0</v>
      </c>
      <c r="M900" s="140" t="s">
        <v>50</v>
      </c>
      <c r="N900" s="140" t="s">
        <v>41</v>
      </c>
      <c r="O900" s="140"/>
      <c r="P900" s="140" t="s">
        <v>51</v>
      </c>
      <c r="Q900" s="304" t="s">
        <v>52</v>
      </c>
      <c r="R900" s="304"/>
      <c r="S900" s="304"/>
      <c r="T900" s="140" t="s">
        <v>41</v>
      </c>
      <c r="U900" s="304" t="e">
        <f>U898*680/((O900-O907)*8+O907*7+O904)*((O900-O907)*8+O907*7)</f>
        <v>#DIV/0!</v>
      </c>
      <c r="V900" s="304"/>
      <c r="W900" s="140" t="s">
        <v>47</v>
      </c>
      <c r="X900" s="140">
        <f>R897/X890*O900</f>
        <v>0</v>
      </c>
    </row>
    <row r="901" spans="1:24" ht="18.75" customHeight="1">
      <c r="A901" s="140" t="s">
        <v>53</v>
      </c>
      <c r="B901" s="140" t="s">
        <v>41</v>
      </c>
      <c r="C901" s="140"/>
      <c r="D901" s="140" t="s">
        <v>51</v>
      </c>
      <c r="E901" s="304" t="s">
        <v>54</v>
      </c>
      <c r="F901" s="304"/>
      <c r="G901" s="304"/>
      <c r="H901" s="140" t="s">
        <v>41</v>
      </c>
      <c r="I901" s="304">
        <f>$F$8/$L$1*C901</f>
        <v>0</v>
      </c>
      <c r="J901" s="304"/>
      <c r="K901" s="140" t="s">
        <v>47</v>
      </c>
      <c r="L901" s="140"/>
      <c r="M901" s="140" t="s">
        <v>53</v>
      </c>
      <c r="N901" s="140" t="s">
        <v>41</v>
      </c>
      <c r="O901" s="140"/>
      <c r="P901" s="140" t="s">
        <v>51</v>
      </c>
      <c r="Q901" s="304" t="s">
        <v>54</v>
      </c>
      <c r="R901" s="304"/>
      <c r="S901" s="304"/>
      <c r="T901" s="140" t="s">
        <v>41</v>
      </c>
      <c r="U901" s="304">
        <f>$F$8/$L$1*O901</f>
        <v>0</v>
      </c>
      <c r="V901" s="304"/>
      <c r="W901" s="140" t="s">
        <v>47</v>
      </c>
      <c r="X901" s="140"/>
    </row>
    <row r="902" spans="1:24" ht="18.75" customHeight="1">
      <c r="A902" s="140" t="s">
        <v>55</v>
      </c>
      <c r="B902" s="140" t="s">
        <v>41</v>
      </c>
      <c r="C902" s="140"/>
      <c r="D902" s="140" t="s">
        <v>51</v>
      </c>
      <c r="E902" s="304" t="s">
        <v>56</v>
      </c>
      <c r="F902" s="304"/>
      <c r="G902" s="304"/>
      <c r="H902" s="140" t="s">
        <v>41</v>
      </c>
      <c r="I902" s="304">
        <f>$F$8/$L$1*C902</f>
        <v>0</v>
      </c>
      <c r="J902" s="304"/>
      <c r="K902" s="140" t="s">
        <v>47</v>
      </c>
      <c r="L902" s="140"/>
      <c r="M902" s="140" t="s">
        <v>55</v>
      </c>
      <c r="N902" s="140" t="s">
        <v>41</v>
      </c>
      <c r="O902" s="140"/>
      <c r="P902" s="140" t="s">
        <v>51</v>
      </c>
      <c r="Q902" s="304" t="s">
        <v>56</v>
      </c>
      <c r="R902" s="304"/>
      <c r="S902" s="304"/>
      <c r="T902" s="140" t="s">
        <v>41</v>
      </c>
      <c r="U902" s="304">
        <f>$F$8/$L$1*O902</f>
        <v>0</v>
      </c>
      <c r="V902" s="304"/>
      <c r="W902" s="140" t="s">
        <v>47</v>
      </c>
      <c r="X902" s="140"/>
    </row>
    <row r="903" spans="1:24" ht="18.75" customHeight="1">
      <c r="A903" s="140" t="s">
        <v>57</v>
      </c>
      <c r="B903" s="140" t="s">
        <v>41</v>
      </c>
      <c r="C903" s="140"/>
      <c r="D903" s="140" t="s">
        <v>51</v>
      </c>
      <c r="E903" s="304" t="s">
        <v>58</v>
      </c>
      <c r="F903" s="304"/>
      <c r="G903" s="304"/>
      <c r="H903" s="140" t="s">
        <v>41</v>
      </c>
      <c r="I903" s="304">
        <f>$F$8/$L$1*C903</f>
        <v>0</v>
      </c>
      <c r="J903" s="304"/>
      <c r="K903" s="140" t="s">
        <v>47</v>
      </c>
      <c r="L903" s="140"/>
      <c r="M903" s="140" t="s">
        <v>57</v>
      </c>
      <c r="N903" s="140" t="s">
        <v>41</v>
      </c>
      <c r="O903" s="140"/>
      <c r="P903" s="140" t="s">
        <v>51</v>
      </c>
      <c r="Q903" s="304" t="s">
        <v>58</v>
      </c>
      <c r="R903" s="304"/>
      <c r="S903" s="304"/>
      <c r="T903" s="140" t="s">
        <v>41</v>
      </c>
      <c r="U903" s="304">
        <f>$F$8/$L$1*O903</f>
        <v>0</v>
      </c>
      <c r="V903" s="304"/>
      <c r="W903" s="140" t="s">
        <v>47</v>
      </c>
      <c r="X903" s="140"/>
    </row>
    <row r="904" spans="1:24" ht="18.75" customHeight="1">
      <c r="A904" s="140" t="s">
        <v>59</v>
      </c>
      <c r="B904" s="140" t="s">
        <v>41</v>
      </c>
      <c r="C904" s="140"/>
      <c r="D904" s="140" t="s">
        <v>60</v>
      </c>
      <c r="E904" s="304" t="s">
        <v>61</v>
      </c>
      <c r="F904" s="304"/>
      <c r="G904" s="304"/>
      <c r="H904" s="140" t="s">
        <v>41</v>
      </c>
      <c r="I904" s="304" t="e">
        <f>I900/C900/8*C904</f>
        <v>#DIV/0!</v>
      </c>
      <c r="J904" s="304"/>
      <c r="K904" s="140" t="s">
        <v>47</v>
      </c>
      <c r="L904" s="140">
        <f>F897*C904/L890/8*1.5</f>
        <v>0</v>
      </c>
      <c r="M904" s="140" t="s">
        <v>59</v>
      </c>
      <c r="N904" s="140" t="s">
        <v>41</v>
      </c>
      <c r="O904" s="140"/>
      <c r="P904" s="140" t="s">
        <v>60</v>
      </c>
      <c r="Q904" s="304" t="s">
        <v>61</v>
      </c>
      <c r="R904" s="304"/>
      <c r="S904" s="304"/>
      <c r="T904" s="140" t="s">
        <v>41</v>
      </c>
      <c r="U904" s="304" t="e">
        <f>U900/O900/8*O904</f>
        <v>#DIV/0!</v>
      </c>
      <c r="V904" s="304"/>
      <c r="W904" s="140" t="s">
        <v>47</v>
      </c>
      <c r="X904" s="140">
        <f>R897*O904/X890/8*1.5</f>
        <v>0</v>
      </c>
    </row>
    <row r="905" spans="1:24" ht="18.75" customHeight="1">
      <c r="A905" s="304" t="s">
        <v>62</v>
      </c>
      <c r="B905" s="304"/>
      <c r="C905" s="140"/>
      <c r="D905" s="140" t="s">
        <v>51</v>
      </c>
      <c r="E905" s="304" t="s">
        <v>63</v>
      </c>
      <c r="F905" s="304"/>
      <c r="G905" s="304"/>
      <c r="H905" s="140" t="s">
        <v>41</v>
      </c>
      <c r="I905" s="304"/>
      <c r="J905" s="304"/>
      <c r="K905" s="140" t="s">
        <v>47</v>
      </c>
      <c r="L905" s="140"/>
      <c r="M905" s="304" t="s">
        <v>62</v>
      </c>
      <c r="N905" s="304"/>
      <c r="O905" s="140"/>
      <c r="P905" s="140" t="s">
        <v>51</v>
      </c>
      <c r="Q905" s="304" t="s">
        <v>63</v>
      </c>
      <c r="R905" s="304"/>
      <c r="S905" s="304"/>
      <c r="T905" s="140" t="s">
        <v>41</v>
      </c>
      <c r="U905" s="304"/>
      <c r="V905" s="304"/>
      <c r="W905" s="140" t="s">
        <v>47</v>
      </c>
      <c r="X905" s="140"/>
    </row>
    <row r="906" spans="1:24" ht="18.75" customHeight="1">
      <c r="A906" s="140" t="s">
        <v>64</v>
      </c>
      <c r="B906" s="140" t="s">
        <v>41</v>
      </c>
      <c r="C906" s="140"/>
      <c r="D906" s="140" t="s">
        <v>51</v>
      </c>
      <c r="E906" s="304" t="s">
        <v>65</v>
      </c>
      <c r="F906" s="304"/>
      <c r="G906" s="304"/>
      <c r="H906" s="140" t="s">
        <v>41</v>
      </c>
      <c r="I906" s="304"/>
      <c r="J906" s="304"/>
      <c r="K906" s="140" t="s">
        <v>47</v>
      </c>
      <c r="L906" s="140"/>
      <c r="M906" s="140" t="s">
        <v>64</v>
      </c>
      <c r="N906" s="140" t="s">
        <v>41</v>
      </c>
      <c r="O906" s="140"/>
      <c r="P906" s="140" t="s">
        <v>51</v>
      </c>
      <c r="Q906" s="304" t="s">
        <v>65</v>
      </c>
      <c r="R906" s="304"/>
      <c r="S906" s="304"/>
      <c r="T906" s="140" t="s">
        <v>41</v>
      </c>
      <c r="U906" s="304"/>
      <c r="V906" s="304"/>
      <c r="W906" s="140" t="s">
        <v>47</v>
      </c>
      <c r="X906" s="140"/>
    </row>
    <row r="907" spans="1:24" ht="18.75" customHeight="1">
      <c r="A907" s="140" t="s">
        <v>66</v>
      </c>
      <c r="B907" s="140"/>
      <c r="C907" s="140"/>
      <c r="D907" s="140" t="s">
        <v>60</v>
      </c>
      <c r="E907" s="304" t="s">
        <v>67</v>
      </c>
      <c r="F907" s="304"/>
      <c r="G907" s="304"/>
      <c r="H907" s="140" t="s">
        <v>41</v>
      </c>
      <c r="I907" s="304">
        <f>$F$8*C907/8/$L$1</f>
        <v>0</v>
      </c>
      <c r="J907" s="304"/>
      <c r="K907" s="140" t="s">
        <v>47</v>
      </c>
      <c r="L907" s="140"/>
      <c r="M907" s="140" t="s">
        <v>66</v>
      </c>
      <c r="N907" s="140"/>
      <c r="O907" s="140"/>
      <c r="P907" s="140" t="s">
        <v>60</v>
      </c>
      <c r="Q907" s="304" t="s">
        <v>67</v>
      </c>
      <c r="R907" s="304"/>
      <c r="S907" s="304"/>
      <c r="T907" s="140" t="s">
        <v>41</v>
      </c>
      <c r="U907" s="304">
        <f>$F$8*O907/8/$L$1</f>
        <v>0</v>
      </c>
      <c r="V907" s="304"/>
      <c r="W907" s="140" t="s">
        <v>47</v>
      </c>
      <c r="X907" s="140"/>
    </row>
    <row r="908" spans="1:24" ht="18.75" customHeight="1">
      <c r="A908" s="140" t="s">
        <v>68</v>
      </c>
      <c r="B908" s="140" t="s">
        <v>41</v>
      </c>
      <c r="C908" s="140"/>
      <c r="D908" s="140" t="s">
        <v>60</v>
      </c>
      <c r="E908" s="304" t="s">
        <v>92</v>
      </c>
      <c r="F908" s="304"/>
      <c r="G908" s="304"/>
      <c r="H908" s="140" t="s">
        <v>41</v>
      </c>
      <c r="I908" s="304"/>
      <c r="J908" s="304"/>
      <c r="K908" s="140" t="s">
        <v>47</v>
      </c>
      <c r="L908" s="140"/>
      <c r="M908" s="140" t="s">
        <v>68</v>
      </c>
      <c r="N908" s="140" t="s">
        <v>41</v>
      </c>
      <c r="O908" s="140"/>
      <c r="P908" s="140" t="s">
        <v>60</v>
      </c>
      <c r="Q908" s="304" t="s">
        <v>92</v>
      </c>
      <c r="R908" s="304"/>
      <c r="S908" s="304"/>
      <c r="T908" s="140" t="s">
        <v>41</v>
      </c>
      <c r="U908" s="304"/>
      <c r="V908" s="304"/>
      <c r="W908" s="140" t="s">
        <v>47</v>
      </c>
      <c r="X908" s="140"/>
    </row>
    <row r="909" spans="1:24" ht="18.75" customHeight="1">
      <c r="A909" s="140" t="s">
        <v>70</v>
      </c>
      <c r="B909" s="140" t="s">
        <v>41</v>
      </c>
      <c r="C909" s="140"/>
      <c r="D909" s="140" t="s">
        <v>71</v>
      </c>
      <c r="E909" s="140" t="s">
        <v>72</v>
      </c>
      <c r="F909" s="140"/>
      <c r="G909" s="140"/>
      <c r="H909" s="140" t="s">
        <v>41</v>
      </c>
      <c r="I909" s="304"/>
      <c r="J909" s="304"/>
      <c r="K909" s="140" t="s">
        <v>47</v>
      </c>
      <c r="L909" s="140" t="e">
        <f>+IF(L900-I900&lt;0,0,L900-I900)+IF(L904-I904&lt;0,0,L904-I904)</f>
        <v>#DIV/0!</v>
      </c>
      <c r="M909" s="140" t="s">
        <v>70</v>
      </c>
      <c r="N909" s="140" t="s">
        <v>41</v>
      </c>
      <c r="O909" s="140"/>
      <c r="P909" s="140" t="s">
        <v>71</v>
      </c>
      <c r="Q909" s="140" t="s">
        <v>72</v>
      </c>
      <c r="R909" s="140"/>
      <c r="S909" s="140"/>
      <c r="T909" s="140" t="s">
        <v>41</v>
      </c>
      <c r="U909" s="304"/>
      <c r="V909" s="304"/>
      <c r="W909" s="140" t="s">
        <v>47</v>
      </c>
      <c r="X909" s="140" t="e">
        <f>+IF(X900-U900&lt;0,0,X900-U900)+IF(X904-U904&lt;0,0,X904-U904)</f>
        <v>#DIV/0!</v>
      </c>
    </row>
    <row r="910" spans="1:24" ht="18.75" customHeight="1">
      <c r="A910" s="140" t="s">
        <v>117</v>
      </c>
      <c r="B910" s="140"/>
      <c r="C910" s="140"/>
      <c r="D910" s="140" t="s">
        <v>51</v>
      </c>
      <c r="E910" s="304" t="s">
        <v>118</v>
      </c>
      <c r="F910" s="304"/>
      <c r="G910" s="304"/>
      <c r="H910" s="140" t="s">
        <v>41</v>
      </c>
      <c r="I910" s="304"/>
      <c r="J910" s="304"/>
      <c r="K910" s="140" t="s">
        <v>47</v>
      </c>
      <c r="L910" s="140"/>
      <c r="M910" s="140" t="s">
        <v>117</v>
      </c>
      <c r="N910" s="140"/>
      <c r="O910" s="140"/>
      <c r="P910" s="140" t="s">
        <v>51</v>
      </c>
      <c r="Q910" s="304" t="s">
        <v>118</v>
      </c>
      <c r="R910" s="304"/>
      <c r="S910" s="304"/>
      <c r="T910" s="140" t="s">
        <v>41</v>
      </c>
      <c r="U910" s="304"/>
      <c r="V910" s="304"/>
      <c r="W910" s="140" t="s">
        <v>47</v>
      </c>
      <c r="X910" s="140"/>
    </row>
    <row r="911" spans="1:24" ht="18.75" customHeight="1">
      <c r="A911" s="304" t="s">
        <v>75</v>
      </c>
      <c r="B911" s="304"/>
      <c r="C911" s="140"/>
      <c r="D911" s="140"/>
      <c r="E911" s="140"/>
      <c r="F911" s="140"/>
      <c r="G911" s="140"/>
      <c r="H911" s="140" t="s">
        <v>41</v>
      </c>
      <c r="I911" s="304"/>
      <c r="J911" s="304"/>
      <c r="K911" s="140" t="s">
        <v>47</v>
      </c>
      <c r="L911" s="140"/>
      <c r="M911" s="304" t="s">
        <v>75</v>
      </c>
      <c r="N911" s="304"/>
      <c r="O911" s="140"/>
      <c r="P911" s="140"/>
      <c r="Q911" s="140"/>
      <c r="R911" s="140"/>
      <c r="S911" s="140"/>
      <c r="T911" s="140" t="s">
        <v>41</v>
      </c>
      <c r="U911" s="304"/>
      <c r="V911" s="304"/>
      <c r="W911" s="140" t="s">
        <v>47</v>
      </c>
      <c r="X911" s="140"/>
    </row>
    <row r="912" spans="1:24" ht="18.75" customHeight="1">
      <c r="A912" s="140" t="s">
        <v>76</v>
      </c>
      <c r="B912" s="140" t="s">
        <v>41</v>
      </c>
      <c r="C912" s="140"/>
      <c r="D912" s="140"/>
      <c r="E912" s="140" t="s">
        <v>77</v>
      </c>
      <c r="F912" s="140"/>
      <c r="G912" s="140"/>
      <c r="H912" s="140" t="s">
        <v>41</v>
      </c>
      <c r="I912" s="304" t="e">
        <f>L909</f>
        <v>#DIV/0!</v>
      </c>
      <c r="J912" s="304"/>
      <c r="K912" s="140" t="s">
        <v>47</v>
      </c>
      <c r="L912" s="140"/>
      <c r="M912" s="140" t="s">
        <v>76</v>
      </c>
      <c r="N912" s="140" t="s">
        <v>41</v>
      </c>
      <c r="O912" s="140"/>
      <c r="P912" s="140"/>
      <c r="Q912" s="140" t="s">
        <v>77</v>
      </c>
      <c r="R912" s="140"/>
      <c r="S912" s="140"/>
      <c r="T912" s="140" t="s">
        <v>41</v>
      </c>
      <c r="U912" s="304" t="e">
        <f>X909</f>
        <v>#DIV/0!</v>
      </c>
      <c r="V912" s="304"/>
      <c r="W912" s="140" t="s">
        <v>47</v>
      </c>
      <c r="X912" s="140"/>
    </row>
    <row r="913" spans="1:24" ht="18.75" customHeight="1">
      <c r="A913" s="304" t="s">
        <v>78</v>
      </c>
      <c r="B913" s="304"/>
      <c r="C913" s="304"/>
      <c r="D913" s="304"/>
      <c r="E913" s="304"/>
      <c r="F913" s="304"/>
      <c r="G913" s="140" t="s">
        <v>41</v>
      </c>
      <c r="H913" s="304" t="e">
        <f>I900+I901+I902+I903+I904+I907+I911+I912</f>
        <v>#DIV/0!</v>
      </c>
      <c r="I913" s="304"/>
      <c r="J913" s="304"/>
      <c r="K913" s="140" t="s">
        <v>47</v>
      </c>
      <c r="M913" s="304" t="s">
        <v>78</v>
      </c>
      <c r="N913" s="304"/>
      <c r="O913" s="304"/>
      <c r="P913" s="304"/>
      <c r="Q913" s="304"/>
      <c r="R913" s="304"/>
      <c r="S913" s="140" t="s">
        <v>41</v>
      </c>
      <c r="T913" s="304" t="e">
        <f>U900+U901+U902+U903+U904+U907+U911+U912</f>
        <v>#DIV/0!</v>
      </c>
      <c r="U913" s="304"/>
      <c r="V913" s="304"/>
      <c r="W913" s="140" t="s">
        <v>47</v>
      </c>
    </row>
    <row r="914" spans="1:24" ht="18.75" customHeight="1">
      <c r="A914" s="140"/>
      <c r="B914" s="140"/>
      <c r="C914" s="140"/>
      <c r="D914" s="140"/>
      <c r="E914" s="140"/>
      <c r="F914" s="140"/>
      <c r="G914" s="140"/>
      <c r="H914" s="140"/>
      <c r="I914" s="140"/>
      <c r="J914" s="140"/>
      <c r="K914" s="140"/>
      <c r="M914" s="140"/>
      <c r="N914" s="140"/>
      <c r="O914" s="140"/>
      <c r="P914" s="140"/>
      <c r="Q914" s="140"/>
      <c r="R914" s="140"/>
      <c r="S914" s="140"/>
      <c r="T914" s="140"/>
      <c r="U914" s="140"/>
      <c r="V914" s="140"/>
      <c r="W914" s="140"/>
    </row>
    <row r="915" spans="1:24" ht="18.75" customHeight="1">
      <c r="A915" s="304" t="s">
        <v>79</v>
      </c>
      <c r="B915" s="304"/>
      <c r="C915" s="304"/>
      <c r="D915" s="304"/>
      <c r="E915" s="304"/>
      <c r="F915" s="304"/>
      <c r="G915" s="140"/>
      <c r="H915" s="140"/>
      <c r="I915" s="140"/>
      <c r="J915" s="140"/>
      <c r="K915" s="140"/>
      <c r="M915" s="304" t="s">
        <v>79</v>
      </c>
      <c r="N915" s="304"/>
      <c r="O915" s="304"/>
      <c r="P915" s="304"/>
      <c r="Q915" s="304"/>
      <c r="R915" s="304"/>
      <c r="S915" s="140"/>
      <c r="T915" s="140"/>
      <c r="U915" s="140"/>
      <c r="V915" s="140"/>
      <c r="W915" s="140"/>
    </row>
    <row r="916" spans="1:24" ht="18.75" customHeight="1">
      <c r="A916" s="304" t="s">
        <v>80</v>
      </c>
      <c r="B916" s="304"/>
      <c r="C916" s="304"/>
      <c r="D916" s="304"/>
      <c r="E916" s="304"/>
      <c r="F916" s="304"/>
      <c r="G916" s="140" t="s">
        <v>41</v>
      </c>
      <c r="H916" s="304">
        <f>IF(($L$1-(C900+C901+C902+C903))&gt;12,0,F897*8%)</f>
        <v>0</v>
      </c>
      <c r="I916" s="304"/>
      <c r="J916" s="304"/>
      <c r="K916" s="140" t="s">
        <v>47</v>
      </c>
      <c r="M916" s="304" t="s">
        <v>80</v>
      </c>
      <c r="N916" s="304"/>
      <c r="O916" s="304"/>
      <c r="P916" s="304"/>
      <c r="Q916" s="304"/>
      <c r="R916" s="304"/>
      <c r="S916" s="140" t="s">
        <v>41</v>
      </c>
      <c r="T916" s="304">
        <f>IF(($L$1-(O900+O901+O902+O903))&gt;12,0,R897*8%)</f>
        <v>0</v>
      </c>
      <c r="U916" s="304"/>
      <c r="V916" s="304"/>
      <c r="W916" s="140" t="s">
        <v>47</v>
      </c>
    </row>
    <row r="917" spans="1:24" ht="18.75" customHeight="1">
      <c r="A917" s="304" t="s">
        <v>81</v>
      </c>
      <c r="B917" s="304"/>
      <c r="C917" s="304"/>
      <c r="D917" s="304"/>
      <c r="E917" s="304"/>
      <c r="F917" s="304"/>
      <c r="G917" s="140" t="s">
        <v>41</v>
      </c>
      <c r="H917" s="304">
        <f>IF(($L$1-(C900+C901+C902+C903))&gt;12,0,F897*1.5%)</f>
        <v>0</v>
      </c>
      <c r="I917" s="304"/>
      <c r="J917" s="304"/>
      <c r="K917" s="140" t="s">
        <v>47</v>
      </c>
      <c r="M917" s="304" t="s">
        <v>81</v>
      </c>
      <c r="N917" s="304"/>
      <c r="O917" s="304"/>
      <c r="P917" s="304"/>
      <c r="Q917" s="304"/>
      <c r="R917" s="304"/>
      <c r="S917" s="140" t="s">
        <v>41</v>
      </c>
      <c r="T917" s="304">
        <f>IF(($L$1-(O900+O901+O902+O903))&gt;12,0,R897*1.5%)</f>
        <v>0</v>
      </c>
      <c r="U917" s="304"/>
      <c r="V917" s="304"/>
      <c r="W917" s="140" t="s">
        <v>47</v>
      </c>
    </row>
    <row r="918" spans="1:24" ht="18.75" customHeight="1">
      <c r="A918" s="304" t="s">
        <v>82</v>
      </c>
      <c r="B918" s="304"/>
      <c r="C918" s="304"/>
      <c r="D918" s="304"/>
      <c r="E918" s="304"/>
      <c r="F918" s="304"/>
      <c r="G918" s="140" t="s">
        <v>41</v>
      </c>
      <c r="H918" s="304">
        <f>IF(($L$1-(C900+C901+C902+C903))&gt;12,0,F897*1%)</f>
        <v>0</v>
      </c>
      <c r="I918" s="304"/>
      <c r="J918" s="304"/>
      <c r="K918" s="140" t="s">
        <v>47</v>
      </c>
      <c r="M918" s="304" t="s">
        <v>82</v>
      </c>
      <c r="N918" s="304"/>
      <c r="O918" s="304"/>
      <c r="P918" s="304"/>
      <c r="Q918" s="304"/>
      <c r="R918" s="304"/>
      <c r="S918" s="140" t="s">
        <v>41</v>
      </c>
      <c r="T918" s="304">
        <f>IF(($L$1-(O900+O901+O902+O903))&gt;12,0,R897*1%)</f>
        <v>0</v>
      </c>
      <c r="U918" s="304"/>
      <c r="V918" s="304"/>
      <c r="W918" s="140" t="s">
        <v>47</v>
      </c>
    </row>
    <row r="919" spans="1:24" ht="18.75" customHeight="1">
      <c r="A919" s="304" t="s">
        <v>83</v>
      </c>
      <c r="B919" s="304"/>
      <c r="C919" s="304"/>
      <c r="D919" s="304"/>
      <c r="E919" s="304"/>
      <c r="F919" s="304"/>
      <c r="G919" s="140" t="s">
        <v>41</v>
      </c>
      <c r="H919" s="304">
        <v>0</v>
      </c>
      <c r="I919" s="304"/>
      <c r="J919" s="304"/>
      <c r="K919" s="140" t="s">
        <v>47</v>
      </c>
      <c r="M919" s="304" t="s">
        <v>83</v>
      </c>
      <c r="N919" s="304"/>
      <c r="O919" s="304"/>
      <c r="P919" s="304"/>
      <c r="Q919" s="304"/>
      <c r="R919" s="304"/>
      <c r="S919" s="140" t="s">
        <v>41</v>
      </c>
      <c r="T919" s="304">
        <v>0</v>
      </c>
      <c r="U919" s="304"/>
      <c r="V919" s="304"/>
      <c r="W919" s="140" t="s">
        <v>47</v>
      </c>
    </row>
    <row r="920" spans="1:24" ht="18.75" customHeight="1">
      <c r="A920" s="304" t="s">
        <v>84</v>
      </c>
      <c r="B920" s="304"/>
      <c r="C920" s="304"/>
      <c r="D920" s="304"/>
      <c r="E920" s="304"/>
      <c r="F920" s="304"/>
      <c r="G920" s="140" t="s">
        <v>41</v>
      </c>
      <c r="H920" s="304">
        <f>SUM(H916:J919)</f>
        <v>0</v>
      </c>
      <c r="I920" s="304"/>
      <c r="J920" s="304"/>
      <c r="K920" s="140" t="s">
        <v>47</v>
      </c>
      <c r="M920" s="304" t="s">
        <v>84</v>
      </c>
      <c r="N920" s="304"/>
      <c r="O920" s="304"/>
      <c r="P920" s="304"/>
      <c r="Q920" s="304"/>
      <c r="R920" s="304"/>
      <c r="S920" s="140" t="s">
        <v>41</v>
      </c>
      <c r="T920" s="304">
        <f>SUM(T916:V919)</f>
        <v>0</v>
      </c>
      <c r="U920" s="304"/>
      <c r="V920" s="304"/>
      <c r="W920" s="140" t="s">
        <v>47</v>
      </c>
    </row>
    <row r="921" spans="1:24" ht="18.75" customHeight="1">
      <c r="A921" s="304" t="s">
        <v>85</v>
      </c>
      <c r="B921" s="304"/>
      <c r="C921" s="304"/>
      <c r="D921" s="304"/>
      <c r="E921" s="304"/>
      <c r="F921" s="304"/>
      <c r="G921" s="140" t="s">
        <v>41</v>
      </c>
      <c r="H921" s="304" t="e">
        <f>ROUND(H913-H920,-2)</f>
        <v>#DIV/0!</v>
      </c>
      <c r="I921" s="304"/>
      <c r="J921" s="304"/>
      <c r="K921" s="140" t="s">
        <v>47</v>
      </c>
      <c r="M921" s="304" t="s">
        <v>85</v>
      </c>
      <c r="N921" s="304"/>
      <c r="O921" s="304"/>
      <c r="P921" s="304"/>
      <c r="Q921" s="304"/>
      <c r="R921" s="304"/>
      <c r="S921" s="140" t="s">
        <v>41</v>
      </c>
      <c r="T921" s="304" t="e">
        <f>ROUND(T913-T920,-2)</f>
        <v>#DIV/0!</v>
      </c>
      <c r="U921" s="304"/>
      <c r="V921" s="304"/>
      <c r="W921" s="140" t="s">
        <v>47</v>
      </c>
    </row>
    <row r="922" spans="1:24" ht="18.75" customHeight="1">
      <c r="A922" s="140"/>
      <c r="B922" s="140"/>
      <c r="C922" s="140"/>
      <c r="D922" s="140"/>
      <c r="E922" s="140"/>
      <c r="F922" s="140"/>
      <c r="G922" s="140"/>
      <c r="H922" s="140"/>
      <c r="I922" s="140"/>
      <c r="J922" s="140"/>
      <c r="K922" s="140"/>
      <c r="M922" s="140"/>
      <c r="N922" s="140"/>
      <c r="O922" s="140"/>
      <c r="P922" s="140"/>
      <c r="Q922" s="140"/>
      <c r="R922" s="140"/>
      <c r="S922" s="140"/>
      <c r="T922" s="140"/>
      <c r="U922" s="140"/>
      <c r="V922" s="140"/>
      <c r="W922" s="140"/>
    </row>
    <row r="923" spans="1:24" ht="18.75" customHeight="1">
      <c r="A923" s="140"/>
      <c r="B923" s="140"/>
      <c r="C923" s="140"/>
      <c r="D923" s="140"/>
      <c r="E923" s="140"/>
      <c r="F923" s="140"/>
      <c r="G923" s="140"/>
      <c r="H923" s="140"/>
      <c r="I923" s="304" t="s">
        <v>86</v>
      </c>
      <c r="J923" s="304"/>
      <c r="K923" s="304"/>
      <c r="M923" s="140"/>
      <c r="N923" s="140"/>
      <c r="O923" s="140"/>
      <c r="P923" s="140"/>
      <c r="Q923" s="140"/>
      <c r="R923" s="140"/>
      <c r="S923" s="140"/>
      <c r="T923" s="140"/>
      <c r="U923" s="304" t="s">
        <v>86</v>
      </c>
      <c r="V923" s="304"/>
      <c r="W923" s="304"/>
    </row>
    <row r="924" spans="1:24" ht="18.75" customHeight="1">
      <c r="A924" s="140"/>
      <c r="B924" s="304"/>
      <c r="C924" s="304"/>
      <c r="D924" s="304"/>
      <c r="E924" s="304"/>
      <c r="F924" s="140"/>
      <c r="G924" s="140"/>
      <c r="H924" s="140"/>
      <c r="I924" s="140"/>
      <c r="J924" s="140"/>
      <c r="K924" s="140"/>
      <c r="M924" s="140"/>
      <c r="N924" s="304"/>
      <c r="O924" s="304"/>
      <c r="P924" s="304"/>
      <c r="Q924" s="304"/>
      <c r="R924" s="140"/>
      <c r="S924" s="140"/>
      <c r="T924" s="140"/>
      <c r="U924" s="140"/>
      <c r="V924" s="140"/>
      <c r="W924" s="140"/>
    </row>
    <row r="925" spans="1:24" ht="18.75" customHeight="1">
      <c r="A925" s="140"/>
      <c r="B925" s="140"/>
      <c r="C925" s="140"/>
      <c r="D925" s="140"/>
      <c r="E925" s="140"/>
      <c r="F925" s="140"/>
      <c r="G925" s="140"/>
      <c r="H925" s="140"/>
      <c r="I925" s="304" t="s">
        <v>87</v>
      </c>
      <c r="J925" s="304"/>
      <c r="K925" s="304"/>
      <c r="M925" s="140"/>
      <c r="N925" s="140"/>
      <c r="O925" s="140"/>
      <c r="P925" s="140"/>
      <c r="Q925" s="140"/>
      <c r="R925" s="140"/>
      <c r="S925" s="140"/>
      <c r="T925" s="140"/>
      <c r="U925" s="304" t="s">
        <v>87</v>
      </c>
      <c r="V925" s="304"/>
      <c r="W925" s="304"/>
    </row>
    <row r="927" spans="1:24" ht="18.75" customHeight="1">
      <c r="A927" s="304" t="s">
        <v>35</v>
      </c>
      <c r="B927" s="304"/>
      <c r="C927" s="304"/>
      <c r="D927" s="304"/>
      <c r="E927" s="304"/>
      <c r="F927" s="304"/>
      <c r="G927" s="304"/>
      <c r="H927" s="304"/>
      <c r="I927" s="304"/>
      <c r="J927" s="304"/>
      <c r="K927" s="304"/>
      <c r="L927" s="140">
        <v>24</v>
      </c>
      <c r="M927" s="304" t="s">
        <v>35</v>
      </c>
      <c r="N927" s="304"/>
      <c r="O927" s="304"/>
      <c r="P927" s="304"/>
      <c r="Q927" s="304"/>
      <c r="R927" s="304"/>
      <c r="S927" s="304"/>
      <c r="T927" s="304"/>
      <c r="U927" s="304"/>
      <c r="V927" s="304"/>
      <c r="W927" s="304"/>
      <c r="X927" s="140">
        <v>24</v>
      </c>
    </row>
    <row r="928" spans="1:24" ht="18.75" customHeight="1">
      <c r="A928" s="140" t="s">
        <v>153</v>
      </c>
      <c r="B928" s="140"/>
      <c r="C928" s="140"/>
      <c r="D928" s="140"/>
      <c r="E928" s="140"/>
      <c r="F928" s="140"/>
      <c r="G928" s="140"/>
      <c r="H928" s="140"/>
      <c r="I928" s="140"/>
      <c r="J928" s="140"/>
      <c r="K928" s="140"/>
      <c r="M928" s="140" t="s">
        <v>154</v>
      </c>
      <c r="N928" s="140"/>
      <c r="O928" s="140"/>
      <c r="P928" s="140"/>
      <c r="Q928" s="140"/>
      <c r="R928" s="140"/>
      <c r="S928" s="140"/>
      <c r="T928" s="140"/>
      <c r="U928" s="140"/>
      <c r="V928" s="140"/>
      <c r="W928" s="140"/>
    </row>
    <row r="929" spans="1:24" ht="18.75" customHeight="1">
      <c r="A929" s="304" t="s">
        <v>39</v>
      </c>
      <c r="B929" s="304"/>
      <c r="C929" s="304"/>
      <c r="D929" s="304"/>
      <c r="E929" s="304"/>
      <c r="F929" s="304"/>
      <c r="G929" s="304"/>
      <c r="H929" s="304"/>
      <c r="I929" s="304"/>
      <c r="J929" s="304"/>
      <c r="K929" s="304"/>
      <c r="M929" s="304" t="s">
        <v>39</v>
      </c>
      <c r="N929" s="304"/>
      <c r="O929" s="304"/>
      <c r="P929" s="304"/>
      <c r="Q929" s="304"/>
      <c r="R929" s="304"/>
      <c r="S929" s="304"/>
      <c r="T929" s="304"/>
      <c r="U929" s="304"/>
      <c r="V929" s="304"/>
      <c r="W929" s="304"/>
    </row>
    <row r="930" spans="1:24" ht="18.75" customHeight="1">
      <c r="A930" s="304" t="s">
        <v>40</v>
      </c>
      <c r="B930" s="304"/>
      <c r="C930" s="304"/>
      <c r="D930" s="304"/>
      <c r="E930" s="140" t="s">
        <v>41</v>
      </c>
      <c r="F930" s="304"/>
      <c r="G930" s="304"/>
      <c r="H930" s="304"/>
      <c r="I930" s="304"/>
      <c r="J930" s="304"/>
      <c r="K930" s="304"/>
      <c r="M930" s="304" t="s">
        <v>40</v>
      </c>
      <c r="N930" s="304"/>
      <c r="O930" s="304"/>
      <c r="P930" s="304"/>
      <c r="Q930" s="140" t="s">
        <v>41</v>
      </c>
      <c r="R930" s="304"/>
      <c r="S930" s="304"/>
      <c r="T930" s="304"/>
      <c r="U930" s="304"/>
      <c r="V930" s="304"/>
      <c r="W930" s="304"/>
    </row>
    <row r="931" spans="1:24" ht="18.75" customHeight="1">
      <c r="A931" s="304" t="s">
        <v>43</v>
      </c>
      <c r="B931" s="304"/>
      <c r="C931" s="304"/>
      <c r="D931" s="304"/>
      <c r="E931" s="140" t="s">
        <v>41</v>
      </c>
      <c r="F931" s="304"/>
      <c r="G931" s="304"/>
      <c r="H931" s="304"/>
      <c r="I931" s="304"/>
      <c r="J931" s="304"/>
      <c r="K931" s="304"/>
      <c r="M931" s="304" t="s">
        <v>43</v>
      </c>
      <c r="N931" s="304"/>
      <c r="O931" s="304"/>
      <c r="P931" s="304"/>
      <c r="Q931" s="140" t="s">
        <v>41</v>
      </c>
      <c r="R931" s="304"/>
      <c r="S931" s="304"/>
      <c r="T931" s="304"/>
      <c r="U931" s="304"/>
      <c r="V931" s="304"/>
      <c r="W931" s="304"/>
    </row>
    <row r="932" spans="1:24" ht="18.75" customHeight="1">
      <c r="A932" s="304" t="s">
        <v>44</v>
      </c>
      <c r="B932" s="304"/>
      <c r="C932" s="304"/>
      <c r="D932" s="304"/>
      <c r="E932" s="140" t="s">
        <v>41</v>
      </c>
      <c r="F932" s="304" t="s">
        <v>116</v>
      </c>
      <c r="G932" s="304"/>
      <c r="H932" s="304"/>
      <c r="I932" s="304"/>
      <c r="J932" s="304"/>
      <c r="K932" s="304"/>
      <c r="M932" s="304" t="s">
        <v>44</v>
      </c>
      <c r="N932" s="304"/>
      <c r="O932" s="304"/>
      <c r="P932" s="304"/>
      <c r="Q932" s="140" t="s">
        <v>41</v>
      </c>
      <c r="R932" s="304" t="s">
        <v>116</v>
      </c>
      <c r="S932" s="304"/>
      <c r="T932" s="304"/>
      <c r="U932" s="304"/>
      <c r="V932" s="304"/>
      <c r="W932" s="304"/>
    </row>
    <row r="933" spans="1:24" ht="18.75" customHeight="1">
      <c r="A933" s="304" t="s">
        <v>45</v>
      </c>
      <c r="B933" s="304"/>
      <c r="C933" s="304"/>
      <c r="D933" s="304"/>
      <c r="E933" s="304"/>
      <c r="F933" s="304"/>
      <c r="G933" s="304"/>
      <c r="H933" s="304"/>
      <c r="I933" s="304"/>
      <c r="J933" s="304"/>
      <c r="K933" s="304"/>
      <c r="M933" s="304" t="s">
        <v>45</v>
      </c>
      <c r="N933" s="304"/>
      <c r="O933" s="304"/>
      <c r="P933" s="304"/>
      <c r="Q933" s="304"/>
      <c r="R933" s="304"/>
      <c r="S933" s="304"/>
      <c r="T933" s="304"/>
      <c r="U933" s="304"/>
      <c r="V933" s="304"/>
      <c r="W933" s="304"/>
    </row>
    <row r="934" spans="1:24" ht="18.75" customHeight="1">
      <c r="A934" s="304" t="s">
        <v>46</v>
      </c>
      <c r="B934" s="304"/>
      <c r="C934" s="304"/>
      <c r="D934" s="304"/>
      <c r="E934" s="140" t="s">
        <v>41</v>
      </c>
      <c r="F934" s="304">
        <v>2915400</v>
      </c>
      <c r="G934" s="304"/>
      <c r="H934" s="304"/>
      <c r="I934" s="304"/>
      <c r="J934" s="140" t="s">
        <v>47</v>
      </c>
      <c r="K934" s="140"/>
      <c r="M934" s="304" t="s">
        <v>46</v>
      </c>
      <c r="N934" s="304"/>
      <c r="O934" s="304"/>
      <c r="P934" s="304"/>
      <c r="Q934" s="140" t="s">
        <v>41</v>
      </c>
      <c r="R934" s="304">
        <v>2915400</v>
      </c>
      <c r="S934" s="304"/>
      <c r="T934" s="304"/>
      <c r="U934" s="304"/>
      <c r="V934" s="140" t="s">
        <v>47</v>
      </c>
      <c r="W934" s="140"/>
    </row>
    <row r="935" spans="1:24" ht="18.75" customHeight="1">
      <c r="A935" s="140" t="s">
        <v>48</v>
      </c>
      <c r="B935" s="140"/>
      <c r="C935" s="140"/>
      <c r="D935" s="140"/>
      <c r="E935" s="140"/>
      <c r="F935" s="140"/>
      <c r="G935" s="140"/>
      <c r="H935" s="140"/>
      <c r="I935" s="140"/>
      <c r="J935" s="140"/>
      <c r="K935" s="140"/>
      <c r="M935" s="140" t="s">
        <v>48</v>
      </c>
      <c r="N935" s="140"/>
      <c r="O935" s="140"/>
      <c r="P935" s="140"/>
      <c r="Q935" s="140"/>
      <c r="R935" s="140"/>
      <c r="S935" s="140"/>
      <c r="T935" s="140"/>
      <c r="U935" s="140"/>
      <c r="V935" s="140"/>
      <c r="W935" s="140"/>
    </row>
    <row r="936" spans="1:24" ht="18.75" customHeight="1">
      <c r="A936" s="140" t="s">
        <v>49</v>
      </c>
      <c r="B936" s="140"/>
      <c r="C936" s="140"/>
      <c r="D936" s="140"/>
      <c r="E936" s="140"/>
      <c r="F936" s="140"/>
      <c r="G936" s="140"/>
      <c r="H936" s="140"/>
      <c r="I936" s="140" t="e">
        <f>I937/C937/8</f>
        <v>#DIV/0!</v>
      </c>
      <c r="J936" s="140"/>
      <c r="K936" s="140"/>
      <c r="M936" s="140" t="s">
        <v>49</v>
      </c>
      <c r="N936" s="140"/>
      <c r="O936" s="140"/>
      <c r="P936" s="140"/>
      <c r="Q936" s="140"/>
      <c r="R936" s="140"/>
      <c r="S936" s="140"/>
      <c r="T936" s="140"/>
      <c r="U936" s="140" t="e">
        <f>U937/O937/8</f>
        <v>#DIV/0!</v>
      </c>
      <c r="V936" s="140"/>
      <c r="W936" s="140"/>
    </row>
    <row r="937" spans="1:24" ht="18.75" customHeight="1">
      <c r="A937" s="140" t="s">
        <v>50</v>
      </c>
      <c r="B937" s="140" t="s">
        <v>41</v>
      </c>
      <c r="C937" s="140"/>
      <c r="D937" s="140" t="s">
        <v>51</v>
      </c>
      <c r="E937" s="304" t="s">
        <v>52</v>
      </c>
      <c r="F937" s="304"/>
      <c r="G937" s="304"/>
      <c r="H937" s="140" t="s">
        <v>41</v>
      </c>
      <c r="I937" s="304" t="e">
        <f>I935*680/((C937-C944)*8+C944*7+C941)*((C937-C944)*8+C944*7)</f>
        <v>#DIV/0!</v>
      </c>
      <c r="J937" s="304"/>
      <c r="K937" s="140" t="s">
        <v>47</v>
      </c>
      <c r="L937" s="140">
        <f>F934/L927*C937</f>
        <v>0</v>
      </c>
      <c r="M937" s="140" t="s">
        <v>50</v>
      </c>
      <c r="N937" s="140" t="s">
        <v>41</v>
      </c>
      <c r="O937" s="140"/>
      <c r="P937" s="140" t="s">
        <v>51</v>
      </c>
      <c r="Q937" s="304" t="s">
        <v>52</v>
      </c>
      <c r="R937" s="304"/>
      <c r="S937" s="304"/>
      <c r="T937" s="140" t="s">
        <v>41</v>
      </c>
      <c r="U937" s="304" t="e">
        <f>U935*680/((O937-O944)*8+O944*7+O941)*((O937-O944)*8+O944*7)</f>
        <v>#DIV/0!</v>
      </c>
      <c r="V937" s="304"/>
      <c r="W937" s="140" t="s">
        <v>47</v>
      </c>
      <c r="X937" s="140">
        <f>R934/X927*O937</f>
        <v>0</v>
      </c>
    </row>
    <row r="938" spans="1:24" ht="18.75" customHeight="1">
      <c r="A938" s="140" t="s">
        <v>53</v>
      </c>
      <c r="B938" s="140" t="s">
        <v>41</v>
      </c>
      <c r="C938" s="140"/>
      <c r="D938" s="140" t="s">
        <v>51</v>
      </c>
      <c r="E938" s="304" t="s">
        <v>54</v>
      </c>
      <c r="F938" s="304"/>
      <c r="G938" s="304"/>
      <c r="H938" s="140" t="s">
        <v>41</v>
      </c>
      <c r="I938" s="304">
        <f>$F$8/$L$1*C938</f>
        <v>0</v>
      </c>
      <c r="J938" s="304"/>
      <c r="K938" s="140" t="s">
        <v>47</v>
      </c>
      <c r="L938" s="140"/>
      <c r="M938" s="140" t="s">
        <v>53</v>
      </c>
      <c r="N938" s="140" t="s">
        <v>41</v>
      </c>
      <c r="O938" s="140"/>
      <c r="P938" s="140" t="s">
        <v>51</v>
      </c>
      <c r="Q938" s="304" t="s">
        <v>54</v>
      </c>
      <c r="R938" s="304"/>
      <c r="S938" s="304"/>
      <c r="T938" s="140" t="s">
        <v>41</v>
      </c>
      <c r="U938" s="304">
        <f>$F$8/$L$1*O938</f>
        <v>0</v>
      </c>
      <c r="V938" s="304"/>
      <c r="W938" s="140" t="s">
        <v>47</v>
      </c>
      <c r="X938" s="140"/>
    </row>
    <row r="939" spans="1:24" ht="18.75" customHeight="1">
      <c r="A939" s="140" t="s">
        <v>55</v>
      </c>
      <c r="B939" s="140" t="s">
        <v>41</v>
      </c>
      <c r="C939" s="140"/>
      <c r="D939" s="140" t="s">
        <v>51</v>
      </c>
      <c r="E939" s="304" t="s">
        <v>56</v>
      </c>
      <c r="F939" s="304"/>
      <c r="G939" s="304"/>
      <c r="H939" s="140" t="s">
        <v>41</v>
      </c>
      <c r="I939" s="304">
        <f>$F$8/$L$1*C939</f>
        <v>0</v>
      </c>
      <c r="J939" s="304"/>
      <c r="K939" s="140" t="s">
        <v>47</v>
      </c>
      <c r="L939" s="140"/>
      <c r="M939" s="140" t="s">
        <v>55</v>
      </c>
      <c r="N939" s="140" t="s">
        <v>41</v>
      </c>
      <c r="O939" s="140"/>
      <c r="P939" s="140" t="s">
        <v>51</v>
      </c>
      <c r="Q939" s="304" t="s">
        <v>56</v>
      </c>
      <c r="R939" s="304"/>
      <c r="S939" s="304"/>
      <c r="T939" s="140" t="s">
        <v>41</v>
      </c>
      <c r="U939" s="304">
        <f>$F$8/$L$1*O939</f>
        <v>0</v>
      </c>
      <c r="V939" s="304"/>
      <c r="W939" s="140" t="s">
        <v>47</v>
      </c>
      <c r="X939" s="140"/>
    </row>
    <row r="940" spans="1:24" ht="18.75" customHeight="1">
      <c r="A940" s="140" t="s">
        <v>57</v>
      </c>
      <c r="B940" s="140" t="s">
        <v>41</v>
      </c>
      <c r="C940" s="140"/>
      <c r="D940" s="140" t="s">
        <v>51</v>
      </c>
      <c r="E940" s="304" t="s">
        <v>58</v>
      </c>
      <c r="F940" s="304"/>
      <c r="G940" s="304"/>
      <c r="H940" s="140" t="s">
        <v>41</v>
      </c>
      <c r="I940" s="304">
        <f>$F$8/$L$1*C940</f>
        <v>0</v>
      </c>
      <c r="J940" s="304"/>
      <c r="K940" s="140" t="s">
        <v>47</v>
      </c>
      <c r="L940" s="140"/>
      <c r="M940" s="140" t="s">
        <v>57</v>
      </c>
      <c r="N940" s="140" t="s">
        <v>41</v>
      </c>
      <c r="O940" s="140"/>
      <c r="P940" s="140" t="s">
        <v>51</v>
      </c>
      <c r="Q940" s="304" t="s">
        <v>58</v>
      </c>
      <c r="R940" s="304"/>
      <c r="S940" s="304"/>
      <c r="T940" s="140" t="s">
        <v>41</v>
      </c>
      <c r="U940" s="304">
        <f>$F$8/$L$1*O940</f>
        <v>0</v>
      </c>
      <c r="V940" s="304"/>
      <c r="W940" s="140" t="s">
        <v>47</v>
      </c>
      <c r="X940" s="140"/>
    </row>
    <row r="941" spans="1:24" ht="18.75" customHeight="1">
      <c r="A941" s="140" t="s">
        <v>59</v>
      </c>
      <c r="B941" s="140" t="s">
        <v>41</v>
      </c>
      <c r="C941" s="140"/>
      <c r="D941" s="140" t="s">
        <v>60</v>
      </c>
      <c r="E941" s="304" t="s">
        <v>61</v>
      </c>
      <c r="F941" s="304"/>
      <c r="G941" s="304"/>
      <c r="H941" s="140" t="s">
        <v>41</v>
      </c>
      <c r="I941" s="304" t="e">
        <f>I937/C937/8*C941</f>
        <v>#DIV/0!</v>
      </c>
      <c r="J941" s="304"/>
      <c r="K941" s="140" t="s">
        <v>47</v>
      </c>
      <c r="L941" s="140">
        <f>F934*C941/L927/8*1.5</f>
        <v>0</v>
      </c>
      <c r="M941" s="140" t="s">
        <v>59</v>
      </c>
      <c r="N941" s="140" t="s">
        <v>41</v>
      </c>
      <c r="O941" s="140"/>
      <c r="P941" s="140" t="s">
        <v>60</v>
      </c>
      <c r="Q941" s="304" t="s">
        <v>61</v>
      </c>
      <c r="R941" s="304"/>
      <c r="S941" s="304"/>
      <c r="T941" s="140" t="s">
        <v>41</v>
      </c>
      <c r="U941" s="304" t="e">
        <f>U937/O937/8*O941</f>
        <v>#DIV/0!</v>
      </c>
      <c r="V941" s="304"/>
      <c r="W941" s="140" t="s">
        <v>47</v>
      </c>
      <c r="X941" s="140">
        <f>R934*O941/X927/8*1.5</f>
        <v>0</v>
      </c>
    </row>
    <row r="942" spans="1:24" ht="18.75" customHeight="1">
      <c r="A942" s="304" t="s">
        <v>62</v>
      </c>
      <c r="B942" s="304"/>
      <c r="C942" s="140"/>
      <c r="D942" s="140" t="s">
        <v>51</v>
      </c>
      <c r="E942" s="304" t="s">
        <v>63</v>
      </c>
      <c r="F942" s="304"/>
      <c r="G942" s="304"/>
      <c r="H942" s="140" t="s">
        <v>41</v>
      </c>
      <c r="I942" s="304"/>
      <c r="J942" s="304"/>
      <c r="K942" s="140" t="s">
        <v>47</v>
      </c>
      <c r="L942" s="140"/>
      <c r="M942" s="304" t="s">
        <v>62</v>
      </c>
      <c r="N942" s="304"/>
      <c r="O942" s="140"/>
      <c r="P942" s="140" t="s">
        <v>51</v>
      </c>
      <c r="Q942" s="304" t="s">
        <v>63</v>
      </c>
      <c r="R942" s="304"/>
      <c r="S942" s="304"/>
      <c r="T942" s="140" t="s">
        <v>41</v>
      </c>
      <c r="U942" s="304"/>
      <c r="V942" s="304"/>
      <c r="W942" s="140" t="s">
        <v>47</v>
      </c>
      <c r="X942" s="140"/>
    </row>
    <row r="943" spans="1:24" ht="18.75" customHeight="1">
      <c r="A943" s="140" t="s">
        <v>64</v>
      </c>
      <c r="B943" s="140" t="s">
        <v>41</v>
      </c>
      <c r="C943" s="140"/>
      <c r="D943" s="140" t="s">
        <v>51</v>
      </c>
      <c r="E943" s="304" t="s">
        <v>65</v>
      </c>
      <c r="F943" s="304"/>
      <c r="G943" s="304"/>
      <c r="H943" s="140" t="s">
        <v>41</v>
      </c>
      <c r="I943" s="304"/>
      <c r="J943" s="304"/>
      <c r="K943" s="140" t="s">
        <v>47</v>
      </c>
      <c r="L943" s="140"/>
      <c r="M943" s="140" t="s">
        <v>64</v>
      </c>
      <c r="N943" s="140" t="s">
        <v>41</v>
      </c>
      <c r="O943" s="140"/>
      <c r="P943" s="140" t="s">
        <v>51</v>
      </c>
      <c r="Q943" s="304" t="s">
        <v>65</v>
      </c>
      <c r="R943" s="304"/>
      <c r="S943" s="304"/>
      <c r="T943" s="140" t="s">
        <v>41</v>
      </c>
      <c r="U943" s="304"/>
      <c r="V943" s="304"/>
      <c r="W943" s="140" t="s">
        <v>47</v>
      </c>
      <c r="X943" s="140"/>
    </row>
    <row r="944" spans="1:24" ht="18.75" customHeight="1">
      <c r="A944" s="140" t="s">
        <v>66</v>
      </c>
      <c r="B944" s="140"/>
      <c r="C944" s="140"/>
      <c r="D944" s="140" t="s">
        <v>60</v>
      </c>
      <c r="E944" s="304" t="s">
        <v>67</v>
      </c>
      <c r="F944" s="304"/>
      <c r="G944" s="304"/>
      <c r="H944" s="140" t="s">
        <v>41</v>
      </c>
      <c r="I944" s="304">
        <f>$F$8*C944/8/$L$1</f>
        <v>0</v>
      </c>
      <c r="J944" s="304"/>
      <c r="K944" s="140" t="s">
        <v>47</v>
      </c>
      <c r="L944" s="140"/>
      <c r="M944" s="140" t="s">
        <v>66</v>
      </c>
      <c r="N944" s="140"/>
      <c r="O944" s="140"/>
      <c r="P944" s="140" t="s">
        <v>60</v>
      </c>
      <c r="Q944" s="304" t="s">
        <v>67</v>
      </c>
      <c r="R944" s="304"/>
      <c r="S944" s="304"/>
      <c r="T944" s="140" t="s">
        <v>41</v>
      </c>
      <c r="U944" s="304">
        <f>$F$8*O944/8/$L$1</f>
        <v>0</v>
      </c>
      <c r="V944" s="304"/>
      <c r="W944" s="140" t="s">
        <v>47</v>
      </c>
      <c r="X944" s="140"/>
    </row>
    <row r="945" spans="1:24" ht="18.75" customHeight="1">
      <c r="A945" s="140" t="s">
        <v>68</v>
      </c>
      <c r="B945" s="140" t="s">
        <v>41</v>
      </c>
      <c r="C945" s="140"/>
      <c r="D945" s="140" t="s">
        <v>60</v>
      </c>
      <c r="E945" s="304" t="s">
        <v>92</v>
      </c>
      <c r="F945" s="304"/>
      <c r="G945" s="304"/>
      <c r="H945" s="140" t="s">
        <v>41</v>
      </c>
      <c r="I945" s="304"/>
      <c r="J945" s="304"/>
      <c r="K945" s="140" t="s">
        <v>47</v>
      </c>
      <c r="L945" s="140"/>
      <c r="M945" s="140" t="s">
        <v>68</v>
      </c>
      <c r="N945" s="140" t="s">
        <v>41</v>
      </c>
      <c r="O945" s="140"/>
      <c r="P945" s="140" t="s">
        <v>60</v>
      </c>
      <c r="Q945" s="304" t="s">
        <v>92</v>
      </c>
      <c r="R945" s="304"/>
      <c r="S945" s="304"/>
      <c r="T945" s="140" t="s">
        <v>41</v>
      </c>
      <c r="U945" s="304"/>
      <c r="V945" s="304"/>
      <c r="W945" s="140" t="s">
        <v>47</v>
      </c>
      <c r="X945" s="140"/>
    </row>
    <row r="946" spans="1:24" ht="18.75" customHeight="1">
      <c r="A946" s="140" t="s">
        <v>70</v>
      </c>
      <c r="B946" s="140" t="s">
        <v>41</v>
      </c>
      <c r="C946" s="140"/>
      <c r="D946" s="140" t="s">
        <v>71</v>
      </c>
      <c r="E946" s="140" t="s">
        <v>72</v>
      </c>
      <c r="F946" s="140"/>
      <c r="G946" s="140"/>
      <c r="H946" s="140" t="s">
        <v>41</v>
      </c>
      <c r="I946" s="304"/>
      <c r="J946" s="304"/>
      <c r="K946" s="140" t="s">
        <v>47</v>
      </c>
      <c r="L946" s="140" t="e">
        <f>+IF(L937-I937&lt;0,0,L937-I937)+IF(L941-I941&lt;0,0,L941-I941)</f>
        <v>#DIV/0!</v>
      </c>
      <c r="M946" s="140" t="s">
        <v>70</v>
      </c>
      <c r="N946" s="140" t="s">
        <v>41</v>
      </c>
      <c r="O946" s="140"/>
      <c r="P946" s="140" t="s">
        <v>71</v>
      </c>
      <c r="Q946" s="140" t="s">
        <v>72</v>
      </c>
      <c r="R946" s="140"/>
      <c r="S946" s="140"/>
      <c r="T946" s="140" t="s">
        <v>41</v>
      </c>
      <c r="U946" s="304"/>
      <c r="V946" s="304"/>
      <c r="W946" s="140" t="s">
        <v>47</v>
      </c>
      <c r="X946" s="140" t="e">
        <f>+IF(X937-U937&lt;0,0,X937-U937)+IF(X941-U941&lt;0,0,X941-U941)</f>
        <v>#DIV/0!</v>
      </c>
    </row>
    <row r="947" spans="1:24" ht="18.75" customHeight="1">
      <c r="A947" s="140" t="s">
        <v>117</v>
      </c>
      <c r="B947" s="140"/>
      <c r="C947" s="140"/>
      <c r="D947" s="140" t="s">
        <v>51</v>
      </c>
      <c r="E947" s="304" t="s">
        <v>118</v>
      </c>
      <c r="F947" s="304"/>
      <c r="G947" s="304"/>
      <c r="H947" s="140" t="s">
        <v>41</v>
      </c>
      <c r="I947" s="304"/>
      <c r="J947" s="304"/>
      <c r="K947" s="140" t="s">
        <v>47</v>
      </c>
      <c r="L947" s="140"/>
      <c r="M947" s="140" t="s">
        <v>117</v>
      </c>
      <c r="N947" s="140"/>
      <c r="O947" s="140"/>
      <c r="P947" s="140" t="s">
        <v>51</v>
      </c>
      <c r="Q947" s="304" t="s">
        <v>118</v>
      </c>
      <c r="R947" s="304"/>
      <c r="S947" s="304"/>
      <c r="T947" s="140" t="s">
        <v>41</v>
      </c>
      <c r="U947" s="304"/>
      <c r="V947" s="304"/>
      <c r="W947" s="140" t="s">
        <v>47</v>
      </c>
      <c r="X947" s="140"/>
    </row>
    <row r="948" spans="1:24" ht="18.75" customHeight="1">
      <c r="A948" s="304" t="s">
        <v>75</v>
      </c>
      <c r="B948" s="304"/>
      <c r="C948" s="140"/>
      <c r="D948" s="140"/>
      <c r="E948" s="140"/>
      <c r="F948" s="140"/>
      <c r="G948" s="140"/>
      <c r="H948" s="140" t="s">
        <v>41</v>
      </c>
      <c r="I948" s="304"/>
      <c r="J948" s="304"/>
      <c r="K948" s="140" t="s">
        <v>47</v>
      </c>
      <c r="L948" s="140"/>
      <c r="M948" s="304" t="s">
        <v>75</v>
      </c>
      <c r="N948" s="304"/>
      <c r="O948" s="140"/>
      <c r="P948" s="140"/>
      <c r="Q948" s="140"/>
      <c r="R948" s="140"/>
      <c r="S948" s="140"/>
      <c r="T948" s="140" t="s">
        <v>41</v>
      </c>
      <c r="U948" s="304"/>
      <c r="V948" s="304"/>
      <c r="W948" s="140" t="s">
        <v>47</v>
      </c>
      <c r="X948" s="140"/>
    </row>
    <row r="949" spans="1:24" ht="18.75" customHeight="1">
      <c r="A949" s="140" t="s">
        <v>76</v>
      </c>
      <c r="B949" s="140" t="s">
        <v>41</v>
      </c>
      <c r="C949" s="140"/>
      <c r="D949" s="140"/>
      <c r="E949" s="140" t="s">
        <v>77</v>
      </c>
      <c r="F949" s="140"/>
      <c r="G949" s="140"/>
      <c r="H949" s="140" t="s">
        <v>41</v>
      </c>
      <c r="I949" s="304" t="e">
        <f>L946</f>
        <v>#DIV/0!</v>
      </c>
      <c r="J949" s="304"/>
      <c r="K949" s="140" t="s">
        <v>47</v>
      </c>
      <c r="L949" s="140"/>
      <c r="M949" s="140" t="s">
        <v>76</v>
      </c>
      <c r="N949" s="140" t="s">
        <v>41</v>
      </c>
      <c r="O949" s="140"/>
      <c r="P949" s="140"/>
      <c r="Q949" s="140" t="s">
        <v>77</v>
      </c>
      <c r="R949" s="140"/>
      <c r="S949" s="140"/>
      <c r="T949" s="140" t="s">
        <v>41</v>
      </c>
      <c r="U949" s="304" t="e">
        <f>X946</f>
        <v>#DIV/0!</v>
      </c>
      <c r="V949" s="304"/>
      <c r="W949" s="140" t="s">
        <v>47</v>
      </c>
      <c r="X949" s="140"/>
    </row>
    <row r="950" spans="1:24" ht="18.75" customHeight="1">
      <c r="A950" s="304" t="s">
        <v>78</v>
      </c>
      <c r="B950" s="304"/>
      <c r="C950" s="304"/>
      <c r="D950" s="304"/>
      <c r="E950" s="304"/>
      <c r="F950" s="304"/>
      <c r="G950" s="140" t="s">
        <v>41</v>
      </c>
      <c r="H950" s="304" t="e">
        <f>I937+I938+I939+I940+I941+I944+I948+I949</f>
        <v>#DIV/0!</v>
      </c>
      <c r="I950" s="304"/>
      <c r="J950" s="304"/>
      <c r="K950" s="140" t="s">
        <v>47</v>
      </c>
      <c r="M950" s="304" t="s">
        <v>78</v>
      </c>
      <c r="N950" s="304"/>
      <c r="O950" s="304"/>
      <c r="P950" s="304"/>
      <c r="Q950" s="304"/>
      <c r="R950" s="304"/>
      <c r="S950" s="140" t="s">
        <v>41</v>
      </c>
      <c r="T950" s="304" t="e">
        <f>U937+U938+U939+U940+U941+U944+U948+U949</f>
        <v>#DIV/0!</v>
      </c>
      <c r="U950" s="304"/>
      <c r="V950" s="304"/>
      <c r="W950" s="140" t="s">
        <v>47</v>
      </c>
    </row>
    <row r="951" spans="1:24" ht="18.75" customHeight="1">
      <c r="A951" s="140"/>
      <c r="B951" s="140"/>
      <c r="C951" s="140"/>
      <c r="D951" s="140"/>
      <c r="E951" s="140"/>
      <c r="F951" s="140"/>
      <c r="G951" s="140"/>
      <c r="H951" s="140"/>
      <c r="I951" s="140"/>
      <c r="J951" s="140"/>
      <c r="K951" s="140"/>
      <c r="M951" s="140"/>
      <c r="N951" s="140"/>
      <c r="O951" s="140"/>
      <c r="P951" s="140"/>
      <c r="Q951" s="140"/>
      <c r="R951" s="140"/>
      <c r="S951" s="140"/>
      <c r="T951" s="140"/>
      <c r="U951" s="140"/>
      <c r="V951" s="140"/>
      <c r="W951" s="140"/>
    </row>
    <row r="952" spans="1:24" ht="18.75" customHeight="1">
      <c r="A952" s="304" t="s">
        <v>79</v>
      </c>
      <c r="B952" s="304"/>
      <c r="C952" s="304"/>
      <c r="D952" s="304"/>
      <c r="E952" s="304"/>
      <c r="F952" s="304"/>
      <c r="G952" s="140"/>
      <c r="H952" s="140"/>
      <c r="I952" s="140"/>
      <c r="J952" s="140"/>
      <c r="K952" s="140"/>
      <c r="M952" s="304" t="s">
        <v>79</v>
      </c>
      <c r="N952" s="304"/>
      <c r="O952" s="304"/>
      <c r="P952" s="304"/>
      <c r="Q952" s="304"/>
      <c r="R952" s="304"/>
      <c r="S952" s="140"/>
      <c r="T952" s="140"/>
      <c r="U952" s="140"/>
      <c r="V952" s="140"/>
      <c r="W952" s="140"/>
    </row>
    <row r="953" spans="1:24" ht="18.75" customHeight="1">
      <c r="A953" s="304" t="s">
        <v>80</v>
      </c>
      <c r="B953" s="304"/>
      <c r="C953" s="304"/>
      <c r="D953" s="304"/>
      <c r="E953" s="304"/>
      <c r="F953" s="304"/>
      <c r="G953" s="140" t="s">
        <v>41</v>
      </c>
      <c r="H953" s="304">
        <f>IF(($L$1-(C937+C938+C939+C940))&gt;12,0,F934*8%)</f>
        <v>0</v>
      </c>
      <c r="I953" s="304"/>
      <c r="J953" s="304"/>
      <c r="K953" s="140" t="s">
        <v>47</v>
      </c>
      <c r="M953" s="304" t="s">
        <v>80</v>
      </c>
      <c r="N953" s="304"/>
      <c r="O953" s="304"/>
      <c r="P953" s="304"/>
      <c r="Q953" s="304"/>
      <c r="R953" s="304"/>
      <c r="S953" s="140" t="s">
        <v>41</v>
      </c>
      <c r="T953" s="304">
        <f>IF(($L$1-(O937+O938+O939+O940))&gt;12,0,R934*8%)</f>
        <v>0</v>
      </c>
      <c r="U953" s="304"/>
      <c r="V953" s="304"/>
      <c r="W953" s="140" t="s">
        <v>47</v>
      </c>
    </row>
    <row r="954" spans="1:24" ht="18.75" customHeight="1">
      <c r="A954" s="304" t="s">
        <v>81</v>
      </c>
      <c r="B954" s="304"/>
      <c r="C954" s="304"/>
      <c r="D954" s="304"/>
      <c r="E954" s="304"/>
      <c r="F954" s="304"/>
      <c r="G954" s="140" t="s">
        <v>41</v>
      </c>
      <c r="H954" s="304">
        <f>IF(($L$1-(C937+C938+C939+C940))&gt;12,0,F934*1.5%)</f>
        <v>0</v>
      </c>
      <c r="I954" s="304"/>
      <c r="J954" s="304"/>
      <c r="K954" s="140" t="s">
        <v>47</v>
      </c>
      <c r="M954" s="304" t="s">
        <v>81</v>
      </c>
      <c r="N954" s="304"/>
      <c r="O954" s="304"/>
      <c r="P954" s="304"/>
      <c r="Q954" s="304"/>
      <c r="R954" s="304"/>
      <c r="S954" s="140" t="s">
        <v>41</v>
      </c>
      <c r="T954" s="304">
        <f>IF(($L$1-(O937+O938+O939+O940))&gt;12,0,R934*1.5%)</f>
        <v>0</v>
      </c>
      <c r="U954" s="304"/>
      <c r="V954" s="304"/>
      <c r="W954" s="140" t="s">
        <v>47</v>
      </c>
    </row>
    <row r="955" spans="1:24" ht="18.75" customHeight="1">
      <c r="A955" s="304" t="s">
        <v>82</v>
      </c>
      <c r="B955" s="304"/>
      <c r="C955" s="304"/>
      <c r="D955" s="304"/>
      <c r="E955" s="304"/>
      <c r="F955" s="304"/>
      <c r="G955" s="140" t="s">
        <v>41</v>
      </c>
      <c r="H955" s="304">
        <f>IF(($L$1-(C937+C938+C939+C940))&gt;12,0,F934*1%)</f>
        <v>0</v>
      </c>
      <c r="I955" s="304"/>
      <c r="J955" s="304"/>
      <c r="K955" s="140" t="s">
        <v>47</v>
      </c>
      <c r="M955" s="304" t="s">
        <v>82</v>
      </c>
      <c r="N955" s="304"/>
      <c r="O955" s="304"/>
      <c r="P955" s="304"/>
      <c r="Q955" s="304"/>
      <c r="R955" s="304"/>
      <c r="S955" s="140" t="s">
        <v>41</v>
      </c>
      <c r="T955" s="304">
        <f>IF(($L$1-(O937+O938+O939+O940))&gt;12,0,R934*1%)</f>
        <v>0</v>
      </c>
      <c r="U955" s="304"/>
      <c r="V955" s="304"/>
      <c r="W955" s="140" t="s">
        <v>47</v>
      </c>
    </row>
    <row r="956" spans="1:24" ht="18.75" customHeight="1">
      <c r="A956" s="304" t="s">
        <v>83</v>
      </c>
      <c r="B956" s="304"/>
      <c r="C956" s="304"/>
      <c r="D956" s="304"/>
      <c r="E956" s="304"/>
      <c r="F956" s="304"/>
      <c r="G956" s="140" t="s">
        <v>41</v>
      </c>
      <c r="H956" s="304">
        <v>0</v>
      </c>
      <c r="I956" s="304"/>
      <c r="J956" s="304"/>
      <c r="K956" s="140" t="s">
        <v>47</v>
      </c>
      <c r="M956" s="304" t="s">
        <v>83</v>
      </c>
      <c r="N956" s="304"/>
      <c r="O956" s="304"/>
      <c r="P956" s="304"/>
      <c r="Q956" s="304"/>
      <c r="R956" s="304"/>
      <c r="S956" s="140" t="s">
        <v>41</v>
      </c>
      <c r="T956" s="304">
        <v>0</v>
      </c>
      <c r="U956" s="304"/>
      <c r="V956" s="304"/>
      <c r="W956" s="140" t="s">
        <v>47</v>
      </c>
    </row>
    <row r="957" spans="1:24" ht="18.75" customHeight="1">
      <c r="A957" s="304" t="s">
        <v>84</v>
      </c>
      <c r="B957" s="304"/>
      <c r="C957" s="304"/>
      <c r="D957" s="304"/>
      <c r="E957" s="304"/>
      <c r="F957" s="304"/>
      <c r="G957" s="140" t="s">
        <v>41</v>
      </c>
      <c r="H957" s="304">
        <f>SUM(H953:J956)</f>
        <v>0</v>
      </c>
      <c r="I957" s="304"/>
      <c r="J957" s="304"/>
      <c r="K957" s="140" t="s">
        <v>47</v>
      </c>
      <c r="M957" s="304" t="s">
        <v>84</v>
      </c>
      <c r="N957" s="304"/>
      <c r="O957" s="304"/>
      <c r="P957" s="304"/>
      <c r="Q957" s="304"/>
      <c r="R957" s="304"/>
      <c r="S957" s="140" t="s">
        <v>41</v>
      </c>
      <c r="T957" s="304">
        <f>SUM(T953:V956)</f>
        <v>0</v>
      </c>
      <c r="U957" s="304"/>
      <c r="V957" s="304"/>
      <c r="W957" s="140" t="s">
        <v>47</v>
      </c>
    </row>
    <row r="958" spans="1:24" ht="18.75" customHeight="1">
      <c r="A958" s="304" t="s">
        <v>85</v>
      </c>
      <c r="B958" s="304"/>
      <c r="C958" s="304"/>
      <c r="D958" s="304"/>
      <c r="E958" s="304"/>
      <c r="F958" s="304"/>
      <c r="G958" s="140" t="s">
        <v>41</v>
      </c>
      <c r="H958" s="304" t="e">
        <f>ROUND(H950-H957,-2)</f>
        <v>#DIV/0!</v>
      </c>
      <c r="I958" s="304"/>
      <c r="J958" s="304"/>
      <c r="K958" s="140" t="s">
        <v>47</v>
      </c>
      <c r="M958" s="304" t="s">
        <v>85</v>
      </c>
      <c r="N958" s="304"/>
      <c r="O958" s="304"/>
      <c r="P958" s="304"/>
      <c r="Q958" s="304"/>
      <c r="R958" s="304"/>
      <c r="S958" s="140" t="s">
        <v>41</v>
      </c>
      <c r="T958" s="304" t="e">
        <f>ROUND(T950-T957,-2)</f>
        <v>#DIV/0!</v>
      </c>
      <c r="U958" s="304"/>
      <c r="V958" s="304"/>
      <c r="W958" s="140" t="s">
        <v>47</v>
      </c>
    </row>
    <row r="959" spans="1:24" ht="18.75" customHeight="1">
      <c r="A959" s="140"/>
      <c r="B959" s="140"/>
      <c r="C959" s="140"/>
      <c r="D959" s="140"/>
      <c r="E959" s="140"/>
      <c r="F959" s="140"/>
      <c r="G959" s="140"/>
      <c r="H959" s="140"/>
      <c r="I959" s="140"/>
      <c r="J959" s="140"/>
      <c r="K959" s="140"/>
      <c r="M959" s="140"/>
      <c r="N959" s="140"/>
      <c r="O959" s="140"/>
      <c r="P959" s="140"/>
      <c r="Q959" s="140"/>
      <c r="R959" s="140"/>
      <c r="S959" s="140"/>
      <c r="T959" s="140"/>
      <c r="U959" s="140"/>
      <c r="V959" s="140"/>
      <c r="W959" s="140"/>
    </row>
    <row r="960" spans="1:24" ht="18.75" customHeight="1">
      <c r="A960" s="140"/>
      <c r="B960" s="140"/>
      <c r="C960" s="140"/>
      <c r="D960" s="140"/>
      <c r="E960" s="140"/>
      <c r="F960" s="140"/>
      <c r="G960" s="140"/>
      <c r="H960" s="140"/>
      <c r="I960" s="304" t="s">
        <v>86</v>
      </c>
      <c r="J960" s="304"/>
      <c r="K960" s="304"/>
      <c r="M960" s="140"/>
      <c r="N960" s="140"/>
      <c r="O960" s="140"/>
      <c r="P960" s="140"/>
      <c r="Q960" s="140"/>
      <c r="R960" s="140"/>
      <c r="S960" s="140"/>
      <c r="T960" s="140"/>
      <c r="U960" s="304" t="s">
        <v>86</v>
      </c>
      <c r="V960" s="304"/>
      <c r="W960" s="304"/>
    </row>
    <row r="961" spans="1:24" ht="18.75" customHeight="1">
      <c r="A961" s="140"/>
      <c r="B961" s="304"/>
      <c r="C961" s="304"/>
      <c r="D961" s="304"/>
      <c r="E961" s="304"/>
      <c r="F961" s="140"/>
      <c r="G961" s="140"/>
      <c r="H961" s="140"/>
      <c r="I961" s="140"/>
      <c r="J961" s="140"/>
      <c r="K961" s="140"/>
      <c r="M961" s="140"/>
      <c r="N961" s="304"/>
      <c r="O961" s="304"/>
      <c r="P961" s="304"/>
      <c r="Q961" s="304"/>
      <c r="R961" s="140"/>
      <c r="S961" s="140"/>
      <c r="T961" s="140"/>
      <c r="U961" s="140"/>
      <c r="V961" s="140"/>
      <c r="W961" s="140"/>
    </row>
    <row r="962" spans="1:24" ht="18.75" customHeight="1">
      <c r="A962" s="140"/>
      <c r="B962" s="140"/>
      <c r="C962" s="140"/>
      <c r="D962" s="140"/>
      <c r="E962" s="140"/>
      <c r="F962" s="140"/>
      <c r="G962" s="140"/>
      <c r="H962" s="140"/>
      <c r="I962" s="304" t="s">
        <v>87</v>
      </c>
      <c r="J962" s="304"/>
      <c r="K962" s="304"/>
      <c r="M962" s="140"/>
      <c r="N962" s="140"/>
      <c r="O962" s="140"/>
      <c r="P962" s="140"/>
      <c r="Q962" s="140"/>
      <c r="R962" s="140"/>
      <c r="S962" s="140"/>
      <c r="T962" s="140"/>
      <c r="U962" s="304" t="s">
        <v>87</v>
      </c>
      <c r="V962" s="304"/>
      <c r="W962" s="304"/>
    </row>
    <row r="964" spans="1:24" ht="18.75" customHeight="1">
      <c r="A964" s="304" t="s">
        <v>35</v>
      </c>
      <c r="B964" s="304"/>
      <c r="C964" s="304"/>
      <c r="D964" s="304"/>
      <c r="E964" s="304"/>
      <c r="F964" s="304"/>
      <c r="G964" s="304"/>
      <c r="H964" s="304"/>
      <c r="I964" s="304"/>
      <c r="J964" s="304"/>
      <c r="K964" s="304"/>
      <c r="L964" s="140">
        <v>24</v>
      </c>
      <c r="M964" s="304" t="s">
        <v>35</v>
      </c>
      <c r="N964" s="304"/>
      <c r="O964" s="304"/>
      <c r="P964" s="304"/>
      <c r="Q964" s="304"/>
      <c r="R964" s="304"/>
      <c r="S964" s="304"/>
      <c r="T964" s="304"/>
      <c r="U964" s="304"/>
      <c r="V964" s="304"/>
      <c r="W964" s="304"/>
      <c r="X964" s="140">
        <v>24</v>
      </c>
    </row>
    <row r="965" spans="1:24" ht="18.75" customHeight="1">
      <c r="A965" s="140" t="s">
        <v>155</v>
      </c>
      <c r="B965" s="140"/>
      <c r="C965" s="140"/>
      <c r="D965" s="140"/>
      <c r="E965" s="140"/>
      <c r="F965" s="140"/>
      <c r="G965" s="140"/>
      <c r="H965" s="140"/>
      <c r="I965" s="140"/>
      <c r="J965" s="140"/>
      <c r="K965" s="140"/>
      <c r="M965" s="140" t="s">
        <v>156</v>
      </c>
      <c r="N965" s="140"/>
      <c r="O965" s="140"/>
      <c r="P965" s="140"/>
      <c r="Q965" s="140"/>
      <c r="R965" s="140"/>
      <c r="S965" s="140"/>
      <c r="T965" s="140"/>
      <c r="U965" s="140"/>
      <c r="V965" s="140"/>
      <c r="W965" s="140"/>
    </row>
    <row r="966" spans="1:24" ht="18.75" customHeight="1">
      <c r="A966" s="304" t="s">
        <v>39</v>
      </c>
      <c r="B966" s="304"/>
      <c r="C966" s="304"/>
      <c r="D966" s="304"/>
      <c r="E966" s="304"/>
      <c r="F966" s="304"/>
      <c r="G966" s="304"/>
      <c r="H966" s="304"/>
      <c r="I966" s="304"/>
      <c r="J966" s="304"/>
      <c r="K966" s="304"/>
      <c r="M966" s="304" t="s">
        <v>39</v>
      </c>
      <c r="N966" s="304"/>
      <c r="O966" s="304"/>
      <c r="P966" s="304"/>
      <c r="Q966" s="304"/>
      <c r="R966" s="304"/>
      <c r="S966" s="304"/>
      <c r="T966" s="304"/>
      <c r="U966" s="304"/>
      <c r="V966" s="304"/>
      <c r="W966" s="304"/>
    </row>
    <row r="967" spans="1:24" ht="18.75" customHeight="1">
      <c r="A967" s="304" t="s">
        <v>40</v>
      </c>
      <c r="B967" s="304"/>
      <c r="C967" s="304"/>
      <c r="D967" s="304"/>
      <c r="E967" s="140" t="s">
        <v>41</v>
      </c>
      <c r="F967" s="304"/>
      <c r="G967" s="304"/>
      <c r="H967" s="304"/>
      <c r="I967" s="304"/>
      <c r="J967" s="304"/>
      <c r="K967" s="304"/>
      <c r="M967" s="304" t="s">
        <v>40</v>
      </c>
      <c r="N967" s="304"/>
      <c r="O967" s="304"/>
      <c r="P967" s="304"/>
      <c r="Q967" s="140" t="s">
        <v>41</v>
      </c>
      <c r="R967" s="304"/>
      <c r="S967" s="304"/>
      <c r="T967" s="304"/>
      <c r="U967" s="304"/>
      <c r="V967" s="304"/>
      <c r="W967" s="304"/>
    </row>
    <row r="968" spans="1:24" ht="18.75" customHeight="1">
      <c r="A968" s="304" t="s">
        <v>43</v>
      </c>
      <c r="B968" s="304"/>
      <c r="C968" s="304"/>
      <c r="D968" s="304"/>
      <c r="E968" s="140" t="s">
        <v>41</v>
      </c>
      <c r="F968" s="304"/>
      <c r="G968" s="304"/>
      <c r="H968" s="304"/>
      <c r="I968" s="304"/>
      <c r="J968" s="304"/>
      <c r="K968" s="304"/>
      <c r="M968" s="304" t="s">
        <v>43</v>
      </c>
      <c r="N968" s="304"/>
      <c r="O968" s="304"/>
      <c r="P968" s="304"/>
      <c r="Q968" s="140" t="s">
        <v>41</v>
      </c>
      <c r="R968" s="304"/>
      <c r="S968" s="304"/>
      <c r="T968" s="304"/>
      <c r="U968" s="304"/>
      <c r="V968" s="304"/>
      <c r="W968" s="304"/>
    </row>
    <row r="969" spans="1:24" ht="18.75" customHeight="1">
      <c r="A969" s="304" t="s">
        <v>44</v>
      </c>
      <c r="B969" s="304"/>
      <c r="C969" s="304"/>
      <c r="D969" s="304"/>
      <c r="E969" s="140" t="s">
        <v>41</v>
      </c>
      <c r="F969" s="304" t="s">
        <v>116</v>
      </c>
      <c r="G969" s="304"/>
      <c r="H969" s="304"/>
      <c r="I969" s="304"/>
      <c r="J969" s="304"/>
      <c r="K969" s="304"/>
      <c r="M969" s="304" t="s">
        <v>44</v>
      </c>
      <c r="N969" s="304"/>
      <c r="O969" s="304"/>
      <c r="P969" s="304"/>
      <c r="Q969" s="140" t="s">
        <v>41</v>
      </c>
      <c r="R969" s="304" t="s">
        <v>116</v>
      </c>
      <c r="S969" s="304"/>
      <c r="T969" s="304"/>
      <c r="U969" s="304"/>
      <c r="V969" s="304"/>
      <c r="W969" s="304"/>
    </row>
    <row r="970" spans="1:24" ht="18.75" customHeight="1">
      <c r="A970" s="304" t="s">
        <v>45</v>
      </c>
      <c r="B970" s="304"/>
      <c r="C970" s="304"/>
      <c r="D970" s="304"/>
      <c r="E970" s="304"/>
      <c r="F970" s="304"/>
      <c r="G970" s="304"/>
      <c r="H970" s="304"/>
      <c r="I970" s="304"/>
      <c r="J970" s="304"/>
      <c r="K970" s="304"/>
      <c r="M970" s="304" t="s">
        <v>45</v>
      </c>
      <c r="N970" s="304"/>
      <c r="O970" s="304"/>
      <c r="P970" s="304"/>
      <c r="Q970" s="304"/>
      <c r="R970" s="304"/>
      <c r="S970" s="304"/>
      <c r="T970" s="304"/>
      <c r="U970" s="304"/>
      <c r="V970" s="304"/>
      <c r="W970" s="304"/>
    </row>
    <row r="971" spans="1:24" ht="18.75" customHeight="1">
      <c r="A971" s="304" t="s">
        <v>46</v>
      </c>
      <c r="B971" s="304"/>
      <c r="C971" s="304"/>
      <c r="D971" s="304"/>
      <c r="E971" s="140" t="s">
        <v>41</v>
      </c>
      <c r="F971" s="304">
        <v>2915400</v>
      </c>
      <c r="G971" s="304"/>
      <c r="H971" s="304"/>
      <c r="I971" s="304"/>
      <c r="J971" s="140" t="s">
        <v>47</v>
      </c>
      <c r="K971" s="140"/>
      <c r="M971" s="304" t="s">
        <v>46</v>
      </c>
      <c r="N971" s="304"/>
      <c r="O971" s="304"/>
      <c r="P971" s="304"/>
      <c r="Q971" s="140" t="s">
        <v>41</v>
      </c>
      <c r="R971" s="304">
        <v>2915400</v>
      </c>
      <c r="S971" s="304"/>
      <c r="T971" s="304"/>
      <c r="U971" s="304"/>
      <c r="V971" s="140" t="s">
        <v>47</v>
      </c>
      <c r="W971" s="140"/>
    </row>
    <row r="972" spans="1:24" ht="18.75" customHeight="1">
      <c r="A972" s="140" t="s">
        <v>48</v>
      </c>
      <c r="B972" s="140"/>
      <c r="C972" s="140"/>
      <c r="D972" s="140"/>
      <c r="E972" s="140"/>
      <c r="F972" s="140"/>
      <c r="G972" s="140"/>
      <c r="H972" s="140"/>
      <c r="I972" s="140"/>
      <c r="J972" s="140"/>
      <c r="K972" s="140"/>
      <c r="M972" s="140" t="s">
        <v>48</v>
      </c>
      <c r="N972" s="140"/>
      <c r="O972" s="140"/>
      <c r="P972" s="140"/>
      <c r="Q972" s="140"/>
      <c r="R972" s="140"/>
      <c r="S972" s="140"/>
      <c r="T972" s="140"/>
      <c r="U972" s="140"/>
      <c r="V972" s="140"/>
      <c r="W972" s="140"/>
    </row>
    <row r="973" spans="1:24" ht="18.75" customHeight="1">
      <c r="A973" s="140" t="s">
        <v>49</v>
      </c>
      <c r="B973" s="140"/>
      <c r="C973" s="140"/>
      <c r="D973" s="140"/>
      <c r="E973" s="140"/>
      <c r="F973" s="140"/>
      <c r="G973" s="140"/>
      <c r="H973" s="140"/>
      <c r="I973" s="140" t="e">
        <f>I974/C974/8</f>
        <v>#DIV/0!</v>
      </c>
      <c r="J973" s="140"/>
      <c r="K973" s="140"/>
      <c r="M973" s="140" t="s">
        <v>49</v>
      </c>
      <c r="N973" s="140"/>
      <c r="O973" s="140"/>
      <c r="P973" s="140"/>
      <c r="Q973" s="140"/>
      <c r="R973" s="140"/>
      <c r="S973" s="140"/>
      <c r="T973" s="140"/>
      <c r="U973" s="140" t="e">
        <f>U974/O974/8</f>
        <v>#DIV/0!</v>
      </c>
      <c r="V973" s="140"/>
      <c r="W973" s="140"/>
    </row>
    <row r="974" spans="1:24" ht="18.75" customHeight="1">
      <c r="A974" s="140" t="s">
        <v>50</v>
      </c>
      <c r="B974" s="140" t="s">
        <v>41</v>
      </c>
      <c r="C974" s="140"/>
      <c r="D974" s="140" t="s">
        <v>51</v>
      </c>
      <c r="E974" s="304" t="s">
        <v>52</v>
      </c>
      <c r="F974" s="304"/>
      <c r="G974" s="304"/>
      <c r="H974" s="140" t="s">
        <v>41</v>
      </c>
      <c r="I974" s="304" t="e">
        <f>I972*680/((C974-C981)*8+C981*7+C978)*((C974-C981)*8+C981*7)</f>
        <v>#DIV/0!</v>
      </c>
      <c r="J974" s="304"/>
      <c r="K974" s="140" t="s">
        <v>47</v>
      </c>
      <c r="L974" s="140">
        <f>F971/L964*C974</f>
        <v>0</v>
      </c>
      <c r="M974" s="140" t="s">
        <v>50</v>
      </c>
      <c r="N974" s="140" t="s">
        <v>41</v>
      </c>
      <c r="O974" s="140"/>
      <c r="P974" s="140" t="s">
        <v>51</v>
      </c>
      <c r="Q974" s="304" t="s">
        <v>52</v>
      </c>
      <c r="R974" s="304"/>
      <c r="S974" s="304"/>
      <c r="T974" s="140" t="s">
        <v>41</v>
      </c>
      <c r="U974" s="304" t="e">
        <f>U972*680/((O974-O981)*8+O981*7+O978)*((O974-O981)*8+O981*7)</f>
        <v>#DIV/0!</v>
      </c>
      <c r="V974" s="304"/>
      <c r="W974" s="140" t="s">
        <v>47</v>
      </c>
      <c r="X974" s="140">
        <f>R971/X964*O974</f>
        <v>0</v>
      </c>
    </row>
    <row r="975" spans="1:24" ht="18.75" customHeight="1">
      <c r="A975" s="140" t="s">
        <v>53</v>
      </c>
      <c r="B975" s="140" t="s">
        <v>41</v>
      </c>
      <c r="C975" s="140"/>
      <c r="D975" s="140" t="s">
        <v>51</v>
      </c>
      <c r="E975" s="304" t="s">
        <v>54</v>
      </c>
      <c r="F975" s="304"/>
      <c r="G975" s="304"/>
      <c r="H975" s="140" t="s">
        <v>41</v>
      </c>
      <c r="I975" s="304">
        <f>$F$8/$L$1*C975</f>
        <v>0</v>
      </c>
      <c r="J975" s="304"/>
      <c r="K975" s="140" t="s">
        <v>47</v>
      </c>
      <c r="L975" s="140"/>
      <c r="M975" s="140" t="s">
        <v>53</v>
      </c>
      <c r="N975" s="140" t="s">
        <v>41</v>
      </c>
      <c r="O975" s="140"/>
      <c r="P975" s="140" t="s">
        <v>51</v>
      </c>
      <c r="Q975" s="304" t="s">
        <v>54</v>
      </c>
      <c r="R975" s="304"/>
      <c r="S975" s="304"/>
      <c r="T975" s="140" t="s">
        <v>41</v>
      </c>
      <c r="U975" s="304">
        <f>$F$8/$L$1*O975</f>
        <v>0</v>
      </c>
      <c r="V975" s="304"/>
      <c r="W975" s="140" t="s">
        <v>47</v>
      </c>
      <c r="X975" s="140"/>
    </row>
    <row r="976" spans="1:24" ht="18.75" customHeight="1">
      <c r="A976" s="140" t="s">
        <v>55</v>
      </c>
      <c r="B976" s="140" t="s">
        <v>41</v>
      </c>
      <c r="C976" s="140"/>
      <c r="D976" s="140" t="s">
        <v>51</v>
      </c>
      <c r="E976" s="304" t="s">
        <v>56</v>
      </c>
      <c r="F976" s="304"/>
      <c r="G976" s="304"/>
      <c r="H976" s="140" t="s">
        <v>41</v>
      </c>
      <c r="I976" s="304">
        <f>$F$8/$L$1*C976</f>
        <v>0</v>
      </c>
      <c r="J976" s="304"/>
      <c r="K976" s="140" t="s">
        <v>47</v>
      </c>
      <c r="L976" s="140"/>
      <c r="M976" s="140" t="s">
        <v>55</v>
      </c>
      <c r="N976" s="140" t="s">
        <v>41</v>
      </c>
      <c r="O976" s="140"/>
      <c r="P976" s="140" t="s">
        <v>51</v>
      </c>
      <c r="Q976" s="304" t="s">
        <v>56</v>
      </c>
      <c r="R976" s="304"/>
      <c r="S976" s="304"/>
      <c r="T976" s="140" t="s">
        <v>41</v>
      </c>
      <c r="U976" s="304">
        <f>$F$8/$L$1*O976</f>
        <v>0</v>
      </c>
      <c r="V976" s="304"/>
      <c r="W976" s="140" t="s">
        <v>47</v>
      </c>
      <c r="X976" s="140"/>
    </row>
    <row r="977" spans="1:24" ht="18.75" customHeight="1">
      <c r="A977" s="140" t="s">
        <v>57</v>
      </c>
      <c r="B977" s="140" t="s">
        <v>41</v>
      </c>
      <c r="C977" s="140"/>
      <c r="D977" s="140" t="s">
        <v>51</v>
      </c>
      <c r="E977" s="304" t="s">
        <v>58</v>
      </c>
      <c r="F977" s="304"/>
      <c r="G977" s="304"/>
      <c r="H977" s="140" t="s">
        <v>41</v>
      </c>
      <c r="I977" s="304">
        <f>$F$8/$L$1*C977</f>
        <v>0</v>
      </c>
      <c r="J977" s="304"/>
      <c r="K977" s="140" t="s">
        <v>47</v>
      </c>
      <c r="L977" s="140"/>
      <c r="M977" s="140" t="s">
        <v>57</v>
      </c>
      <c r="N977" s="140" t="s">
        <v>41</v>
      </c>
      <c r="O977" s="140"/>
      <c r="P977" s="140" t="s">
        <v>51</v>
      </c>
      <c r="Q977" s="304" t="s">
        <v>58</v>
      </c>
      <c r="R977" s="304"/>
      <c r="S977" s="304"/>
      <c r="T977" s="140" t="s">
        <v>41</v>
      </c>
      <c r="U977" s="304">
        <f>$F$8/$L$1*O977</f>
        <v>0</v>
      </c>
      <c r="V977" s="304"/>
      <c r="W977" s="140" t="s">
        <v>47</v>
      </c>
      <c r="X977" s="140"/>
    </row>
    <row r="978" spans="1:24" ht="18.75" customHeight="1">
      <c r="A978" s="140" t="s">
        <v>59</v>
      </c>
      <c r="B978" s="140" t="s">
        <v>41</v>
      </c>
      <c r="C978" s="140"/>
      <c r="D978" s="140" t="s">
        <v>60</v>
      </c>
      <c r="E978" s="304" t="s">
        <v>61</v>
      </c>
      <c r="F978" s="304"/>
      <c r="G978" s="304"/>
      <c r="H978" s="140" t="s">
        <v>41</v>
      </c>
      <c r="I978" s="304" t="e">
        <f>I974/C974/8*C978</f>
        <v>#DIV/0!</v>
      </c>
      <c r="J978" s="304"/>
      <c r="K978" s="140" t="s">
        <v>47</v>
      </c>
      <c r="L978" s="140">
        <f>F971*C978/L964/8*1.5</f>
        <v>0</v>
      </c>
      <c r="M978" s="140" t="s">
        <v>59</v>
      </c>
      <c r="N978" s="140" t="s">
        <v>41</v>
      </c>
      <c r="O978" s="140"/>
      <c r="P978" s="140" t="s">
        <v>60</v>
      </c>
      <c r="Q978" s="304" t="s">
        <v>61</v>
      </c>
      <c r="R978" s="304"/>
      <c r="S978" s="304"/>
      <c r="T978" s="140" t="s">
        <v>41</v>
      </c>
      <c r="U978" s="304" t="e">
        <f>U974/O974/8*O978</f>
        <v>#DIV/0!</v>
      </c>
      <c r="V978" s="304"/>
      <c r="W978" s="140" t="s">
        <v>47</v>
      </c>
      <c r="X978" s="140">
        <f>R971*O978/X964/8*1.5</f>
        <v>0</v>
      </c>
    </row>
    <row r="979" spans="1:24" ht="18.75" customHeight="1">
      <c r="A979" s="304" t="s">
        <v>62</v>
      </c>
      <c r="B979" s="304"/>
      <c r="C979" s="140"/>
      <c r="D979" s="140" t="s">
        <v>51</v>
      </c>
      <c r="E979" s="304" t="s">
        <v>63</v>
      </c>
      <c r="F979" s="304"/>
      <c r="G979" s="304"/>
      <c r="H979" s="140" t="s">
        <v>41</v>
      </c>
      <c r="I979" s="304"/>
      <c r="J979" s="304"/>
      <c r="K979" s="140" t="s">
        <v>47</v>
      </c>
      <c r="L979" s="140"/>
      <c r="M979" s="304" t="s">
        <v>62</v>
      </c>
      <c r="N979" s="304"/>
      <c r="O979" s="140"/>
      <c r="P979" s="140" t="s">
        <v>51</v>
      </c>
      <c r="Q979" s="304" t="s">
        <v>63</v>
      </c>
      <c r="R979" s="304"/>
      <c r="S979" s="304"/>
      <c r="T979" s="140" t="s">
        <v>41</v>
      </c>
      <c r="U979" s="304"/>
      <c r="V979" s="304"/>
      <c r="W979" s="140" t="s">
        <v>47</v>
      </c>
      <c r="X979" s="140"/>
    </row>
    <row r="980" spans="1:24" ht="18.75" customHeight="1">
      <c r="A980" s="140" t="s">
        <v>64</v>
      </c>
      <c r="B980" s="140" t="s">
        <v>41</v>
      </c>
      <c r="C980" s="140"/>
      <c r="D980" s="140" t="s">
        <v>51</v>
      </c>
      <c r="E980" s="304" t="s">
        <v>65</v>
      </c>
      <c r="F980" s="304"/>
      <c r="G980" s="304"/>
      <c r="H980" s="140" t="s">
        <v>41</v>
      </c>
      <c r="I980" s="304"/>
      <c r="J980" s="304"/>
      <c r="K980" s="140" t="s">
        <v>47</v>
      </c>
      <c r="L980" s="140"/>
      <c r="M980" s="140" t="s">
        <v>64</v>
      </c>
      <c r="N980" s="140" t="s">
        <v>41</v>
      </c>
      <c r="O980" s="140"/>
      <c r="P980" s="140" t="s">
        <v>51</v>
      </c>
      <c r="Q980" s="304" t="s">
        <v>65</v>
      </c>
      <c r="R980" s="304"/>
      <c r="S980" s="304"/>
      <c r="T980" s="140" t="s">
        <v>41</v>
      </c>
      <c r="U980" s="304"/>
      <c r="V980" s="304"/>
      <c r="W980" s="140" t="s">
        <v>47</v>
      </c>
      <c r="X980" s="140"/>
    </row>
    <row r="981" spans="1:24" ht="18.75" customHeight="1">
      <c r="A981" s="140" t="s">
        <v>66</v>
      </c>
      <c r="B981" s="140"/>
      <c r="C981" s="140"/>
      <c r="D981" s="140" t="s">
        <v>60</v>
      </c>
      <c r="E981" s="304" t="s">
        <v>67</v>
      </c>
      <c r="F981" s="304"/>
      <c r="G981" s="304"/>
      <c r="H981" s="140" t="s">
        <v>41</v>
      </c>
      <c r="I981" s="304">
        <f>$F$8*C981/8/$L$1</f>
        <v>0</v>
      </c>
      <c r="J981" s="304"/>
      <c r="K981" s="140" t="s">
        <v>47</v>
      </c>
      <c r="L981" s="140"/>
      <c r="M981" s="140" t="s">
        <v>66</v>
      </c>
      <c r="N981" s="140"/>
      <c r="O981" s="140"/>
      <c r="P981" s="140" t="s">
        <v>60</v>
      </c>
      <c r="Q981" s="304" t="s">
        <v>67</v>
      </c>
      <c r="R981" s="304"/>
      <c r="S981" s="304"/>
      <c r="T981" s="140" t="s">
        <v>41</v>
      </c>
      <c r="U981" s="304">
        <f>$F$8*O981/8/$L$1</f>
        <v>0</v>
      </c>
      <c r="V981" s="304"/>
      <c r="W981" s="140" t="s">
        <v>47</v>
      </c>
      <c r="X981" s="140"/>
    </row>
    <row r="982" spans="1:24" ht="18.75" customHeight="1">
      <c r="A982" s="140" t="s">
        <v>68</v>
      </c>
      <c r="B982" s="140" t="s">
        <v>41</v>
      </c>
      <c r="C982" s="140"/>
      <c r="D982" s="140" t="s">
        <v>60</v>
      </c>
      <c r="E982" s="304" t="s">
        <v>92</v>
      </c>
      <c r="F982" s="304"/>
      <c r="G982" s="304"/>
      <c r="H982" s="140" t="s">
        <v>41</v>
      </c>
      <c r="I982" s="304"/>
      <c r="J982" s="304"/>
      <c r="K982" s="140" t="s">
        <v>47</v>
      </c>
      <c r="L982" s="140"/>
      <c r="M982" s="140" t="s">
        <v>68</v>
      </c>
      <c r="N982" s="140" t="s">
        <v>41</v>
      </c>
      <c r="O982" s="140"/>
      <c r="P982" s="140" t="s">
        <v>60</v>
      </c>
      <c r="Q982" s="304" t="s">
        <v>92</v>
      </c>
      <c r="R982" s="304"/>
      <c r="S982" s="304"/>
      <c r="T982" s="140" t="s">
        <v>41</v>
      </c>
      <c r="U982" s="304"/>
      <c r="V982" s="304"/>
      <c r="W982" s="140" t="s">
        <v>47</v>
      </c>
      <c r="X982" s="140"/>
    </row>
    <row r="983" spans="1:24" ht="18.75" customHeight="1">
      <c r="A983" s="140" t="s">
        <v>70</v>
      </c>
      <c r="B983" s="140" t="s">
        <v>41</v>
      </c>
      <c r="C983" s="140"/>
      <c r="D983" s="140" t="s">
        <v>71</v>
      </c>
      <c r="E983" s="140" t="s">
        <v>72</v>
      </c>
      <c r="F983" s="140"/>
      <c r="G983" s="140"/>
      <c r="H983" s="140" t="s">
        <v>41</v>
      </c>
      <c r="I983" s="304"/>
      <c r="J983" s="304"/>
      <c r="K983" s="140" t="s">
        <v>47</v>
      </c>
      <c r="L983" s="140" t="e">
        <f>+IF(L974-I974&lt;0,0,L974-I974)+IF(L978-I978&lt;0,0,L978-I978)</f>
        <v>#DIV/0!</v>
      </c>
      <c r="M983" s="140" t="s">
        <v>70</v>
      </c>
      <c r="N983" s="140" t="s">
        <v>41</v>
      </c>
      <c r="O983" s="140"/>
      <c r="P983" s="140" t="s">
        <v>71</v>
      </c>
      <c r="Q983" s="140" t="s">
        <v>72</v>
      </c>
      <c r="R983" s="140"/>
      <c r="S983" s="140"/>
      <c r="T983" s="140" t="s">
        <v>41</v>
      </c>
      <c r="U983" s="304"/>
      <c r="V983" s="304"/>
      <c r="W983" s="140" t="s">
        <v>47</v>
      </c>
      <c r="X983" s="140" t="e">
        <f>+IF(X974-U974&lt;0,0,X974-U974)+IF(X978-U978&lt;0,0,X978-U978)</f>
        <v>#DIV/0!</v>
      </c>
    </row>
    <row r="984" spans="1:24" ht="18.75" customHeight="1">
      <c r="A984" s="140" t="s">
        <v>117</v>
      </c>
      <c r="B984" s="140"/>
      <c r="C984" s="140"/>
      <c r="D984" s="140" t="s">
        <v>51</v>
      </c>
      <c r="E984" s="304" t="s">
        <v>118</v>
      </c>
      <c r="F984" s="304"/>
      <c r="G984" s="304"/>
      <c r="H984" s="140" t="s">
        <v>41</v>
      </c>
      <c r="I984" s="304"/>
      <c r="J984" s="304"/>
      <c r="K984" s="140" t="s">
        <v>47</v>
      </c>
      <c r="L984" s="140"/>
      <c r="M984" s="140" t="s">
        <v>117</v>
      </c>
      <c r="N984" s="140"/>
      <c r="O984" s="140"/>
      <c r="P984" s="140" t="s">
        <v>51</v>
      </c>
      <c r="Q984" s="304" t="s">
        <v>118</v>
      </c>
      <c r="R984" s="304"/>
      <c r="S984" s="304"/>
      <c r="T984" s="140" t="s">
        <v>41</v>
      </c>
      <c r="U984" s="304"/>
      <c r="V984" s="304"/>
      <c r="W984" s="140" t="s">
        <v>47</v>
      </c>
      <c r="X984" s="140"/>
    </row>
    <row r="985" spans="1:24" ht="18.75" customHeight="1">
      <c r="A985" s="304" t="s">
        <v>75</v>
      </c>
      <c r="B985" s="304"/>
      <c r="C985" s="140"/>
      <c r="D985" s="140"/>
      <c r="E985" s="140"/>
      <c r="F985" s="140"/>
      <c r="G985" s="140"/>
      <c r="H985" s="140" t="s">
        <v>41</v>
      </c>
      <c r="I985" s="304"/>
      <c r="J985" s="304"/>
      <c r="K985" s="140" t="s">
        <v>47</v>
      </c>
      <c r="L985" s="140"/>
      <c r="M985" s="304" t="s">
        <v>75</v>
      </c>
      <c r="N985" s="304"/>
      <c r="O985" s="140"/>
      <c r="P985" s="140"/>
      <c r="Q985" s="140"/>
      <c r="R985" s="140"/>
      <c r="S985" s="140"/>
      <c r="T985" s="140" t="s">
        <v>41</v>
      </c>
      <c r="U985" s="304"/>
      <c r="V985" s="304"/>
      <c r="W985" s="140" t="s">
        <v>47</v>
      </c>
      <c r="X985" s="140"/>
    </row>
    <row r="986" spans="1:24" ht="18.75" customHeight="1">
      <c r="A986" s="140" t="s">
        <v>76</v>
      </c>
      <c r="B986" s="140" t="s">
        <v>41</v>
      </c>
      <c r="C986" s="140"/>
      <c r="D986" s="140"/>
      <c r="E986" s="140" t="s">
        <v>77</v>
      </c>
      <c r="F986" s="140"/>
      <c r="G986" s="140"/>
      <c r="H986" s="140" t="s">
        <v>41</v>
      </c>
      <c r="I986" s="304" t="e">
        <f>L983</f>
        <v>#DIV/0!</v>
      </c>
      <c r="J986" s="304"/>
      <c r="K986" s="140" t="s">
        <v>47</v>
      </c>
      <c r="L986" s="140"/>
      <c r="M986" s="140" t="s">
        <v>76</v>
      </c>
      <c r="N986" s="140" t="s">
        <v>41</v>
      </c>
      <c r="O986" s="140"/>
      <c r="P986" s="140"/>
      <c r="Q986" s="140" t="s">
        <v>77</v>
      </c>
      <c r="R986" s="140"/>
      <c r="S986" s="140"/>
      <c r="T986" s="140" t="s">
        <v>41</v>
      </c>
      <c r="U986" s="304" t="e">
        <f>X983</f>
        <v>#DIV/0!</v>
      </c>
      <c r="V986" s="304"/>
      <c r="W986" s="140" t="s">
        <v>47</v>
      </c>
      <c r="X986" s="140"/>
    </row>
    <row r="987" spans="1:24" ht="18.75" customHeight="1">
      <c r="A987" s="304" t="s">
        <v>78</v>
      </c>
      <c r="B987" s="304"/>
      <c r="C987" s="304"/>
      <c r="D987" s="304"/>
      <c r="E987" s="304"/>
      <c r="F987" s="304"/>
      <c r="G987" s="140" t="s">
        <v>41</v>
      </c>
      <c r="H987" s="304" t="e">
        <f>I974+I975+I976+I977+I978+I981+I985+I986</f>
        <v>#DIV/0!</v>
      </c>
      <c r="I987" s="304"/>
      <c r="J987" s="304"/>
      <c r="K987" s="140" t="s">
        <v>47</v>
      </c>
      <c r="M987" s="304" t="s">
        <v>78</v>
      </c>
      <c r="N987" s="304"/>
      <c r="O987" s="304"/>
      <c r="P987" s="304"/>
      <c r="Q987" s="304"/>
      <c r="R987" s="304"/>
      <c r="S987" s="140" t="s">
        <v>41</v>
      </c>
      <c r="T987" s="304" t="e">
        <f>U974+U975+U976+U977+U978+U981+U985+U986</f>
        <v>#DIV/0!</v>
      </c>
      <c r="U987" s="304"/>
      <c r="V987" s="304"/>
      <c r="W987" s="140" t="s">
        <v>47</v>
      </c>
    </row>
    <row r="988" spans="1:24" ht="18.75" customHeight="1">
      <c r="A988" s="140"/>
      <c r="B988" s="140"/>
      <c r="C988" s="140"/>
      <c r="D988" s="140"/>
      <c r="E988" s="140"/>
      <c r="F988" s="140"/>
      <c r="G988" s="140"/>
      <c r="H988" s="140"/>
      <c r="I988" s="140"/>
      <c r="J988" s="140"/>
      <c r="K988" s="140"/>
      <c r="M988" s="140"/>
      <c r="N988" s="140"/>
      <c r="O988" s="140"/>
      <c r="P988" s="140"/>
      <c r="Q988" s="140"/>
      <c r="R988" s="140"/>
      <c r="S988" s="140"/>
      <c r="T988" s="140"/>
      <c r="U988" s="140"/>
      <c r="V988" s="140"/>
      <c r="W988" s="140"/>
    </row>
    <row r="989" spans="1:24" ht="18.75" customHeight="1">
      <c r="A989" s="304" t="s">
        <v>79</v>
      </c>
      <c r="B989" s="304"/>
      <c r="C989" s="304"/>
      <c r="D989" s="304"/>
      <c r="E989" s="304"/>
      <c r="F989" s="304"/>
      <c r="G989" s="140"/>
      <c r="H989" s="140"/>
      <c r="I989" s="140"/>
      <c r="J989" s="140"/>
      <c r="K989" s="140"/>
      <c r="M989" s="304" t="s">
        <v>79</v>
      </c>
      <c r="N989" s="304"/>
      <c r="O989" s="304"/>
      <c r="P989" s="304"/>
      <c r="Q989" s="304"/>
      <c r="R989" s="304"/>
      <c r="S989" s="140"/>
      <c r="T989" s="140"/>
      <c r="U989" s="140"/>
      <c r="V989" s="140"/>
      <c r="W989" s="140"/>
    </row>
    <row r="990" spans="1:24" ht="18.75" customHeight="1">
      <c r="A990" s="304" t="s">
        <v>80</v>
      </c>
      <c r="B990" s="304"/>
      <c r="C990" s="304"/>
      <c r="D990" s="304"/>
      <c r="E990" s="304"/>
      <c r="F990" s="304"/>
      <c r="G990" s="140" t="s">
        <v>41</v>
      </c>
      <c r="H990" s="304">
        <f>IF(($L$1-(C974+C975+C976+C977))&gt;12,0,F971*8%)</f>
        <v>0</v>
      </c>
      <c r="I990" s="304"/>
      <c r="J990" s="304"/>
      <c r="K990" s="140" t="s">
        <v>47</v>
      </c>
      <c r="M990" s="304" t="s">
        <v>80</v>
      </c>
      <c r="N990" s="304"/>
      <c r="O990" s="304"/>
      <c r="P990" s="304"/>
      <c r="Q990" s="304"/>
      <c r="R990" s="304"/>
      <c r="S990" s="140" t="s">
        <v>41</v>
      </c>
      <c r="T990" s="304">
        <f>IF(($L$1-(O974+O975+O976+O977))&gt;12,0,R971*8%)</f>
        <v>0</v>
      </c>
      <c r="U990" s="304"/>
      <c r="V990" s="304"/>
      <c r="W990" s="140" t="s">
        <v>47</v>
      </c>
    </row>
    <row r="991" spans="1:24" ht="18.75" customHeight="1">
      <c r="A991" s="304" t="s">
        <v>81</v>
      </c>
      <c r="B991" s="304"/>
      <c r="C991" s="304"/>
      <c r="D991" s="304"/>
      <c r="E991" s="304"/>
      <c r="F991" s="304"/>
      <c r="G991" s="140" t="s">
        <v>41</v>
      </c>
      <c r="H991" s="304">
        <f>IF(($L$1-(C974+C975+C976+C977))&gt;12,0,F971*1.5%)</f>
        <v>0</v>
      </c>
      <c r="I991" s="304"/>
      <c r="J991" s="304"/>
      <c r="K991" s="140" t="s">
        <v>47</v>
      </c>
      <c r="M991" s="304" t="s">
        <v>81</v>
      </c>
      <c r="N991" s="304"/>
      <c r="O991" s="304"/>
      <c r="P991" s="304"/>
      <c r="Q991" s="304"/>
      <c r="R991" s="304"/>
      <c r="S991" s="140" t="s">
        <v>41</v>
      </c>
      <c r="T991" s="304">
        <f>IF(($L$1-(O974+O975+O976+O977))&gt;12,0,R971*1.5%)</f>
        <v>0</v>
      </c>
      <c r="U991" s="304"/>
      <c r="V991" s="304"/>
      <c r="W991" s="140" t="s">
        <v>47</v>
      </c>
    </row>
    <row r="992" spans="1:24" ht="18.75" customHeight="1">
      <c r="A992" s="304" t="s">
        <v>82</v>
      </c>
      <c r="B992" s="304"/>
      <c r="C992" s="304"/>
      <c r="D992" s="304"/>
      <c r="E992" s="304"/>
      <c r="F992" s="304"/>
      <c r="G992" s="140" t="s">
        <v>41</v>
      </c>
      <c r="H992" s="304">
        <f>IF(($L$1-(C974+C975+C976+C977))&gt;12,0,F971*1%)</f>
        <v>0</v>
      </c>
      <c r="I992" s="304"/>
      <c r="J992" s="304"/>
      <c r="K992" s="140" t="s">
        <v>47</v>
      </c>
      <c r="M992" s="304" t="s">
        <v>82</v>
      </c>
      <c r="N992" s="304"/>
      <c r="O992" s="304"/>
      <c r="P992" s="304"/>
      <c r="Q992" s="304"/>
      <c r="R992" s="304"/>
      <c r="S992" s="140" t="s">
        <v>41</v>
      </c>
      <c r="T992" s="304">
        <f>IF(($L$1-(O974+O975+O976+O977))&gt;12,0,R971*1%)</f>
        <v>0</v>
      </c>
      <c r="U992" s="304"/>
      <c r="V992" s="304"/>
      <c r="W992" s="140" t="s">
        <v>47</v>
      </c>
    </row>
    <row r="993" spans="1:24" ht="18.75" customHeight="1">
      <c r="A993" s="304" t="s">
        <v>83</v>
      </c>
      <c r="B993" s="304"/>
      <c r="C993" s="304"/>
      <c r="D993" s="304"/>
      <c r="E993" s="304"/>
      <c r="F993" s="304"/>
      <c r="G993" s="140" t="s">
        <v>41</v>
      </c>
      <c r="H993" s="304">
        <v>0</v>
      </c>
      <c r="I993" s="304"/>
      <c r="J993" s="304"/>
      <c r="K993" s="140" t="s">
        <v>47</v>
      </c>
      <c r="M993" s="304" t="s">
        <v>83</v>
      </c>
      <c r="N993" s="304"/>
      <c r="O993" s="304"/>
      <c r="P993" s="304"/>
      <c r="Q993" s="304"/>
      <c r="R993" s="304"/>
      <c r="S993" s="140" t="s">
        <v>41</v>
      </c>
      <c r="T993" s="304">
        <v>0</v>
      </c>
      <c r="U993" s="304"/>
      <c r="V993" s="304"/>
      <c r="W993" s="140" t="s">
        <v>47</v>
      </c>
    </row>
    <row r="994" spans="1:24" ht="18.75" customHeight="1">
      <c r="A994" s="304" t="s">
        <v>84</v>
      </c>
      <c r="B994" s="304"/>
      <c r="C994" s="304"/>
      <c r="D994" s="304"/>
      <c r="E994" s="304"/>
      <c r="F994" s="304"/>
      <c r="G994" s="140" t="s">
        <v>41</v>
      </c>
      <c r="H994" s="304">
        <f>SUM(H990:J993)</f>
        <v>0</v>
      </c>
      <c r="I994" s="304"/>
      <c r="J994" s="304"/>
      <c r="K994" s="140" t="s">
        <v>47</v>
      </c>
      <c r="M994" s="304" t="s">
        <v>84</v>
      </c>
      <c r="N994" s="304"/>
      <c r="O994" s="304"/>
      <c r="P994" s="304"/>
      <c r="Q994" s="304"/>
      <c r="R994" s="304"/>
      <c r="S994" s="140" t="s">
        <v>41</v>
      </c>
      <c r="T994" s="304">
        <f>SUM(T990:V993)</f>
        <v>0</v>
      </c>
      <c r="U994" s="304"/>
      <c r="V994" s="304"/>
      <c r="W994" s="140" t="s">
        <v>47</v>
      </c>
    </row>
    <row r="995" spans="1:24" ht="18.75" customHeight="1">
      <c r="A995" s="304" t="s">
        <v>85</v>
      </c>
      <c r="B995" s="304"/>
      <c r="C995" s="304"/>
      <c r="D995" s="304"/>
      <c r="E995" s="304"/>
      <c r="F995" s="304"/>
      <c r="G995" s="140" t="s">
        <v>41</v>
      </c>
      <c r="H995" s="304" t="e">
        <f>ROUND(H987-H994,-2)</f>
        <v>#DIV/0!</v>
      </c>
      <c r="I995" s="304"/>
      <c r="J995" s="304"/>
      <c r="K995" s="140" t="s">
        <v>47</v>
      </c>
      <c r="M995" s="304" t="s">
        <v>85</v>
      </c>
      <c r="N995" s="304"/>
      <c r="O995" s="304"/>
      <c r="P995" s="304"/>
      <c r="Q995" s="304"/>
      <c r="R995" s="304"/>
      <c r="S995" s="140" t="s">
        <v>41</v>
      </c>
      <c r="T995" s="304" t="e">
        <f>ROUND(T987-T994,-2)</f>
        <v>#DIV/0!</v>
      </c>
      <c r="U995" s="304"/>
      <c r="V995" s="304"/>
      <c r="W995" s="140" t="s">
        <v>47</v>
      </c>
    </row>
    <row r="996" spans="1:24" ht="18.75" customHeight="1">
      <c r="A996" s="140"/>
      <c r="B996" s="140"/>
      <c r="C996" s="140"/>
      <c r="D996" s="140"/>
      <c r="E996" s="140"/>
      <c r="F996" s="140"/>
      <c r="G996" s="140"/>
      <c r="H996" s="140"/>
      <c r="I996" s="140"/>
      <c r="J996" s="140"/>
      <c r="K996" s="140"/>
      <c r="M996" s="140"/>
      <c r="N996" s="140"/>
      <c r="O996" s="140"/>
      <c r="P996" s="140"/>
      <c r="Q996" s="140"/>
      <c r="R996" s="140"/>
      <c r="S996" s="140"/>
      <c r="T996" s="140"/>
      <c r="U996" s="140"/>
      <c r="V996" s="140"/>
      <c r="W996" s="140"/>
    </row>
    <row r="997" spans="1:24" ht="18.75" customHeight="1">
      <c r="A997" s="140"/>
      <c r="B997" s="140"/>
      <c r="C997" s="140"/>
      <c r="D997" s="140"/>
      <c r="E997" s="140"/>
      <c r="F997" s="140"/>
      <c r="G997" s="140"/>
      <c r="H997" s="140"/>
      <c r="I997" s="304" t="s">
        <v>86</v>
      </c>
      <c r="J997" s="304"/>
      <c r="K997" s="304"/>
      <c r="M997" s="140"/>
      <c r="N997" s="140"/>
      <c r="O997" s="140"/>
      <c r="P997" s="140"/>
      <c r="Q997" s="140"/>
      <c r="R997" s="140"/>
      <c r="S997" s="140"/>
      <c r="T997" s="140"/>
      <c r="U997" s="304" t="s">
        <v>86</v>
      </c>
      <c r="V997" s="304"/>
      <c r="W997" s="304"/>
    </row>
    <row r="998" spans="1:24" ht="18.75" customHeight="1">
      <c r="A998" s="140"/>
      <c r="B998" s="304"/>
      <c r="C998" s="304"/>
      <c r="D998" s="304"/>
      <c r="E998" s="304"/>
      <c r="F998" s="140"/>
      <c r="G998" s="140"/>
      <c r="H998" s="140"/>
      <c r="I998" s="140"/>
      <c r="J998" s="140"/>
      <c r="K998" s="140"/>
      <c r="M998" s="140"/>
      <c r="N998" s="304"/>
      <c r="O998" s="304"/>
      <c r="P998" s="304"/>
      <c r="Q998" s="304"/>
      <c r="R998" s="140"/>
      <c r="S998" s="140"/>
      <c r="T998" s="140"/>
      <c r="U998" s="140"/>
      <c r="V998" s="140"/>
      <c r="W998" s="140"/>
    </row>
    <row r="999" spans="1:24" ht="18.75" customHeight="1">
      <c r="A999" s="140"/>
      <c r="B999" s="140"/>
      <c r="C999" s="140"/>
      <c r="D999" s="140"/>
      <c r="E999" s="140"/>
      <c r="F999" s="140"/>
      <c r="G999" s="140"/>
      <c r="H999" s="140"/>
      <c r="I999" s="304" t="s">
        <v>87</v>
      </c>
      <c r="J999" s="304"/>
      <c r="K999" s="304"/>
      <c r="M999" s="140"/>
      <c r="N999" s="140"/>
      <c r="O999" s="140"/>
      <c r="P999" s="140"/>
      <c r="Q999" s="140"/>
      <c r="R999" s="140"/>
      <c r="S999" s="140"/>
      <c r="T999" s="140"/>
      <c r="U999" s="304" t="s">
        <v>87</v>
      </c>
      <c r="V999" s="304"/>
      <c r="W999" s="304"/>
    </row>
    <row r="1001" spans="1:24" ht="18.75" customHeight="1">
      <c r="A1001" s="304" t="s">
        <v>35</v>
      </c>
      <c r="B1001" s="304"/>
      <c r="C1001" s="304"/>
      <c r="D1001" s="304"/>
      <c r="E1001" s="304"/>
      <c r="F1001" s="304"/>
      <c r="G1001" s="304"/>
      <c r="H1001" s="304"/>
      <c r="I1001" s="304"/>
      <c r="J1001" s="304"/>
      <c r="K1001" s="304"/>
      <c r="L1001" s="140">
        <v>24</v>
      </c>
      <c r="M1001" s="304" t="s">
        <v>35</v>
      </c>
      <c r="N1001" s="304"/>
      <c r="O1001" s="304"/>
      <c r="P1001" s="304"/>
      <c r="Q1001" s="304"/>
      <c r="R1001" s="304"/>
      <c r="S1001" s="304"/>
      <c r="T1001" s="304"/>
      <c r="U1001" s="304"/>
      <c r="V1001" s="304"/>
      <c r="W1001" s="304"/>
      <c r="X1001" s="140">
        <v>24</v>
      </c>
    </row>
    <row r="1002" spans="1:24" ht="18.75" customHeight="1">
      <c r="A1002" s="140" t="s">
        <v>157</v>
      </c>
      <c r="B1002" s="140"/>
      <c r="C1002" s="140"/>
      <c r="D1002" s="140"/>
      <c r="E1002" s="140"/>
      <c r="F1002" s="140"/>
      <c r="G1002" s="140"/>
      <c r="H1002" s="140"/>
      <c r="I1002" s="140"/>
      <c r="J1002" s="140"/>
      <c r="K1002" s="140"/>
      <c r="M1002" s="140" t="s">
        <v>158</v>
      </c>
      <c r="N1002" s="140"/>
      <c r="O1002" s="140"/>
      <c r="P1002" s="140"/>
      <c r="Q1002" s="140"/>
      <c r="R1002" s="140"/>
      <c r="S1002" s="140"/>
      <c r="T1002" s="140"/>
      <c r="U1002" s="140"/>
      <c r="V1002" s="140"/>
      <c r="W1002" s="140"/>
    </row>
    <row r="1003" spans="1:24" ht="18.75" customHeight="1">
      <c r="A1003" s="304" t="s">
        <v>39</v>
      </c>
      <c r="B1003" s="304"/>
      <c r="C1003" s="304"/>
      <c r="D1003" s="304"/>
      <c r="E1003" s="304"/>
      <c r="F1003" s="304"/>
      <c r="G1003" s="304"/>
      <c r="H1003" s="304"/>
      <c r="I1003" s="304"/>
      <c r="J1003" s="304"/>
      <c r="K1003" s="304"/>
      <c r="M1003" s="304" t="s">
        <v>39</v>
      </c>
      <c r="N1003" s="304"/>
      <c r="O1003" s="304"/>
      <c r="P1003" s="304"/>
      <c r="Q1003" s="304"/>
      <c r="R1003" s="304"/>
      <c r="S1003" s="304"/>
      <c r="T1003" s="304"/>
      <c r="U1003" s="304"/>
      <c r="V1003" s="304"/>
      <c r="W1003" s="304"/>
    </row>
    <row r="1004" spans="1:24" ht="18.75" customHeight="1">
      <c r="A1004" s="304" t="s">
        <v>40</v>
      </c>
      <c r="B1004" s="304"/>
      <c r="C1004" s="304"/>
      <c r="D1004" s="304"/>
      <c r="E1004" s="140" t="s">
        <v>41</v>
      </c>
      <c r="F1004" s="304"/>
      <c r="G1004" s="304"/>
      <c r="H1004" s="304"/>
      <c r="I1004" s="304"/>
      <c r="J1004" s="304"/>
      <c r="K1004" s="304"/>
      <c r="M1004" s="304" t="s">
        <v>40</v>
      </c>
      <c r="N1004" s="304"/>
      <c r="O1004" s="304"/>
      <c r="P1004" s="304"/>
      <c r="Q1004" s="140" t="s">
        <v>41</v>
      </c>
      <c r="R1004" s="304"/>
      <c r="S1004" s="304"/>
      <c r="T1004" s="304"/>
      <c r="U1004" s="304"/>
      <c r="V1004" s="304"/>
      <c r="W1004" s="304"/>
    </row>
    <row r="1005" spans="1:24" ht="18.75" customHeight="1">
      <c r="A1005" s="304" t="s">
        <v>43</v>
      </c>
      <c r="B1005" s="304"/>
      <c r="C1005" s="304"/>
      <c r="D1005" s="304"/>
      <c r="E1005" s="140" t="s">
        <v>41</v>
      </c>
      <c r="F1005" s="304"/>
      <c r="G1005" s="304"/>
      <c r="H1005" s="304"/>
      <c r="I1005" s="304"/>
      <c r="J1005" s="304"/>
      <c r="K1005" s="304"/>
      <c r="M1005" s="304" t="s">
        <v>43</v>
      </c>
      <c r="N1005" s="304"/>
      <c r="O1005" s="304"/>
      <c r="P1005" s="304"/>
      <c r="Q1005" s="140" t="s">
        <v>41</v>
      </c>
      <c r="R1005" s="304"/>
      <c r="S1005" s="304"/>
      <c r="T1005" s="304"/>
      <c r="U1005" s="304"/>
      <c r="V1005" s="304"/>
      <c r="W1005" s="304"/>
    </row>
    <row r="1006" spans="1:24" ht="18.75" customHeight="1">
      <c r="A1006" s="304" t="s">
        <v>44</v>
      </c>
      <c r="B1006" s="304"/>
      <c r="C1006" s="304"/>
      <c r="D1006" s="304"/>
      <c r="E1006" s="140" t="s">
        <v>41</v>
      </c>
      <c r="F1006" s="304" t="s">
        <v>116</v>
      </c>
      <c r="G1006" s="304"/>
      <c r="H1006" s="304"/>
      <c r="I1006" s="304"/>
      <c r="J1006" s="304"/>
      <c r="K1006" s="304"/>
      <c r="M1006" s="304" t="s">
        <v>44</v>
      </c>
      <c r="N1006" s="304"/>
      <c r="O1006" s="304"/>
      <c r="P1006" s="304"/>
      <c r="Q1006" s="140" t="s">
        <v>41</v>
      </c>
      <c r="R1006" s="304" t="s">
        <v>116</v>
      </c>
      <c r="S1006" s="304"/>
      <c r="T1006" s="304"/>
      <c r="U1006" s="304"/>
      <c r="V1006" s="304"/>
      <c r="W1006" s="304"/>
    </row>
    <row r="1007" spans="1:24" ht="18.75" customHeight="1">
      <c r="A1007" s="304" t="s">
        <v>45</v>
      </c>
      <c r="B1007" s="304"/>
      <c r="C1007" s="304"/>
      <c r="D1007" s="304"/>
      <c r="E1007" s="304"/>
      <c r="F1007" s="304"/>
      <c r="G1007" s="304"/>
      <c r="H1007" s="304"/>
      <c r="I1007" s="304"/>
      <c r="J1007" s="304"/>
      <c r="K1007" s="304"/>
      <c r="M1007" s="304" t="s">
        <v>45</v>
      </c>
      <c r="N1007" s="304"/>
      <c r="O1007" s="304"/>
      <c r="P1007" s="304"/>
      <c r="Q1007" s="304"/>
      <c r="R1007" s="304"/>
      <c r="S1007" s="304"/>
      <c r="T1007" s="304"/>
      <c r="U1007" s="304"/>
      <c r="V1007" s="304"/>
      <c r="W1007" s="304"/>
    </row>
    <row r="1008" spans="1:24" ht="18.75" customHeight="1">
      <c r="A1008" s="304" t="s">
        <v>46</v>
      </c>
      <c r="B1008" s="304"/>
      <c r="C1008" s="304"/>
      <c r="D1008" s="304"/>
      <c r="E1008" s="140" t="s">
        <v>41</v>
      </c>
      <c r="F1008" s="304">
        <v>2915400</v>
      </c>
      <c r="G1008" s="304"/>
      <c r="H1008" s="304"/>
      <c r="I1008" s="304"/>
      <c r="J1008" s="140" t="s">
        <v>47</v>
      </c>
      <c r="K1008" s="140"/>
      <c r="M1008" s="304" t="s">
        <v>46</v>
      </c>
      <c r="N1008" s="304"/>
      <c r="O1008" s="304"/>
      <c r="P1008" s="304"/>
      <c r="Q1008" s="140" t="s">
        <v>41</v>
      </c>
      <c r="R1008" s="304">
        <v>2915400</v>
      </c>
      <c r="S1008" s="304"/>
      <c r="T1008" s="304"/>
      <c r="U1008" s="304"/>
      <c r="V1008" s="140" t="s">
        <v>47</v>
      </c>
      <c r="W1008" s="140"/>
    </row>
    <row r="1009" spans="1:24" ht="18.75" customHeight="1">
      <c r="A1009" s="140" t="s">
        <v>48</v>
      </c>
      <c r="B1009" s="140"/>
      <c r="C1009" s="140"/>
      <c r="D1009" s="140"/>
      <c r="E1009" s="140"/>
      <c r="F1009" s="140"/>
      <c r="G1009" s="140"/>
      <c r="H1009" s="140"/>
      <c r="I1009" s="140"/>
      <c r="J1009" s="140"/>
      <c r="K1009" s="140"/>
      <c r="M1009" s="140" t="s">
        <v>48</v>
      </c>
      <c r="N1009" s="140"/>
      <c r="O1009" s="140"/>
      <c r="P1009" s="140"/>
      <c r="Q1009" s="140"/>
      <c r="R1009" s="140"/>
      <c r="S1009" s="140"/>
      <c r="T1009" s="140"/>
      <c r="U1009" s="140"/>
      <c r="V1009" s="140"/>
      <c r="W1009" s="140"/>
    </row>
    <row r="1010" spans="1:24" ht="18.75" customHeight="1">
      <c r="A1010" s="140" t="s">
        <v>49</v>
      </c>
      <c r="B1010" s="140"/>
      <c r="C1010" s="140"/>
      <c r="D1010" s="140"/>
      <c r="E1010" s="140"/>
      <c r="F1010" s="140"/>
      <c r="G1010" s="140"/>
      <c r="H1010" s="140"/>
      <c r="I1010" s="140" t="e">
        <f>I1011/C1011/8</f>
        <v>#DIV/0!</v>
      </c>
      <c r="J1010" s="140"/>
      <c r="K1010" s="140"/>
      <c r="M1010" s="140" t="s">
        <v>49</v>
      </c>
      <c r="N1010" s="140"/>
      <c r="O1010" s="140"/>
      <c r="P1010" s="140"/>
      <c r="Q1010" s="140"/>
      <c r="R1010" s="140"/>
      <c r="S1010" s="140"/>
      <c r="T1010" s="140"/>
      <c r="U1010" s="140" t="e">
        <f>U1011/O1011/8</f>
        <v>#DIV/0!</v>
      </c>
      <c r="V1010" s="140"/>
      <c r="W1010" s="140"/>
    </row>
    <row r="1011" spans="1:24" ht="18.75" customHeight="1">
      <c r="A1011" s="140" t="s">
        <v>50</v>
      </c>
      <c r="B1011" s="140" t="s">
        <v>41</v>
      </c>
      <c r="C1011" s="140"/>
      <c r="D1011" s="140" t="s">
        <v>51</v>
      </c>
      <c r="E1011" s="304" t="s">
        <v>52</v>
      </c>
      <c r="F1011" s="304"/>
      <c r="G1011" s="304"/>
      <c r="H1011" s="140" t="s">
        <v>41</v>
      </c>
      <c r="I1011" s="304" t="e">
        <f>I1009*680/((C1011-C1018)*8+C1018*7+C1015)*((C1011-C1018)*8+C1018*7)</f>
        <v>#DIV/0!</v>
      </c>
      <c r="J1011" s="304"/>
      <c r="K1011" s="140" t="s">
        <v>47</v>
      </c>
      <c r="L1011" s="140">
        <f>F1008/L1001*C1011</f>
        <v>0</v>
      </c>
      <c r="M1011" s="140" t="s">
        <v>50</v>
      </c>
      <c r="N1011" s="140" t="s">
        <v>41</v>
      </c>
      <c r="O1011" s="140"/>
      <c r="P1011" s="140" t="s">
        <v>51</v>
      </c>
      <c r="Q1011" s="304" t="s">
        <v>52</v>
      </c>
      <c r="R1011" s="304"/>
      <c r="S1011" s="304"/>
      <c r="T1011" s="140" t="s">
        <v>41</v>
      </c>
      <c r="U1011" s="304" t="e">
        <f>U1009*680/((O1011-O1018)*8+O1018*7+O1015)*((O1011-O1018)*8+O1018*7)</f>
        <v>#DIV/0!</v>
      </c>
      <c r="V1011" s="304"/>
      <c r="W1011" s="140" t="s">
        <v>47</v>
      </c>
      <c r="X1011" s="140">
        <f>R1008/X1001*O1011</f>
        <v>0</v>
      </c>
    </row>
    <row r="1012" spans="1:24" ht="18.75" customHeight="1">
      <c r="A1012" s="140" t="s">
        <v>53</v>
      </c>
      <c r="B1012" s="140" t="s">
        <v>41</v>
      </c>
      <c r="C1012" s="140"/>
      <c r="D1012" s="140" t="s">
        <v>51</v>
      </c>
      <c r="E1012" s="304" t="s">
        <v>54</v>
      </c>
      <c r="F1012" s="304"/>
      <c r="G1012" s="304"/>
      <c r="H1012" s="140" t="s">
        <v>41</v>
      </c>
      <c r="I1012" s="304">
        <f>$F$8/$L$1*C1012</f>
        <v>0</v>
      </c>
      <c r="J1012" s="304"/>
      <c r="K1012" s="140" t="s">
        <v>47</v>
      </c>
      <c r="L1012" s="140"/>
      <c r="M1012" s="140" t="s">
        <v>53</v>
      </c>
      <c r="N1012" s="140" t="s">
        <v>41</v>
      </c>
      <c r="O1012" s="140"/>
      <c r="P1012" s="140" t="s">
        <v>51</v>
      </c>
      <c r="Q1012" s="304" t="s">
        <v>54</v>
      </c>
      <c r="R1012" s="304"/>
      <c r="S1012" s="304"/>
      <c r="T1012" s="140" t="s">
        <v>41</v>
      </c>
      <c r="U1012" s="304">
        <f>$F$8/$L$1*O1012</f>
        <v>0</v>
      </c>
      <c r="V1012" s="304"/>
      <c r="W1012" s="140" t="s">
        <v>47</v>
      </c>
      <c r="X1012" s="140"/>
    </row>
    <row r="1013" spans="1:24" ht="18.75" customHeight="1">
      <c r="A1013" s="140" t="s">
        <v>55</v>
      </c>
      <c r="B1013" s="140" t="s">
        <v>41</v>
      </c>
      <c r="C1013" s="140"/>
      <c r="D1013" s="140" t="s">
        <v>51</v>
      </c>
      <c r="E1013" s="304" t="s">
        <v>56</v>
      </c>
      <c r="F1013" s="304"/>
      <c r="G1013" s="304"/>
      <c r="H1013" s="140" t="s">
        <v>41</v>
      </c>
      <c r="I1013" s="304">
        <f>$F$8/$L$1*C1013</f>
        <v>0</v>
      </c>
      <c r="J1013" s="304"/>
      <c r="K1013" s="140" t="s">
        <v>47</v>
      </c>
      <c r="L1013" s="140"/>
      <c r="M1013" s="140" t="s">
        <v>55</v>
      </c>
      <c r="N1013" s="140" t="s">
        <v>41</v>
      </c>
      <c r="O1013" s="140"/>
      <c r="P1013" s="140" t="s">
        <v>51</v>
      </c>
      <c r="Q1013" s="304" t="s">
        <v>56</v>
      </c>
      <c r="R1013" s="304"/>
      <c r="S1013" s="304"/>
      <c r="T1013" s="140" t="s">
        <v>41</v>
      </c>
      <c r="U1013" s="304">
        <f>$F$8/$L$1*O1013</f>
        <v>0</v>
      </c>
      <c r="V1013" s="304"/>
      <c r="W1013" s="140" t="s">
        <v>47</v>
      </c>
      <c r="X1013" s="140"/>
    </row>
    <row r="1014" spans="1:24" ht="18.75" customHeight="1">
      <c r="A1014" s="140" t="s">
        <v>57</v>
      </c>
      <c r="B1014" s="140" t="s">
        <v>41</v>
      </c>
      <c r="C1014" s="140"/>
      <c r="D1014" s="140" t="s">
        <v>51</v>
      </c>
      <c r="E1014" s="304" t="s">
        <v>58</v>
      </c>
      <c r="F1014" s="304"/>
      <c r="G1014" s="304"/>
      <c r="H1014" s="140" t="s">
        <v>41</v>
      </c>
      <c r="I1014" s="304">
        <f>$F$8/$L$1*C1014</f>
        <v>0</v>
      </c>
      <c r="J1014" s="304"/>
      <c r="K1014" s="140" t="s">
        <v>47</v>
      </c>
      <c r="L1014" s="140"/>
      <c r="M1014" s="140" t="s">
        <v>57</v>
      </c>
      <c r="N1014" s="140" t="s">
        <v>41</v>
      </c>
      <c r="O1014" s="140"/>
      <c r="P1014" s="140" t="s">
        <v>51</v>
      </c>
      <c r="Q1014" s="304" t="s">
        <v>58</v>
      </c>
      <c r="R1014" s="304"/>
      <c r="S1014" s="304"/>
      <c r="T1014" s="140" t="s">
        <v>41</v>
      </c>
      <c r="U1014" s="304">
        <f>$F$8/$L$1*O1014</f>
        <v>0</v>
      </c>
      <c r="V1014" s="304"/>
      <c r="W1014" s="140" t="s">
        <v>47</v>
      </c>
      <c r="X1014" s="140"/>
    </row>
    <row r="1015" spans="1:24" ht="18.75" customHeight="1">
      <c r="A1015" s="140" t="s">
        <v>59</v>
      </c>
      <c r="B1015" s="140" t="s">
        <v>41</v>
      </c>
      <c r="C1015" s="140"/>
      <c r="D1015" s="140" t="s">
        <v>60</v>
      </c>
      <c r="E1015" s="304" t="s">
        <v>61</v>
      </c>
      <c r="F1015" s="304"/>
      <c r="G1015" s="304"/>
      <c r="H1015" s="140" t="s">
        <v>41</v>
      </c>
      <c r="I1015" s="304" t="e">
        <f>I1011/C1011/8*C1015</f>
        <v>#DIV/0!</v>
      </c>
      <c r="J1015" s="304"/>
      <c r="K1015" s="140" t="s">
        <v>47</v>
      </c>
      <c r="L1015" s="140">
        <f>F1008*C1015/L1001/8*1.5</f>
        <v>0</v>
      </c>
      <c r="M1015" s="140" t="s">
        <v>59</v>
      </c>
      <c r="N1015" s="140" t="s">
        <v>41</v>
      </c>
      <c r="O1015" s="140"/>
      <c r="P1015" s="140" t="s">
        <v>60</v>
      </c>
      <c r="Q1015" s="304" t="s">
        <v>61</v>
      </c>
      <c r="R1015" s="304"/>
      <c r="S1015" s="304"/>
      <c r="T1015" s="140" t="s">
        <v>41</v>
      </c>
      <c r="U1015" s="304" t="e">
        <f>U1011/O1011/8*O1015</f>
        <v>#DIV/0!</v>
      </c>
      <c r="V1015" s="304"/>
      <c r="W1015" s="140" t="s">
        <v>47</v>
      </c>
      <c r="X1015" s="140">
        <f>R1008*O1015/X1001/8*1.5</f>
        <v>0</v>
      </c>
    </row>
    <row r="1016" spans="1:24" ht="18.75" customHeight="1">
      <c r="A1016" s="304" t="s">
        <v>62</v>
      </c>
      <c r="B1016" s="304"/>
      <c r="C1016" s="140"/>
      <c r="D1016" s="140" t="s">
        <v>51</v>
      </c>
      <c r="E1016" s="304" t="s">
        <v>63</v>
      </c>
      <c r="F1016" s="304"/>
      <c r="G1016" s="304"/>
      <c r="H1016" s="140" t="s">
        <v>41</v>
      </c>
      <c r="I1016" s="304"/>
      <c r="J1016" s="304"/>
      <c r="K1016" s="140" t="s">
        <v>47</v>
      </c>
      <c r="L1016" s="140"/>
      <c r="M1016" s="304" t="s">
        <v>62</v>
      </c>
      <c r="N1016" s="304"/>
      <c r="O1016" s="140"/>
      <c r="P1016" s="140" t="s">
        <v>51</v>
      </c>
      <c r="Q1016" s="304" t="s">
        <v>63</v>
      </c>
      <c r="R1016" s="304"/>
      <c r="S1016" s="304"/>
      <c r="T1016" s="140" t="s">
        <v>41</v>
      </c>
      <c r="U1016" s="304"/>
      <c r="V1016" s="304"/>
      <c r="W1016" s="140" t="s">
        <v>47</v>
      </c>
      <c r="X1016" s="140"/>
    </row>
    <row r="1017" spans="1:24" ht="18.75" customHeight="1">
      <c r="A1017" s="140" t="s">
        <v>64</v>
      </c>
      <c r="B1017" s="140" t="s">
        <v>41</v>
      </c>
      <c r="C1017" s="140"/>
      <c r="D1017" s="140" t="s">
        <v>51</v>
      </c>
      <c r="E1017" s="304" t="s">
        <v>65</v>
      </c>
      <c r="F1017" s="304"/>
      <c r="G1017" s="304"/>
      <c r="H1017" s="140" t="s">
        <v>41</v>
      </c>
      <c r="I1017" s="304"/>
      <c r="J1017" s="304"/>
      <c r="K1017" s="140" t="s">
        <v>47</v>
      </c>
      <c r="L1017" s="140"/>
      <c r="M1017" s="140" t="s">
        <v>64</v>
      </c>
      <c r="N1017" s="140" t="s">
        <v>41</v>
      </c>
      <c r="O1017" s="140"/>
      <c r="P1017" s="140" t="s">
        <v>51</v>
      </c>
      <c r="Q1017" s="304" t="s">
        <v>65</v>
      </c>
      <c r="R1017" s="304"/>
      <c r="S1017" s="304"/>
      <c r="T1017" s="140" t="s">
        <v>41</v>
      </c>
      <c r="U1017" s="304"/>
      <c r="V1017" s="304"/>
      <c r="W1017" s="140" t="s">
        <v>47</v>
      </c>
      <c r="X1017" s="140"/>
    </row>
    <row r="1018" spans="1:24" ht="18.75" customHeight="1">
      <c r="A1018" s="140" t="s">
        <v>66</v>
      </c>
      <c r="B1018" s="140"/>
      <c r="C1018" s="140"/>
      <c r="D1018" s="140" t="s">
        <v>60</v>
      </c>
      <c r="E1018" s="304" t="s">
        <v>67</v>
      </c>
      <c r="F1018" s="304"/>
      <c r="G1018" s="304"/>
      <c r="H1018" s="140" t="s">
        <v>41</v>
      </c>
      <c r="I1018" s="304">
        <f>$F$8*C1018/8/$L$1</f>
        <v>0</v>
      </c>
      <c r="J1018" s="304"/>
      <c r="K1018" s="140" t="s">
        <v>47</v>
      </c>
      <c r="L1018" s="140"/>
      <c r="M1018" s="140" t="s">
        <v>66</v>
      </c>
      <c r="N1018" s="140"/>
      <c r="O1018" s="140"/>
      <c r="P1018" s="140" t="s">
        <v>60</v>
      </c>
      <c r="Q1018" s="304" t="s">
        <v>67</v>
      </c>
      <c r="R1018" s="304"/>
      <c r="S1018" s="304"/>
      <c r="T1018" s="140" t="s">
        <v>41</v>
      </c>
      <c r="U1018" s="304">
        <f>$F$8*O1018/8/$L$1</f>
        <v>0</v>
      </c>
      <c r="V1018" s="304"/>
      <c r="W1018" s="140" t="s">
        <v>47</v>
      </c>
      <c r="X1018" s="140"/>
    </row>
    <row r="1019" spans="1:24" ht="18.75" customHeight="1">
      <c r="A1019" s="140" t="s">
        <v>68</v>
      </c>
      <c r="B1019" s="140" t="s">
        <v>41</v>
      </c>
      <c r="C1019" s="140"/>
      <c r="D1019" s="140" t="s">
        <v>60</v>
      </c>
      <c r="E1019" s="304" t="s">
        <v>92</v>
      </c>
      <c r="F1019" s="304"/>
      <c r="G1019" s="304"/>
      <c r="H1019" s="140" t="s">
        <v>41</v>
      </c>
      <c r="I1019" s="304"/>
      <c r="J1019" s="304"/>
      <c r="K1019" s="140" t="s">
        <v>47</v>
      </c>
      <c r="L1019" s="140"/>
      <c r="M1019" s="140" t="s">
        <v>68</v>
      </c>
      <c r="N1019" s="140" t="s">
        <v>41</v>
      </c>
      <c r="O1019" s="140"/>
      <c r="P1019" s="140" t="s">
        <v>60</v>
      </c>
      <c r="Q1019" s="304" t="s">
        <v>92</v>
      </c>
      <c r="R1019" s="304"/>
      <c r="S1019" s="304"/>
      <c r="T1019" s="140" t="s">
        <v>41</v>
      </c>
      <c r="U1019" s="304"/>
      <c r="V1019" s="304"/>
      <c r="W1019" s="140" t="s">
        <v>47</v>
      </c>
      <c r="X1019" s="140"/>
    </row>
    <row r="1020" spans="1:24" ht="18.75" customHeight="1">
      <c r="A1020" s="140" t="s">
        <v>70</v>
      </c>
      <c r="B1020" s="140" t="s">
        <v>41</v>
      </c>
      <c r="C1020" s="140"/>
      <c r="D1020" s="140" t="s">
        <v>71</v>
      </c>
      <c r="E1020" s="140" t="s">
        <v>72</v>
      </c>
      <c r="F1020" s="140"/>
      <c r="G1020" s="140"/>
      <c r="H1020" s="140" t="s">
        <v>41</v>
      </c>
      <c r="I1020" s="304"/>
      <c r="J1020" s="304"/>
      <c r="K1020" s="140" t="s">
        <v>47</v>
      </c>
      <c r="L1020" s="140" t="e">
        <f>+IF(L1011-I1011&lt;0,0,L1011-I1011)+IF(L1015-I1015&lt;0,0,L1015-I1015)</f>
        <v>#DIV/0!</v>
      </c>
      <c r="M1020" s="140" t="s">
        <v>70</v>
      </c>
      <c r="N1020" s="140" t="s">
        <v>41</v>
      </c>
      <c r="O1020" s="140"/>
      <c r="P1020" s="140" t="s">
        <v>71</v>
      </c>
      <c r="Q1020" s="140" t="s">
        <v>72</v>
      </c>
      <c r="R1020" s="140"/>
      <c r="S1020" s="140"/>
      <c r="T1020" s="140" t="s">
        <v>41</v>
      </c>
      <c r="U1020" s="304"/>
      <c r="V1020" s="304"/>
      <c r="W1020" s="140" t="s">
        <v>47</v>
      </c>
      <c r="X1020" s="140" t="e">
        <f>+IF(X1011-U1011&lt;0,0,X1011-U1011)+IF(X1015-U1015&lt;0,0,X1015-U1015)</f>
        <v>#DIV/0!</v>
      </c>
    </row>
    <row r="1021" spans="1:24" ht="18.75" customHeight="1">
      <c r="A1021" s="140" t="s">
        <v>117</v>
      </c>
      <c r="B1021" s="140"/>
      <c r="C1021" s="140"/>
      <c r="D1021" s="140" t="s">
        <v>51</v>
      </c>
      <c r="E1021" s="304" t="s">
        <v>118</v>
      </c>
      <c r="F1021" s="304"/>
      <c r="G1021" s="304"/>
      <c r="H1021" s="140" t="s">
        <v>41</v>
      </c>
      <c r="I1021" s="304"/>
      <c r="J1021" s="304"/>
      <c r="K1021" s="140" t="s">
        <v>47</v>
      </c>
      <c r="L1021" s="140"/>
      <c r="M1021" s="140" t="s">
        <v>117</v>
      </c>
      <c r="N1021" s="140"/>
      <c r="O1021" s="140"/>
      <c r="P1021" s="140" t="s">
        <v>51</v>
      </c>
      <c r="Q1021" s="304" t="s">
        <v>118</v>
      </c>
      <c r="R1021" s="304"/>
      <c r="S1021" s="304"/>
      <c r="T1021" s="140" t="s">
        <v>41</v>
      </c>
      <c r="U1021" s="304"/>
      <c r="V1021" s="304"/>
      <c r="W1021" s="140" t="s">
        <v>47</v>
      </c>
      <c r="X1021" s="140"/>
    </row>
    <row r="1022" spans="1:24" ht="18.75" customHeight="1">
      <c r="A1022" s="304" t="s">
        <v>75</v>
      </c>
      <c r="B1022" s="304"/>
      <c r="C1022" s="140"/>
      <c r="D1022" s="140"/>
      <c r="E1022" s="140"/>
      <c r="F1022" s="140"/>
      <c r="G1022" s="140"/>
      <c r="H1022" s="140" t="s">
        <v>41</v>
      </c>
      <c r="I1022" s="304"/>
      <c r="J1022" s="304"/>
      <c r="K1022" s="140" t="s">
        <v>47</v>
      </c>
      <c r="L1022" s="140"/>
      <c r="M1022" s="304" t="s">
        <v>75</v>
      </c>
      <c r="N1022" s="304"/>
      <c r="O1022" s="140"/>
      <c r="P1022" s="140"/>
      <c r="Q1022" s="140"/>
      <c r="R1022" s="140"/>
      <c r="S1022" s="140"/>
      <c r="T1022" s="140" t="s">
        <v>41</v>
      </c>
      <c r="U1022" s="304"/>
      <c r="V1022" s="304"/>
      <c r="W1022" s="140" t="s">
        <v>47</v>
      </c>
      <c r="X1022" s="140"/>
    </row>
    <row r="1023" spans="1:24" ht="18.75" customHeight="1">
      <c r="A1023" s="140" t="s">
        <v>76</v>
      </c>
      <c r="B1023" s="140" t="s">
        <v>41</v>
      </c>
      <c r="C1023" s="140"/>
      <c r="D1023" s="140"/>
      <c r="E1023" s="140" t="s">
        <v>77</v>
      </c>
      <c r="F1023" s="140"/>
      <c r="G1023" s="140"/>
      <c r="H1023" s="140" t="s">
        <v>41</v>
      </c>
      <c r="I1023" s="304" t="e">
        <f>L1020</f>
        <v>#DIV/0!</v>
      </c>
      <c r="J1023" s="304"/>
      <c r="K1023" s="140" t="s">
        <v>47</v>
      </c>
      <c r="L1023" s="140"/>
      <c r="M1023" s="140" t="s">
        <v>76</v>
      </c>
      <c r="N1023" s="140" t="s">
        <v>41</v>
      </c>
      <c r="O1023" s="140"/>
      <c r="P1023" s="140"/>
      <c r="Q1023" s="140" t="s">
        <v>77</v>
      </c>
      <c r="R1023" s="140"/>
      <c r="S1023" s="140"/>
      <c r="T1023" s="140" t="s">
        <v>41</v>
      </c>
      <c r="U1023" s="304" t="e">
        <f>X1020</f>
        <v>#DIV/0!</v>
      </c>
      <c r="V1023" s="304"/>
      <c r="W1023" s="140" t="s">
        <v>47</v>
      </c>
      <c r="X1023" s="140"/>
    </row>
    <row r="1024" spans="1:24" ht="18.75" customHeight="1">
      <c r="A1024" s="304" t="s">
        <v>78</v>
      </c>
      <c r="B1024" s="304"/>
      <c r="C1024" s="304"/>
      <c r="D1024" s="304"/>
      <c r="E1024" s="304"/>
      <c r="F1024" s="304"/>
      <c r="G1024" s="140" t="s">
        <v>41</v>
      </c>
      <c r="H1024" s="304" t="e">
        <f>I1011+I1012+I1013+I1014+I1015+I1018+I1022+I1023</f>
        <v>#DIV/0!</v>
      </c>
      <c r="I1024" s="304"/>
      <c r="J1024" s="304"/>
      <c r="K1024" s="140" t="s">
        <v>47</v>
      </c>
      <c r="M1024" s="304" t="s">
        <v>78</v>
      </c>
      <c r="N1024" s="304"/>
      <c r="O1024" s="304"/>
      <c r="P1024" s="304"/>
      <c r="Q1024" s="304"/>
      <c r="R1024" s="304"/>
      <c r="S1024" s="140" t="s">
        <v>41</v>
      </c>
      <c r="T1024" s="304" t="e">
        <f>U1011+U1012+U1013+U1014+U1015+U1018+U1022+U1023</f>
        <v>#DIV/0!</v>
      </c>
      <c r="U1024" s="304"/>
      <c r="V1024" s="304"/>
      <c r="W1024" s="140" t="s">
        <v>47</v>
      </c>
    </row>
    <row r="1025" spans="1:24" ht="18.75" customHeight="1">
      <c r="A1025" s="140"/>
      <c r="B1025" s="140"/>
      <c r="C1025" s="140"/>
      <c r="D1025" s="140"/>
      <c r="E1025" s="140"/>
      <c r="F1025" s="140"/>
      <c r="G1025" s="140"/>
      <c r="H1025" s="140"/>
      <c r="I1025" s="140"/>
      <c r="J1025" s="140"/>
      <c r="K1025" s="140"/>
      <c r="M1025" s="140"/>
      <c r="N1025" s="140"/>
      <c r="O1025" s="140"/>
      <c r="P1025" s="140"/>
      <c r="Q1025" s="140"/>
      <c r="R1025" s="140"/>
      <c r="S1025" s="140"/>
      <c r="T1025" s="140"/>
      <c r="U1025" s="140"/>
      <c r="V1025" s="140"/>
      <c r="W1025" s="140"/>
    </row>
    <row r="1026" spans="1:24" ht="18.75" customHeight="1">
      <c r="A1026" s="304" t="s">
        <v>79</v>
      </c>
      <c r="B1026" s="304"/>
      <c r="C1026" s="304"/>
      <c r="D1026" s="304"/>
      <c r="E1026" s="304"/>
      <c r="F1026" s="304"/>
      <c r="G1026" s="140"/>
      <c r="H1026" s="140"/>
      <c r="I1026" s="140"/>
      <c r="J1026" s="140"/>
      <c r="K1026" s="140"/>
      <c r="M1026" s="304" t="s">
        <v>79</v>
      </c>
      <c r="N1026" s="304"/>
      <c r="O1026" s="304"/>
      <c r="P1026" s="304"/>
      <c r="Q1026" s="304"/>
      <c r="R1026" s="304"/>
      <c r="S1026" s="140"/>
      <c r="T1026" s="140"/>
      <c r="U1026" s="140"/>
      <c r="V1026" s="140"/>
      <c r="W1026" s="140"/>
    </row>
    <row r="1027" spans="1:24" ht="18.75" customHeight="1">
      <c r="A1027" s="304" t="s">
        <v>80</v>
      </c>
      <c r="B1027" s="304"/>
      <c r="C1027" s="304"/>
      <c r="D1027" s="304"/>
      <c r="E1027" s="304"/>
      <c r="F1027" s="304"/>
      <c r="G1027" s="140" t="s">
        <v>41</v>
      </c>
      <c r="H1027" s="304">
        <f>IF(($L$1-(C1011+C1012+C1013+C1014))&gt;12,0,F1008*8%)</f>
        <v>0</v>
      </c>
      <c r="I1027" s="304"/>
      <c r="J1027" s="304"/>
      <c r="K1027" s="140" t="s">
        <v>47</v>
      </c>
      <c r="M1027" s="304" t="s">
        <v>80</v>
      </c>
      <c r="N1027" s="304"/>
      <c r="O1027" s="304"/>
      <c r="P1027" s="304"/>
      <c r="Q1027" s="304"/>
      <c r="R1027" s="304"/>
      <c r="S1027" s="140" t="s">
        <v>41</v>
      </c>
      <c r="T1027" s="304">
        <f>IF(($L$1-(O1011+O1012+O1013+O1014))&gt;12,0,R1008*8%)</f>
        <v>0</v>
      </c>
      <c r="U1027" s="304"/>
      <c r="V1027" s="304"/>
      <c r="W1027" s="140" t="s">
        <v>47</v>
      </c>
    </row>
    <row r="1028" spans="1:24" ht="18.75" customHeight="1">
      <c r="A1028" s="304" t="s">
        <v>81</v>
      </c>
      <c r="B1028" s="304"/>
      <c r="C1028" s="304"/>
      <c r="D1028" s="304"/>
      <c r="E1028" s="304"/>
      <c r="F1028" s="304"/>
      <c r="G1028" s="140" t="s">
        <v>41</v>
      </c>
      <c r="H1028" s="304">
        <f>IF(($L$1-(C1011+C1012+C1013+C1014))&gt;12,0,F1008*1.5%)</f>
        <v>0</v>
      </c>
      <c r="I1028" s="304"/>
      <c r="J1028" s="304"/>
      <c r="K1028" s="140" t="s">
        <v>47</v>
      </c>
      <c r="M1028" s="304" t="s">
        <v>81</v>
      </c>
      <c r="N1028" s="304"/>
      <c r="O1028" s="304"/>
      <c r="P1028" s="304"/>
      <c r="Q1028" s="304"/>
      <c r="R1028" s="304"/>
      <c r="S1028" s="140" t="s">
        <v>41</v>
      </c>
      <c r="T1028" s="304">
        <f>IF(($L$1-(O1011+O1012+O1013+O1014))&gt;12,0,R1008*1.5%)</f>
        <v>0</v>
      </c>
      <c r="U1028" s="304"/>
      <c r="V1028" s="304"/>
      <c r="W1028" s="140" t="s">
        <v>47</v>
      </c>
    </row>
    <row r="1029" spans="1:24" ht="18.75" customHeight="1">
      <c r="A1029" s="304" t="s">
        <v>82</v>
      </c>
      <c r="B1029" s="304"/>
      <c r="C1029" s="304"/>
      <c r="D1029" s="304"/>
      <c r="E1029" s="304"/>
      <c r="F1029" s="304"/>
      <c r="G1029" s="140" t="s">
        <v>41</v>
      </c>
      <c r="H1029" s="304">
        <f>IF(($L$1-(C1011+C1012+C1013+C1014))&gt;12,0,F1008*1%)</f>
        <v>0</v>
      </c>
      <c r="I1029" s="304"/>
      <c r="J1029" s="304"/>
      <c r="K1029" s="140" t="s">
        <v>47</v>
      </c>
      <c r="M1029" s="304" t="s">
        <v>82</v>
      </c>
      <c r="N1029" s="304"/>
      <c r="O1029" s="304"/>
      <c r="P1029" s="304"/>
      <c r="Q1029" s="304"/>
      <c r="R1029" s="304"/>
      <c r="S1029" s="140" t="s">
        <v>41</v>
      </c>
      <c r="T1029" s="304">
        <f>IF(($L$1-(O1011+O1012+O1013+O1014))&gt;12,0,R1008*1%)</f>
        <v>0</v>
      </c>
      <c r="U1029" s="304"/>
      <c r="V1029" s="304"/>
      <c r="W1029" s="140" t="s">
        <v>47</v>
      </c>
    </row>
    <row r="1030" spans="1:24" ht="18.75" customHeight="1">
      <c r="A1030" s="304" t="s">
        <v>83</v>
      </c>
      <c r="B1030" s="304"/>
      <c r="C1030" s="304"/>
      <c r="D1030" s="304"/>
      <c r="E1030" s="304"/>
      <c r="F1030" s="304"/>
      <c r="G1030" s="140" t="s">
        <v>41</v>
      </c>
      <c r="H1030" s="304">
        <v>0</v>
      </c>
      <c r="I1030" s="304"/>
      <c r="J1030" s="304"/>
      <c r="K1030" s="140" t="s">
        <v>47</v>
      </c>
      <c r="M1030" s="304" t="s">
        <v>83</v>
      </c>
      <c r="N1030" s="304"/>
      <c r="O1030" s="304"/>
      <c r="P1030" s="304"/>
      <c r="Q1030" s="304"/>
      <c r="R1030" s="304"/>
      <c r="S1030" s="140" t="s">
        <v>41</v>
      </c>
      <c r="T1030" s="304">
        <v>0</v>
      </c>
      <c r="U1030" s="304"/>
      <c r="V1030" s="304"/>
      <c r="W1030" s="140" t="s">
        <v>47</v>
      </c>
    </row>
    <row r="1031" spans="1:24" ht="18.75" customHeight="1">
      <c r="A1031" s="304" t="s">
        <v>84</v>
      </c>
      <c r="B1031" s="304"/>
      <c r="C1031" s="304"/>
      <c r="D1031" s="304"/>
      <c r="E1031" s="304"/>
      <c r="F1031" s="304"/>
      <c r="G1031" s="140" t="s">
        <v>41</v>
      </c>
      <c r="H1031" s="304">
        <f>SUM(H1027:J1030)</f>
        <v>0</v>
      </c>
      <c r="I1031" s="304"/>
      <c r="J1031" s="304"/>
      <c r="K1031" s="140" t="s">
        <v>47</v>
      </c>
      <c r="M1031" s="304" t="s">
        <v>84</v>
      </c>
      <c r="N1031" s="304"/>
      <c r="O1031" s="304"/>
      <c r="P1031" s="304"/>
      <c r="Q1031" s="304"/>
      <c r="R1031" s="304"/>
      <c r="S1031" s="140" t="s">
        <v>41</v>
      </c>
      <c r="T1031" s="304">
        <f>SUM(T1027:V1030)</f>
        <v>0</v>
      </c>
      <c r="U1031" s="304"/>
      <c r="V1031" s="304"/>
      <c r="W1031" s="140" t="s">
        <v>47</v>
      </c>
    </row>
    <row r="1032" spans="1:24" ht="18.75" customHeight="1">
      <c r="A1032" s="304" t="s">
        <v>85</v>
      </c>
      <c r="B1032" s="304"/>
      <c r="C1032" s="304"/>
      <c r="D1032" s="304"/>
      <c r="E1032" s="304"/>
      <c r="F1032" s="304"/>
      <c r="G1032" s="140" t="s">
        <v>41</v>
      </c>
      <c r="H1032" s="304" t="e">
        <f>ROUND(H1024-H1031,-2)</f>
        <v>#DIV/0!</v>
      </c>
      <c r="I1032" s="304"/>
      <c r="J1032" s="304"/>
      <c r="K1032" s="140" t="s">
        <v>47</v>
      </c>
      <c r="M1032" s="304" t="s">
        <v>85</v>
      </c>
      <c r="N1032" s="304"/>
      <c r="O1032" s="304"/>
      <c r="P1032" s="304"/>
      <c r="Q1032" s="304"/>
      <c r="R1032" s="304"/>
      <c r="S1032" s="140" t="s">
        <v>41</v>
      </c>
      <c r="T1032" s="304" t="e">
        <f>ROUND(T1024-T1031,-2)</f>
        <v>#DIV/0!</v>
      </c>
      <c r="U1032" s="304"/>
      <c r="V1032" s="304"/>
      <c r="W1032" s="140" t="s">
        <v>47</v>
      </c>
    </row>
    <row r="1033" spans="1:24" ht="18.75" customHeight="1">
      <c r="A1033" s="140"/>
      <c r="B1033" s="140"/>
      <c r="C1033" s="140"/>
      <c r="D1033" s="140"/>
      <c r="E1033" s="140"/>
      <c r="F1033" s="140"/>
      <c r="G1033" s="140"/>
      <c r="H1033" s="140"/>
      <c r="I1033" s="140"/>
      <c r="J1033" s="140"/>
      <c r="K1033" s="140"/>
      <c r="M1033" s="140"/>
      <c r="N1033" s="140"/>
      <c r="O1033" s="140"/>
      <c r="P1033" s="140"/>
      <c r="Q1033" s="140"/>
      <c r="R1033" s="140"/>
      <c r="S1033" s="140"/>
      <c r="T1033" s="140"/>
      <c r="U1033" s="140"/>
      <c r="V1033" s="140"/>
      <c r="W1033" s="140"/>
    </row>
    <row r="1034" spans="1:24" ht="18.75" customHeight="1">
      <c r="A1034" s="140"/>
      <c r="B1034" s="140"/>
      <c r="C1034" s="140"/>
      <c r="D1034" s="140"/>
      <c r="E1034" s="140"/>
      <c r="F1034" s="140"/>
      <c r="G1034" s="140"/>
      <c r="H1034" s="140"/>
      <c r="I1034" s="304" t="s">
        <v>86</v>
      </c>
      <c r="J1034" s="304"/>
      <c r="K1034" s="304"/>
      <c r="M1034" s="140"/>
      <c r="N1034" s="140"/>
      <c r="O1034" s="140"/>
      <c r="P1034" s="140"/>
      <c r="Q1034" s="140"/>
      <c r="R1034" s="140"/>
      <c r="S1034" s="140"/>
      <c r="T1034" s="140"/>
      <c r="U1034" s="304" t="s">
        <v>86</v>
      </c>
      <c r="V1034" s="304"/>
      <c r="W1034" s="304"/>
    </row>
    <row r="1035" spans="1:24" ht="18.75" customHeight="1">
      <c r="A1035" s="140"/>
      <c r="B1035" s="304"/>
      <c r="C1035" s="304"/>
      <c r="D1035" s="304"/>
      <c r="E1035" s="304"/>
      <c r="F1035" s="140"/>
      <c r="G1035" s="140"/>
      <c r="H1035" s="140"/>
      <c r="I1035" s="140"/>
      <c r="J1035" s="140"/>
      <c r="K1035" s="140"/>
      <c r="M1035" s="140"/>
      <c r="N1035" s="304"/>
      <c r="O1035" s="304"/>
      <c r="P1035" s="304"/>
      <c r="Q1035" s="304"/>
      <c r="R1035" s="140"/>
      <c r="S1035" s="140"/>
      <c r="T1035" s="140"/>
      <c r="U1035" s="140"/>
      <c r="V1035" s="140"/>
      <c r="W1035" s="140"/>
    </row>
    <row r="1036" spans="1:24" ht="18.75" customHeight="1">
      <c r="A1036" s="140"/>
      <c r="B1036" s="140"/>
      <c r="C1036" s="140"/>
      <c r="D1036" s="140"/>
      <c r="E1036" s="140"/>
      <c r="F1036" s="140"/>
      <c r="G1036" s="140"/>
      <c r="H1036" s="140"/>
      <c r="I1036" s="304" t="s">
        <v>87</v>
      </c>
      <c r="J1036" s="304"/>
      <c r="K1036" s="304"/>
      <c r="M1036" s="140"/>
      <c r="N1036" s="140"/>
      <c r="O1036" s="140"/>
      <c r="P1036" s="140"/>
      <c r="Q1036" s="140"/>
      <c r="R1036" s="140"/>
      <c r="S1036" s="140"/>
      <c r="T1036" s="140"/>
      <c r="U1036" s="304" t="s">
        <v>87</v>
      </c>
      <c r="V1036" s="304"/>
      <c r="W1036" s="304"/>
    </row>
    <row r="1038" spans="1:24" ht="18.75" customHeight="1">
      <c r="A1038" s="304" t="s">
        <v>35</v>
      </c>
      <c r="B1038" s="304"/>
      <c r="C1038" s="304"/>
      <c r="D1038" s="304"/>
      <c r="E1038" s="304"/>
      <c r="F1038" s="304"/>
      <c r="G1038" s="304"/>
      <c r="H1038" s="304"/>
      <c r="I1038" s="304"/>
      <c r="J1038" s="304"/>
      <c r="K1038" s="304"/>
      <c r="L1038" s="140">
        <v>24</v>
      </c>
      <c r="M1038" s="304" t="s">
        <v>35</v>
      </c>
      <c r="N1038" s="304"/>
      <c r="O1038" s="304"/>
      <c r="P1038" s="304"/>
      <c r="Q1038" s="304"/>
      <c r="R1038" s="304"/>
      <c r="S1038" s="304"/>
      <c r="T1038" s="304"/>
      <c r="U1038" s="304"/>
      <c r="V1038" s="304"/>
      <c r="W1038" s="304"/>
      <c r="X1038" s="140">
        <v>24</v>
      </c>
    </row>
    <row r="1039" spans="1:24" ht="18.75" customHeight="1">
      <c r="A1039" s="140" t="s">
        <v>159</v>
      </c>
      <c r="B1039" s="140"/>
      <c r="C1039" s="140"/>
      <c r="D1039" s="140"/>
      <c r="E1039" s="140"/>
      <c r="F1039" s="140"/>
      <c r="G1039" s="140"/>
      <c r="H1039" s="140"/>
      <c r="I1039" s="140"/>
      <c r="J1039" s="140"/>
      <c r="K1039" s="140"/>
      <c r="M1039" s="140" t="s">
        <v>160</v>
      </c>
      <c r="N1039" s="140"/>
      <c r="O1039" s="140"/>
      <c r="P1039" s="140"/>
      <c r="Q1039" s="140"/>
      <c r="R1039" s="140"/>
      <c r="S1039" s="140"/>
      <c r="T1039" s="140"/>
      <c r="U1039" s="140"/>
      <c r="V1039" s="140"/>
      <c r="W1039" s="140"/>
    </row>
    <row r="1040" spans="1:24" ht="18.75" customHeight="1">
      <c r="A1040" s="304" t="s">
        <v>39</v>
      </c>
      <c r="B1040" s="304"/>
      <c r="C1040" s="304"/>
      <c r="D1040" s="304"/>
      <c r="E1040" s="304"/>
      <c r="F1040" s="304"/>
      <c r="G1040" s="304"/>
      <c r="H1040" s="304"/>
      <c r="I1040" s="304"/>
      <c r="J1040" s="304"/>
      <c r="K1040" s="304"/>
      <c r="M1040" s="304" t="s">
        <v>39</v>
      </c>
      <c r="N1040" s="304"/>
      <c r="O1040" s="304"/>
      <c r="P1040" s="304"/>
      <c r="Q1040" s="304"/>
      <c r="R1040" s="304"/>
      <c r="S1040" s="304"/>
      <c r="T1040" s="304"/>
      <c r="U1040" s="304"/>
      <c r="V1040" s="304"/>
      <c r="W1040" s="304"/>
    </row>
    <row r="1041" spans="1:24" ht="18.75" customHeight="1">
      <c r="A1041" s="304" t="s">
        <v>40</v>
      </c>
      <c r="B1041" s="304"/>
      <c r="C1041" s="304"/>
      <c r="D1041" s="304"/>
      <c r="E1041" s="140" t="s">
        <v>41</v>
      </c>
      <c r="F1041" s="304"/>
      <c r="G1041" s="304"/>
      <c r="H1041" s="304"/>
      <c r="I1041" s="304"/>
      <c r="J1041" s="304"/>
      <c r="K1041" s="304"/>
      <c r="M1041" s="304" t="s">
        <v>40</v>
      </c>
      <c r="N1041" s="304"/>
      <c r="O1041" s="304"/>
      <c r="P1041" s="304"/>
      <c r="Q1041" s="140" t="s">
        <v>41</v>
      </c>
      <c r="R1041" s="304"/>
      <c r="S1041" s="304"/>
      <c r="T1041" s="304"/>
      <c r="U1041" s="304"/>
      <c r="V1041" s="304"/>
      <c r="W1041" s="304"/>
    </row>
    <row r="1042" spans="1:24" ht="18.75" customHeight="1">
      <c r="A1042" s="304" t="s">
        <v>43</v>
      </c>
      <c r="B1042" s="304"/>
      <c r="C1042" s="304"/>
      <c r="D1042" s="304"/>
      <c r="E1042" s="140" t="s">
        <v>41</v>
      </c>
      <c r="F1042" s="304"/>
      <c r="G1042" s="304"/>
      <c r="H1042" s="304"/>
      <c r="I1042" s="304"/>
      <c r="J1042" s="304"/>
      <c r="K1042" s="304"/>
      <c r="M1042" s="304" t="s">
        <v>43</v>
      </c>
      <c r="N1042" s="304"/>
      <c r="O1042" s="304"/>
      <c r="P1042" s="304"/>
      <c r="Q1042" s="140" t="s">
        <v>41</v>
      </c>
      <c r="R1042" s="304"/>
      <c r="S1042" s="304"/>
      <c r="T1042" s="304"/>
      <c r="U1042" s="304"/>
      <c r="V1042" s="304"/>
      <c r="W1042" s="304"/>
    </row>
    <row r="1043" spans="1:24" ht="18.75" customHeight="1">
      <c r="A1043" s="304" t="s">
        <v>44</v>
      </c>
      <c r="B1043" s="304"/>
      <c r="C1043" s="304"/>
      <c r="D1043" s="304"/>
      <c r="E1043" s="140" t="s">
        <v>41</v>
      </c>
      <c r="F1043" s="304" t="s">
        <v>116</v>
      </c>
      <c r="G1043" s="304"/>
      <c r="H1043" s="304"/>
      <c r="I1043" s="304"/>
      <c r="J1043" s="304"/>
      <c r="K1043" s="304"/>
      <c r="M1043" s="304" t="s">
        <v>44</v>
      </c>
      <c r="N1043" s="304"/>
      <c r="O1043" s="304"/>
      <c r="P1043" s="304"/>
      <c r="Q1043" s="140" t="s">
        <v>41</v>
      </c>
      <c r="R1043" s="304" t="s">
        <v>116</v>
      </c>
      <c r="S1043" s="304"/>
      <c r="T1043" s="304"/>
      <c r="U1043" s="304"/>
      <c r="V1043" s="304"/>
      <c r="W1043" s="304"/>
    </row>
    <row r="1044" spans="1:24" ht="18.75" customHeight="1">
      <c r="A1044" s="304" t="s">
        <v>45</v>
      </c>
      <c r="B1044" s="304"/>
      <c r="C1044" s="304"/>
      <c r="D1044" s="304"/>
      <c r="E1044" s="304"/>
      <c r="F1044" s="304"/>
      <c r="G1044" s="304"/>
      <c r="H1044" s="304"/>
      <c r="I1044" s="304"/>
      <c r="J1044" s="304"/>
      <c r="K1044" s="304"/>
      <c r="M1044" s="304" t="s">
        <v>45</v>
      </c>
      <c r="N1044" s="304"/>
      <c r="O1044" s="304"/>
      <c r="P1044" s="304"/>
      <c r="Q1044" s="304"/>
      <c r="R1044" s="304"/>
      <c r="S1044" s="304"/>
      <c r="T1044" s="304"/>
      <c r="U1044" s="304"/>
      <c r="V1044" s="304"/>
      <c r="W1044" s="304"/>
    </row>
    <row r="1045" spans="1:24" ht="18.75" customHeight="1">
      <c r="A1045" s="304" t="s">
        <v>46</v>
      </c>
      <c r="B1045" s="304"/>
      <c r="C1045" s="304"/>
      <c r="D1045" s="304"/>
      <c r="E1045" s="140" t="s">
        <v>41</v>
      </c>
      <c r="F1045" s="304">
        <v>2915400</v>
      </c>
      <c r="G1045" s="304"/>
      <c r="H1045" s="304"/>
      <c r="I1045" s="304"/>
      <c r="J1045" s="140" t="s">
        <v>47</v>
      </c>
      <c r="K1045" s="140"/>
      <c r="M1045" s="304" t="s">
        <v>46</v>
      </c>
      <c r="N1045" s="304"/>
      <c r="O1045" s="304"/>
      <c r="P1045" s="304"/>
      <c r="Q1045" s="140" t="s">
        <v>41</v>
      </c>
      <c r="R1045" s="304">
        <v>2915400</v>
      </c>
      <c r="S1045" s="304"/>
      <c r="T1045" s="304"/>
      <c r="U1045" s="304"/>
      <c r="V1045" s="140" t="s">
        <v>47</v>
      </c>
      <c r="W1045" s="140"/>
    </row>
    <row r="1046" spans="1:24" ht="18.75" customHeight="1">
      <c r="A1046" s="140" t="s">
        <v>48</v>
      </c>
      <c r="B1046" s="140"/>
      <c r="C1046" s="140"/>
      <c r="D1046" s="140"/>
      <c r="E1046" s="140"/>
      <c r="F1046" s="140"/>
      <c r="G1046" s="140"/>
      <c r="H1046" s="140"/>
      <c r="I1046" s="140"/>
      <c r="J1046" s="140"/>
      <c r="K1046" s="140"/>
      <c r="M1046" s="140" t="s">
        <v>48</v>
      </c>
      <c r="N1046" s="140"/>
      <c r="O1046" s="140"/>
      <c r="P1046" s="140"/>
      <c r="Q1046" s="140"/>
      <c r="R1046" s="140"/>
      <c r="S1046" s="140"/>
      <c r="T1046" s="140"/>
      <c r="U1046" s="140"/>
      <c r="V1046" s="140"/>
      <c r="W1046" s="140"/>
    </row>
    <row r="1047" spans="1:24" ht="18.75" customHeight="1">
      <c r="A1047" s="140" t="s">
        <v>49</v>
      </c>
      <c r="B1047" s="140"/>
      <c r="C1047" s="140"/>
      <c r="D1047" s="140"/>
      <c r="E1047" s="140"/>
      <c r="F1047" s="140"/>
      <c r="G1047" s="140"/>
      <c r="H1047" s="140"/>
      <c r="I1047" s="140" t="e">
        <f>I1048/C1048/8</f>
        <v>#DIV/0!</v>
      </c>
      <c r="J1047" s="140"/>
      <c r="K1047" s="140"/>
      <c r="M1047" s="140" t="s">
        <v>49</v>
      </c>
      <c r="N1047" s="140"/>
      <c r="O1047" s="140"/>
      <c r="P1047" s="140"/>
      <c r="Q1047" s="140"/>
      <c r="R1047" s="140"/>
      <c r="S1047" s="140"/>
      <c r="T1047" s="140"/>
      <c r="U1047" s="140" t="e">
        <f>U1048/O1048/8</f>
        <v>#DIV/0!</v>
      </c>
      <c r="V1047" s="140"/>
      <c r="W1047" s="140"/>
    </row>
    <row r="1048" spans="1:24" ht="18.75" customHeight="1">
      <c r="A1048" s="140" t="s">
        <v>50</v>
      </c>
      <c r="B1048" s="140" t="s">
        <v>41</v>
      </c>
      <c r="C1048" s="140"/>
      <c r="D1048" s="140" t="s">
        <v>51</v>
      </c>
      <c r="E1048" s="304" t="s">
        <v>52</v>
      </c>
      <c r="F1048" s="304"/>
      <c r="G1048" s="304"/>
      <c r="H1048" s="140" t="s">
        <v>41</v>
      </c>
      <c r="I1048" s="304" t="e">
        <f>I1046*680/((C1048-C1055)*8+C1055*7+C1052)*((C1048-C1055)*8+C1055*7)</f>
        <v>#DIV/0!</v>
      </c>
      <c r="J1048" s="304"/>
      <c r="K1048" s="140" t="s">
        <v>47</v>
      </c>
      <c r="L1048" s="140">
        <f>F1045/L1038*C1048</f>
        <v>0</v>
      </c>
      <c r="M1048" s="140" t="s">
        <v>50</v>
      </c>
      <c r="N1048" s="140" t="s">
        <v>41</v>
      </c>
      <c r="O1048" s="140"/>
      <c r="P1048" s="140" t="s">
        <v>51</v>
      </c>
      <c r="Q1048" s="304" t="s">
        <v>52</v>
      </c>
      <c r="R1048" s="304"/>
      <c r="S1048" s="304"/>
      <c r="T1048" s="140" t="s">
        <v>41</v>
      </c>
      <c r="U1048" s="304" t="e">
        <f>U1046*680/((O1048-O1055)*8+O1055*7+O1052)*((O1048-O1055)*8+O1055*7)</f>
        <v>#DIV/0!</v>
      </c>
      <c r="V1048" s="304"/>
      <c r="W1048" s="140" t="s">
        <v>47</v>
      </c>
      <c r="X1048" s="140">
        <f>R1045/X1038*O1048</f>
        <v>0</v>
      </c>
    </row>
    <row r="1049" spans="1:24" ht="18.75" customHeight="1">
      <c r="A1049" s="140" t="s">
        <v>53</v>
      </c>
      <c r="B1049" s="140" t="s">
        <v>41</v>
      </c>
      <c r="C1049" s="140"/>
      <c r="D1049" s="140" t="s">
        <v>51</v>
      </c>
      <c r="E1049" s="304" t="s">
        <v>54</v>
      </c>
      <c r="F1049" s="304"/>
      <c r="G1049" s="304"/>
      <c r="H1049" s="140" t="s">
        <v>41</v>
      </c>
      <c r="I1049" s="304">
        <f>$F$8/$L$1*C1049</f>
        <v>0</v>
      </c>
      <c r="J1049" s="304"/>
      <c r="K1049" s="140" t="s">
        <v>47</v>
      </c>
      <c r="L1049" s="140"/>
      <c r="M1049" s="140" t="s">
        <v>53</v>
      </c>
      <c r="N1049" s="140" t="s">
        <v>41</v>
      </c>
      <c r="O1049" s="140"/>
      <c r="P1049" s="140" t="s">
        <v>51</v>
      </c>
      <c r="Q1049" s="304" t="s">
        <v>54</v>
      </c>
      <c r="R1049" s="304"/>
      <c r="S1049" s="304"/>
      <c r="T1049" s="140" t="s">
        <v>41</v>
      </c>
      <c r="U1049" s="304">
        <f>$F$8/$L$1*O1049</f>
        <v>0</v>
      </c>
      <c r="V1049" s="304"/>
      <c r="W1049" s="140" t="s">
        <v>47</v>
      </c>
      <c r="X1049" s="140"/>
    </row>
    <row r="1050" spans="1:24" ht="18.75" customHeight="1">
      <c r="A1050" s="140" t="s">
        <v>55</v>
      </c>
      <c r="B1050" s="140" t="s">
        <v>41</v>
      </c>
      <c r="C1050" s="140"/>
      <c r="D1050" s="140" t="s">
        <v>51</v>
      </c>
      <c r="E1050" s="304" t="s">
        <v>56</v>
      </c>
      <c r="F1050" s="304"/>
      <c r="G1050" s="304"/>
      <c r="H1050" s="140" t="s">
        <v>41</v>
      </c>
      <c r="I1050" s="304">
        <f>$F$8/$L$1*C1050</f>
        <v>0</v>
      </c>
      <c r="J1050" s="304"/>
      <c r="K1050" s="140" t="s">
        <v>47</v>
      </c>
      <c r="L1050" s="140"/>
      <c r="M1050" s="140" t="s">
        <v>55</v>
      </c>
      <c r="N1050" s="140" t="s">
        <v>41</v>
      </c>
      <c r="O1050" s="140"/>
      <c r="P1050" s="140" t="s">
        <v>51</v>
      </c>
      <c r="Q1050" s="304" t="s">
        <v>56</v>
      </c>
      <c r="R1050" s="304"/>
      <c r="S1050" s="304"/>
      <c r="T1050" s="140" t="s">
        <v>41</v>
      </c>
      <c r="U1050" s="304">
        <f>$F$8/$L$1*O1050</f>
        <v>0</v>
      </c>
      <c r="V1050" s="304"/>
      <c r="W1050" s="140" t="s">
        <v>47</v>
      </c>
      <c r="X1050" s="140"/>
    </row>
    <row r="1051" spans="1:24" ht="18.75" customHeight="1">
      <c r="A1051" s="140" t="s">
        <v>57</v>
      </c>
      <c r="B1051" s="140" t="s">
        <v>41</v>
      </c>
      <c r="C1051" s="140"/>
      <c r="D1051" s="140" t="s">
        <v>51</v>
      </c>
      <c r="E1051" s="304" t="s">
        <v>58</v>
      </c>
      <c r="F1051" s="304"/>
      <c r="G1051" s="304"/>
      <c r="H1051" s="140" t="s">
        <v>41</v>
      </c>
      <c r="I1051" s="304">
        <f>$F$8/$L$1*C1051</f>
        <v>0</v>
      </c>
      <c r="J1051" s="304"/>
      <c r="K1051" s="140" t="s">
        <v>47</v>
      </c>
      <c r="L1051" s="140"/>
      <c r="M1051" s="140" t="s">
        <v>57</v>
      </c>
      <c r="N1051" s="140" t="s">
        <v>41</v>
      </c>
      <c r="O1051" s="140"/>
      <c r="P1051" s="140" t="s">
        <v>51</v>
      </c>
      <c r="Q1051" s="304" t="s">
        <v>58</v>
      </c>
      <c r="R1051" s="304"/>
      <c r="S1051" s="304"/>
      <c r="T1051" s="140" t="s">
        <v>41</v>
      </c>
      <c r="U1051" s="304">
        <f>$F$8/$L$1*O1051</f>
        <v>0</v>
      </c>
      <c r="V1051" s="304"/>
      <c r="W1051" s="140" t="s">
        <v>47</v>
      </c>
      <c r="X1051" s="140"/>
    </row>
    <row r="1052" spans="1:24" ht="18.75" customHeight="1">
      <c r="A1052" s="140" t="s">
        <v>59</v>
      </c>
      <c r="B1052" s="140" t="s">
        <v>41</v>
      </c>
      <c r="C1052" s="140"/>
      <c r="D1052" s="140" t="s">
        <v>60</v>
      </c>
      <c r="E1052" s="304" t="s">
        <v>61</v>
      </c>
      <c r="F1052" s="304"/>
      <c r="G1052" s="304"/>
      <c r="H1052" s="140" t="s">
        <v>41</v>
      </c>
      <c r="I1052" s="304" t="e">
        <f>I1048/C1048/8*C1052</f>
        <v>#DIV/0!</v>
      </c>
      <c r="J1052" s="304"/>
      <c r="K1052" s="140" t="s">
        <v>47</v>
      </c>
      <c r="L1052" s="140">
        <f>F1045*C1052/L1038/8*1.5</f>
        <v>0</v>
      </c>
      <c r="M1052" s="140" t="s">
        <v>59</v>
      </c>
      <c r="N1052" s="140" t="s">
        <v>41</v>
      </c>
      <c r="O1052" s="140"/>
      <c r="P1052" s="140" t="s">
        <v>60</v>
      </c>
      <c r="Q1052" s="304" t="s">
        <v>61</v>
      </c>
      <c r="R1052" s="304"/>
      <c r="S1052" s="304"/>
      <c r="T1052" s="140" t="s">
        <v>41</v>
      </c>
      <c r="U1052" s="304" t="e">
        <f>U1048/O1048/8*O1052</f>
        <v>#DIV/0!</v>
      </c>
      <c r="V1052" s="304"/>
      <c r="W1052" s="140" t="s">
        <v>47</v>
      </c>
      <c r="X1052" s="140">
        <f>R1045*O1052/X1038/8*1.5</f>
        <v>0</v>
      </c>
    </row>
    <row r="1053" spans="1:24" ht="18.75" customHeight="1">
      <c r="A1053" s="304" t="s">
        <v>62</v>
      </c>
      <c r="B1053" s="304"/>
      <c r="C1053" s="140"/>
      <c r="D1053" s="140" t="s">
        <v>51</v>
      </c>
      <c r="E1053" s="304" t="s">
        <v>63</v>
      </c>
      <c r="F1053" s="304"/>
      <c r="G1053" s="304"/>
      <c r="H1053" s="140" t="s">
        <v>41</v>
      </c>
      <c r="I1053" s="304"/>
      <c r="J1053" s="304"/>
      <c r="K1053" s="140" t="s">
        <v>47</v>
      </c>
      <c r="L1053" s="140"/>
      <c r="M1053" s="304" t="s">
        <v>62</v>
      </c>
      <c r="N1053" s="304"/>
      <c r="O1053" s="140"/>
      <c r="P1053" s="140" t="s">
        <v>51</v>
      </c>
      <c r="Q1053" s="304" t="s">
        <v>63</v>
      </c>
      <c r="R1053" s="304"/>
      <c r="S1053" s="304"/>
      <c r="T1053" s="140" t="s">
        <v>41</v>
      </c>
      <c r="U1053" s="304"/>
      <c r="V1053" s="304"/>
      <c r="W1053" s="140" t="s">
        <v>47</v>
      </c>
      <c r="X1053" s="140"/>
    </row>
    <row r="1054" spans="1:24" ht="18.75" customHeight="1">
      <c r="A1054" s="140" t="s">
        <v>64</v>
      </c>
      <c r="B1054" s="140" t="s">
        <v>41</v>
      </c>
      <c r="C1054" s="140"/>
      <c r="D1054" s="140" t="s">
        <v>51</v>
      </c>
      <c r="E1054" s="304" t="s">
        <v>65</v>
      </c>
      <c r="F1054" s="304"/>
      <c r="G1054" s="304"/>
      <c r="H1054" s="140" t="s">
        <v>41</v>
      </c>
      <c r="I1054" s="304"/>
      <c r="J1054" s="304"/>
      <c r="K1054" s="140" t="s">
        <v>47</v>
      </c>
      <c r="L1054" s="140"/>
      <c r="M1054" s="140" t="s">
        <v>64</v>
      </c>
      <c r="N1054" s="140" t="s">
        <v>41</v>
      </c>
      <c r="O1054" s="140"/>
      <c r="P1054" s="140" t="s">
        <v>51</v>
      </c>
      <c r="Q1054" s="304" t="s">
        <v>65</v>
      </c>
      <c r="R1054" s="304"/>
      <c r="S1054" s="304"/>
      <c r="T1054" s="140" t="s">
        <v>41</v>
      </c>
      <c r="U1054" s="304"/>
      <c r="V1054" s="304"/>
      <c r="W1054" s="140" t="s">
        <v>47</v>
      </c>
      <c r="X1054" s="140"/>
    </row>
    <row r="1055" spans="1:24" ht="18.75" customHeight="1">
      <c r="A1055" s="140" t="s">
        <v>66</v>
      </c>
      <c r="B1055" s="140"/>
      <c r="C1055" s="140"/>
      <c r="D1055" s="140" t="s">
        <v>60</v>
      </c>
      <c r="E1055" s="304" t="s">
        <v>67</v>
      </c>
      <c r="F1055" s="304"/>
      <c r="G1055" s="304"/>
      <c r="H1055" s="140" t="s">
        <v>41</v>
      </c>
      <c r="I1055" s="304">
        <f>$F$8*C1055/8/$L$1</f>
        <v>0</v>
      </c>
      <c r="J1055" s="304"/>
      <c r="K1055" s="140" t="s">
        <v>47</v>
      </c>
      <c r="L1055" s="140"/>
      <c r="M1055" s="140" t="s">
        <v>66</v>
      </c>
      <c r="N1055" s="140"/>
      <c r="O1055" s="140"/>
      <c r="P1055" s="140" t="s">
        <v>60</v>
      </c>
      <c r="Q1055" s="304" t="s">
        <v>67</v>
      </c>
      <c r="R1055" s="304"/>
      <c r="S1055" s="304"/>
      <c r="T1055" s="140" t="s">
        <v>41</v>
      </c>
      <c r="U1055" s="304">
        <f>$F$8*O1055/8/$L$1</f>
        <v>0</v>
      </c>
      <c r="V1055" s="304"/>
      <c r="W1055" s="140" t="s">
        <v>47</v>
      </c>
      <c r="X1055" s="140"/>
    </row>
    <row r="1056" spans="1:24" ht="18.75" customHeight="1">
      <c r="A1056" s="140" t="s">
        <v>68</v>
      </c>
      <c r="B1056" s="140" t="s">
        <v>41</v>
      </c>
      <c r="C1056" s="140"/>
      <c r="D1056" s="140" t="s">
        <v>60</v>
      </c>
      <c r="E1056" s="304" t="s">
        <v>92</v>
      </c>
      <c r="F1056" s="304"/>
      <c r="G1056" s="304"/>
      <c r="H1056" s="140" t="s">
        <v>41</v>
      </c>
      <c r="I1056" s="304"/>
      <c r="J1056" s="304"/>
      <c r="K1056" s="140" t="s">
        <v>47</v>
      </c>
      <c r="L1056" s="140"/>
      <c r="M1056" s="140" t="s">
        <v>68</v>
      </c>
      <c r="N1056" s="140" t="s">
        <v>41</v>
      </c>
      <c r="O1056" s="140"/>
      <c r="P1056" s="140" t="s">
        <v>60</v>
      </c>
      <c r="Q1056" s="304" t="s">
        <v>92</v>
      </c>
      <c r="R1056" s="304"/>
      <c r="S1056" s="304"/>
      <c r="T1056" s="140" t="s">
        <v>41</v>
      </c>
      <c r="U1056" s="304"/>
      <c r="V1056" s="304"/>
      <c r="W1056" s="140" t="s">
        <v>47</v>
      </c>
      <c r="X1056" s="140"/>
    </row>
    <row r="1057" spans="1:24" ht="18.75" customHeight="1">
      <c r="A1057" s="140" t="s">
        <v>70</v>
      </c>
      <c r="B1057" s="140" t="s">
        <v>41</v>
      </c>
      <c r="C1057" s="140"/>
      <c r="D1057" s="140" t="s">
        <v>71</v>
      </c>
      <c r="E1057" s="140" t="s">
        <v>72</v>
      </c>
      <c r="F1057" s="140"/>
      <c r="G1057" s="140"/>
      <c r="H1057" s="140" t="s">
        <v>41</v>
      </c>
      <c r="I1057" s="304"/>
      <c r="J1057" s="304"/>
      <c r="K1057" s="140" t="s">
        <v>47</v>
      </c>
      <c r="L1057" s="140" t="e">
        <f>+IF(L1048-I1048&lt;0,0,L1048-I1048)+IF(L1052-I1052&lt;0,0,L1052-I1052)</f>
        <v>#DIV/0!</v>
      </c>
      <c r="M1057" s="140" t="s">
        <v>70</v>
      </c>
      <c r="N1057" s="140" t="s">
        <v>41</v>
      </c>
      <c r="O1057" s="140"/>
      <c r="P1057" s="140" t="s">
        <v>71</v>
      </c>
      <c r="Q1057" s="140" t="s">
        <v>72</v>
      </c>
      <c r="R1057" s="140"/>
      <c r="S1057" s="140"/>
      <c r="T1057" s="140" t="s">
        <v>41</v>
      </c>
      <c r="U1057" s="304"/>
      <c r="V1057" s="304"/>
      <c r="W1057" s="140" t="s">
        <v>47</v>
      </c>
      <c r="X1057" s="140" t="e">
        <f>+IF(X1048-U1048&lt;0,0,X1048-U1048)+IF(X1052-U1052&lt;0,0,X1052-U1052)</f>
        <v>#DIV/0!</v>
      </c>
    </row>
    <row r="1058" spans="1:24" ht="18.75" customHeight="1">
      <c r="A1058" s="140" t="s">
        <v>117</v>
      </c>
      <c r="B1058" s="140"/>
      <c r="C1058" s="140"/>
      <c r="D1058" s="140" t="s">
        <v>51</v>
      </c>
      <c r="E1058" s="304" t="s">
        <v>118</v>
      </c>
      <c r="F1058" s="304"/>
      <c r="G1058" s="304"/>
      <c r="H1058" s="140" t="s">
        <v>41</v>
      </c>
      <c r="I1058" s="304"/>
      <c r="J1058" s="304"/>
      <c r="K1058" s="140" t="s">
        <v>47</v>
      </c>
      <c r="L1058" s="140"/>
      <c r="M1058" s="140" t="s">
        <v>117</v>
      </c>
      <c r="N1058" s="140"/>
      <c r="O1058" s="140"/>
      <c r="P1058" s="140" t="s">
        <v>51</v>
      </c>
      <c r="Q1058" s="304" t="s">
        <v>118</v>
      </c>
      <c r="R1058" s="304"/>
      <c r="S1058" s="304"/>
      <c r="T1058" s="140" t="s">
        <v>41</v>
      </c>
      <c r="U1058" s="304"/>
      <c r="V1058" s="304"/>
      <c r="W1058" s="140" t="s">
        <v>47</v>
      </c>
      <c r="X1058" s="140"/>
    </row>
    <row r="1059" spans="1:24" ht="18.75" customHeight="1">
      <c r="A1059" s="304" t="s">
        <v>75</v>
      </c>
      <c r="B1059" s="304"/>
      <c r="C1059" s="140"/>
      <c r="D1059" s="140"/>
      <c r="E1059" s="140"/>
      <c r="F1059" s="140"/>
      <c r="G1059" s="140"/>
      <c r="H1059" s="140" t="s">
        <v>41</v>
      </c>
      <c r="I1059" s="304"/>
      <c r="J1059" s="304"/>
      <c r="K1059" s="140" t="s">
        <v>47</v>
      </c>
      <c r="L1059" s="140"/>
      <c r="M1059" s="304" t="s">
        <v>75</v>
      </c>
      <c r="N1059" s="304"/>
      <c r="O1059" s="140"/>
      <c r="P1059" s="140"/>
      <c r="Q1059" s="140"/>
      <c r="R1059" s="140"/>
      <c r="S1059" s="140"/>
      <c r="T1059" s="140" t="s">
        <v>41</v>
      </c>
      <c r="U1059" s="304"/>
      <c r="V1059" s="304"/>
      <c r="W1059" s="140" t="s">
        <v>47</v>
      </c>
      <c r="X1059" s="140"/>
    </row>
    <row r="1060" spans="1:24" ht="18.75" customHeight="1">
      <c r="A1060" s="140" t="s">
        <v>76</v>
      </c>
      <c r="B1060" s="140" t="s">
        <v>41</v>
      </c>
      <c r="C1060" s="140"/>
      <c r="D1060" s="140"/>
      <c r="E1060" s="140" t="s">
        <v>77</v>
      </c>
      <c r="F1060" s="140"/>
      <c r="G1060" s="140"/>
      <c r="H1060" s="140" t="s">
        <v>41</v>
      </c>
      <c r="I1060" s="304" t="e">
        <f>L1057</f>
        <v>#DIV/0!</v>
      </c>
      <c r="J1060" s="304"/>
      <c r="K1060" s="140" t="s">
        <v>47</v>
      </c>
      <c r="L1060" s="140"/>
      <c r="M1060" s="140" t="s">
        <v>76</v>
      </c>
      <c r="N1060" s="140" t="s">
        <v>41</v>
      </c>
      <c r="O1060" s="140"/>
      <c r="P1060" s="140"/>
      <c r="Q1060" s="140" t="s">
        <v>77</v>
      </c>
      <c r="R1060" s="140"/>
      <c r="S1060" s="140"/>
      <c r="T1060" s="140" t="s">
        <v>41</v>
      </c>
      <c r="U1060" s="304" t="e">
        <f>X1057</f>
        <v>#DIV/0!</v>
      </c>
      <c r="V1060" s="304"/>
      <c r="W1060" s="140" t="s">
        <v>47</v>
      </c>
      <c r="X1060" s="140"/>
    </row>
    <row r="1061" spans="1:24" ht="18.75" customHeight="1">
      <c r="A1061" s="304" t="s">
        <v>78</v>
      </c>
      <c r="B1061" s="304"/>
      <c r="C1061" s="304"/>
      <c r="D1061" s="304"/>
      <c r="E1061" s="304"/>
      <c r="F1061" s="304"/>
      <c r="G1061" s="140" t="s">
        <v>41</v>
      </c>
      <c r="H1061" s="304" t="e">
        <f>I1048+I1049+I1050+I1051+I1052+I1055+I1059+I1060</f>
        <v>#DIV/0!</v>
      </c>
      <c r="I1061" s="304"/>
      <c r="J1061" s="304"/>
      <c r="K1061" s="140" t="s">
        <v>47</v>
      </c>
      <c r="M1061" s="304" t="s">
        <v>78</v>
      </c>
      <c r="N1061" s="304"/>
      <c r="O1061" s="304"/>
      <c r="P1061" s="304"/>
      <c r="Q1061" s="304"/>
      <c r="R1061" s="304"/>
      <c r="S1061" s="140" t="s">
        <v>41</v>
      </c>
      <c r="T1061" s="304" t="e">
        <f>U1048+U1049+U1050+U1051+U1052+U1055+U1059+U1060</f>
        <v>#DIV/0!</v>
      </c>
      <c r="U1061" s="304"/>
      <c r="V1061" s="304"/>
      <c r="W1061" s="140" t="s">
        <v>47</v>
      </c>
    </row>
    <row r="1062" spans="1:24" ht="18.75" customHeight="1">
      <c r="A1062" s="140"/>
      <c r="B1062" s="140"/>
      <c r="C1062" s="140"/>
      <c r="D1062" s="140"/>
      <c r="E1062" s="140"/>
      <c r="F1062" s="140"/>
      <c r="G1062" s="140"/>
      <c r="H1062" s="140"/>
      <c r="I1062" s="140"/>
      <c r="J1062" s="140"/>
      <c r="K1062" s="140"/>
      <c r="M1062" s="140"/>
      <c r="N1062" s="140"/>
      <c r="O1062" s="140"/>
      <c r="P1062" s="140"/>
      <c r="Q1062" s="140"/>
      <c r="R1062" s="140"/>
      <c r="S1062" s="140"/>
      <c r="T1062" s="140"/>
      <c r="U1062" s="140"/>
      <c r="V1062" s="140"/>
      <c r="W1062" s="140"/>
    </row>
    <row r="1063" spans="1:24" ht="18.75" customHeight="1">
      <c r="A1063" s="304" t="s">
        <v>79</v>
      </c>
      <c r="B1063" s="304"/>
      <c r="C1063" s="304"/>
      <c r="D1063" s="304"/>
      <c r="E1063" s="304"/>
      <c r="F1063" s="304"/>
      <c r="G1063" s="140"/>
      <c r="H1063" s="140"/>
      <c r="I1063" s="140"/>
      <c r="J1063" s="140"/>
      <c r="K1063" s="140"/>
      <c r="M1063" s="304" t="s">
        <v>79</v>
      </c>
      <c r="N1063" s="304"/>
      <c r="O1063" s="304"/>
      <c r="P1063" s="304"/>
      <c r="Q1063" s="304"/>
      <c r="R1063" s="304"/>
      <c r="S1063" s="140"/>
      <c r="T1063" s="140"/>
      <c r="U1063" s="140"/>
      <c r="V1063" s="140"/>
      <c r="W1063" s="140"/>
    </row>
    <row r="1064" spans="1:24" ht="18.75" customHeight="1">
      <c r="A1064" s="304" t="s">
        <v>80</v>
      </c>
      <c r="B1064" s="304"/>
      <c r="C1064" s="304"/>
      <c r="D1064" s="304"/>
      <c r="E1064" s="304"/>
      <c r="F1064" s="304"/>
      <c r="G1064" s="140" t="s">
        <v>41</v>
      </c>
      <c r="H1064" s="304">
        <f>IF(($L$1-(C1048+C1049+C1050+C1051))&gt;12,0,F1045*8%)</f>
        <v>0</v>
      </c>
      <c r="I1064" s="304"/>
      <c r="J1064" s="304"/>
      <c r="K1064" s="140" t="s">
        <v>47</v>
      </c>
      <c r="M1064" s="304" t="s">
        <v>80</v>
      </c>
      <c r="N1064" s="304"/>
      <c r="O1064" s="304"/>
      <c r="P1064" s="304"/>
      <c r="Q1064" s="304"/>
      <c r="R1064" s="304"/>
      <c r="S1064" s="140" t="s">
        <v>41</v>
      </c>
      <c r="T1064" s="304">
        <f>IF(($L$1-(O1048+O1049+O1050+O1051))&gt;12,0,R1045*8%)</f>
        <v>0</v>
      </c>
      <c r="U1064" s="304"/>
      <c r="V1064" s="304"/>
      <c r="W1064" s="140" t="s">
        <v>47</v>
      </c>
    </row>
    <row r="1065" spans="1:24" ht="18.75" customHeight="1">
      <c r="A1065" s="304" t="s">
        <v>81</v>
      </c>
      <c r="B1065" s="304"/>
      <c r="C1065" s="304"/>
      <c r="D1065" s="304"/>
      <c r="E1065" s="304"/>
      <c r="F1065" s="304"/>
      <c r="G1065" s="140" t="s">
        <v>41</v>
      </c>
      <c r="H1065" s="304">
        <f>IF(($L$1-(C1048+C1049+C1050+C1051))&gt;12,0,F1045*1.5%)</f>
        <v>0</v>
      </c>
      <c r="I1065" s="304"/>
      <c r="J1065" s="304"/>
      <c r="K1065" s="140" t="s">
        <v>47</v>
      </c>
      <c r="M1065" s="304" t="s">
        <v>81</v>
      </c>
      <c r="N1065" s="304"/>
      <c r="O1065" s="304"/>
      <c r="P1065" s="304"/>
      <c r="Q1065" s="304"/>
      <c r="R1065" s="304"/>
      <c r="S1065" s="140" t="s">
        <v>41</v>
      </c>
      <c r="T1065" s="304">
        <f>IF(($L$1-(O1048+O1049+O1050+O1051))&gt;12,0,R1045*1.5%)</f>
        <v>0</v>
      </c>
      <c r="U1065" s="304"/>
      <c r="V1065" s="304"/>
      <c r="W1065" s="140" t="s">
        <v>47</v>
      </c>
    </row>
    <row r="1066" spans="1:24" ht="18.75" customHeight="1">
      <c r="A1066" s="304" t="s">
        <v>82</v>
      </c>
      <c r="B1066" s="304"/>
      <c r="C1066" s="304"/>
      <c r="D1066" s="304"/>
      <c r="E1066" s="304"/>
      <c r="F1066" s="304"/>
      <c r="G1066" s="140" t="s">
        <v>41</v>
      </c>
      <c r="H1066" s="304">
        <f>IF(($L$1-(C1048+C1049+C1050+C1051))&gt;12,0,F1045*1%)</f>
        <v>0</v>
      </c>
      <c r="I1066" s="304"/>
      <c r="J1066" s="304"/>
      <c r="K1066" s="140" t="s">
        <v>47</v>
      </c>
      <c r="M1066" s="304" t="s">
        <v>82</v>
      </c>
      <c r="N1066" s="304"/>
      <c r="O1066" s="304"/>
      <c r="P1066" s="304"/>
      <c r="Q1066" s="304"/>
      <c r="R1066" s="304"/>
      <c r="S1066" s="140" t="s">
        <v>41</v>
      </c>
      <c r="T1066" s="304">
        <f>IF(($L$1-(O1048+O1049+O1050+O1051))&gt;12,0,R1045*1%)</f>
        <v>0</v>
      </c>
      <c r="U1066" s="304"/>
      <c r="V1066" s="304"/>
      <c r="W1066" s="140" t="s">
        <v>47</v>
      </c>
    </row>
    <row r="1067" spans="1:24" ht="18.75" customHeight="1">
      <c r="A1067" s="304" t="s">
        <v>83</v>
      </c>
      <c r="B1067" s="304"/>
      <c r="C1067" s="304"/>
      <c r="D1067" s="304"/>
      <c r="E1067" s="304"/>
      <c r="F1067" s="304"/>
      <c r="G1067" s="140" t="s">
        <v>41</v>
      </c>
      <c r="H1067" s="304">
        <v>0</v>
      </c>
      <c r="I1067" s="304"/>
      <c r="J1067" s="304"/>
      <c r="K1067" s="140" t="s">
        <v>47</v>
      </c>
      <c r="M1067" s="304" t="s">
        <v>83</v>
      </c>
      <c r="N1067" s="304"/>
      <c r="O1067" s="304"/>
      <c r="P1067" s="304"/>
      <c r="Q1067" s="304"/>
      <c r="R1067" s="304"/>
      <c r="S1067" s="140" t="s">
        <v>41</v>
      </c>
      <c r="T1067" s="304">
        <v>0</v>
      </c>
      <c r="U1067" s="304"/>
      <c r="V1067" s="304"/>
      <c r="W1067" s="140" t="s">
        <v>47</v>
      </c>
    </row>
    <row r="1068" spans="1:24" ht="18.75" customHeight="1">
      <c r="A1068" s="304" t="s">
        <v>84</v>
      </c>
      <c r="B1068" s="304"/>
      <c r="C1068" s="304"/>
      <c r="D1068" s="304"/>
      <c r="E1068" s="304"/>
      <c r="F1068" s="304"/>
      <c r="G1068" s="140" t="s">
        <v>41</v>
      </c>
      <c r="H1068" s="304">
        <f>SUM(H1064:J1067)</f>
        <v>0</v>
      </c>
      <c r="I1068" s="304"/>
      <c r="J1068" s="304"/>
      <c r="K1068" s="140" t="s">
        <v>47</v>
      </c>
      <c r="M1068" s="304" t="s">
        <v>84</v>
      </c>
      <c r="N1068" s="304"/>
      <c r="O1068" s="304"/>
      <c r="P1068" s="304"/>
      <c r="Q1068" s="304"/>
      <c r="R1068" s="304"/>
      <c r="S1068" s="140" t="s">
        <v>41</v>
      </c>
      <c r="T1068" s="304">
        <f>SUM(T1064:V1067)</f>
        <v>0</v>
      </c>
      <c r="U1068" s="304"/>
      <c r="V1068" s="304"/>
      <c r="W1068" s="140" t="s">
        <v>47</v>
      </c>
    </row>
    <row r="1069" spans="1:24" ht="18.75" customHeight="1">
      <c r="A1069" s="304" t="s">
        <v>85</v>
      </c>
      <c r="B1069" s="304"/>
      <c r="C1069" s="304"/>
      <c r="D1069" s="304"/>
      <c r="E1069" s="304"/>
      <c r="F1069" s="304"/>
      <c r="G1069" s="140" t="s">
        <v>41</v>
      </c>
      <c r="H1069" s="304" t="e">
        <f>ROUND(H1061-H1068,-2)</f>
        <v>#DIV/0!</v>
      </c>
      <c r="I1069" s="304"/>
      <c r="J1069" s="304"/>
      <c r="K1069" s="140" t="s">
        <v>47</v>
      </c>
      <c r="M1069" s="304" t="s">
        <v>85</v>
      </c>
      <c r="N1069" s="304"/>
      <c r="O1069" s="304"/>
      <c r="P1069" s="304"/>
      <c r="Q1069" s="304"/>
      <c r="R1069" s="304"/>
      <c r="S1069" s="140" t="s">
        <v>41</v>
      </c>
      <c r="T1069" s="304" t="e">
        <f>ROUND(T1061-T1068,-2)</f>
        <v>#DIV/0!</v>
      </c>
      <c r="U1069" s="304"/>
      <c r="V1069" s="304"/>
      <c r="W1069" s="140" t="s">
        <v>47</v>
      </c>
    </row>
    <row r="1070" spans="1:24" ht="18.75" customHeight="1">
      <c r="A1070" s="140"/>
      <c r="B1070" s="140"/>
      <c r="C1070" s="140"/>
      <c r="D1070" s="140"/>
      <c r="E1070" s="140"/>
      <c r="F1070" s="140"/>
      <c r="G1070" s="140"/>
      <c r="H1070" s="140"/>
      <c r="I1070" s="140"/>
      <c r="J1070" s="140"/>
      <c r="K1070" s="140"/>
      <c r="M1070" s="140"/>
      <c r="N1070" s="140"/>
      <c r="O1070" s="140"/>
      <c r="P1070" s="140"/>
      <c r="Q1070" s="140"/>
      <c r="R1070" s="140"/>
      <c r="S1070" s="140"/>
      <c r="T1070" s="140"/>
      <c r="U1070" s="140"/>
      <c r="V1070" s="140"/>
      <c r="W1070" s="140"/>
    </row>
    <row r="1071" spans="1:24" ht="18.75" customHeight="1">
      <c r="A1071" s="140"/>
      <c r="B1071" s="140"/>
      <c r="C1071" s="140"/>
      <c r="D1071" s="140"/>
      <c r="E1071" s="140"/>
      <c r="F1071" s="140"/>
      <c r="G1071" s="140"/>
      <c r="H1071" s="140"/>
      <c r="I1071" s="304" t="s">
        <v>86</v>
      </c>
      <c r="J1071" s="304"/>
      <c r="K1071" s="304"/>
      <c r="M1071" s="140"/>
      <c r="N1071" s="140"/>
      <c r="O1071" s="140"/>
      <c r="P1071" s="140"/>
      <c r="Q1071" s="140"/>
      <c r="R1071" s="140"/>
      <c r="S1071" s="140"/>
      <c r="T1071" s="140"/>
      <c r="U1071" s="304" t="s">
        <v>86</v>
      </c>
      <c r="V1071" s="304"/>
      <c r="W1071" s="304"/>
    </row>
    <row r="1072" spans="1:24" ht="18.75" customHeight="1">
      <c r="A1072" s="140"/>
      <c r="B1072" s="304"/>
      <c r="C1072" s="304"/>
      <c r="D1072" s="304"/>
      <c r="E1072" s="304"/>
      <c r="F1072" s="140"/>
      <c r="G1072" s="140"/>
      <c r="H1072" s="140"/>
      <c r="I1072" s="140"/>
      <c r="J1072" s="140"/>
      <c r="K1072" s="140"/>
      <c r="M1072" s="140"/>
      <c r="N1072" s="304"/>
      <c r="O1072" s="304"/>
      <c r="P1072" s="304"/>
      <c r="Q1072" s="304"/>
      <c r="R1072" s="140"/>
      <c r="S1072" s="140"/>
      <c r="T1072" s="140"/>
      <c r="U1072" s="140"/>
      <c r="V1072" s="140"/>
      <c r="W1072" s="140"/>
    </row>
    <row r="1073" spans="1:24" ht="18.75" customHeight="1">
      <c r="A1073" s="140"/>
      <c r="B1073" s="140"/>
      <c r="C1073" s="140"/>
      <c r="D1073" s="140"/>
      <c r="E1073" s="140"/>
      <c r="F1073" s="140"/>
      <c r="G1073" s="140"/>
      <c r="H1073" s="140"/>
      <c r="I1073" s="304" t="s">
        <v>87</v>
      </c>
      <c r="J1073" s="304"/>
      <c r="K1073" s="304"/>
      <c r="M1073" s="140"/>
      <c r="N1073" s="140"/>
      <c r="O1073" s="140"/>
      <c r="P1073" s="140"/>
      <c r="Q1073" s="140"/>
      <c r="R1073" s="140"/>
      <c r="S1073" s="140"/>
      <c r="T1073" s="140"/>
      <c r="U1073" s="304" t="s">
        <v>87</v>
      </c>
      <c r="V1073" s="304"/>
      <c r="W1073" s="304"/>
    </row>
    <row r="1075" spans="1:24" ht="18.75" customHeight="1">
      <c r="A1075" s="304" t="s">
        <v>35</v>
      </c>
      <c r="B1075" s="304"/>
      <c r="C1075" s="304"/>
      <c r="D1075" s="304"/>
      <c r="E1075" s="304"/>
      <c r="F1075" s="304"/>
      <c r="G1075" s="304"/>
      <c r="H1075" s="304"/>
      <c r="I1075" s="304"/>
      <c r="J1075" s="304"/>
      <c r="K1075" s="304"/>
      <c r="L1075" s="140">
        <v>24</v>
      </c>
      <c r="M1075" s="304" t="s">
        <v>35</v>
      </c>
      <c r="N1075" s="304"/>
      <c r="O1075" s="304"/>
      <c r="P1075" s="304"/>
      <c r="Q1075" s="304"/>
      <c r="R1075" s="304"/>
      <c r="S1075" s="304"/>
      <c r="T1075" s="304"/>
      <c r="U1075" s="304"/>
      <c r="V1075" s="304"/>
      <c r="W1075" s="304"/>
      <c r="X1075" s="140">
        <v>24</v>
      </c>
    </row>
    <row r="1076" spans="1:24" ht="18.75" customHeight="1">
      <c r="A1076" s="140" t="s">
        <v>161</v>
      </c>
      <c r="B1076" s="140"/>
      <c r="C1076" s="140"/>
      <c r="D1076" s="140"/>
      <c r="E1076" s="140"/>
      <c r="F1076" s="140"/>
      <c r="G1076" s="140"/>
      <c r="H1076" s="140"/>
      <c r="I1076" s="140"/>
      <c r="J1076" s="140"/>
      <c r="K1076" s="140"/>
      <c r="M1076" s="140" t="s">
        <v>162</v>
      </c>
      <c r="N1076" s="140"/>
      <c r="O1076" s="140"/>
      <c r="P1076" s="140"/>
      <c r="Q1076" s="140"/>
      <c r="R1076" s="140"/>
      <c r="S1076" s="140"/>
      <c r="T1076" s="140"/>
      <c r="U1076" s="140"/>
      <c r="V1076" s="140"/>
      <c r="W1076" s="140"/>
    </row>
    <row r="1077" spans="1:24" ht="18.75" customHeight="1">
      <c r="A1077" s="304" t="s">
        <v>39</v>
      </c>
      <c r="B1077" s="304"/>
      <c r="C1077" s="304"/>
      <c r="D1077" s="304"/>
      <c r="E1077" s="304"/>
      <c r="F1077" s="304"/>
      <c r="G1077" s="304"/>
      <c r="H1077" s="304"/>
      <c r="I1077" s="304"/>
      <c r="J1077" s="304"/>
      <c r="K1077" s="304"/>
      <c r="M1077" s="304" t="s">
        <v>39</v>
      </c>
      <c r="N1077" s="304"/>
      <c r="O1077" s="304"/>
      <c r="P1077" s="304"/>
      <c r="Q1077" s="304"/>
      <c r="R1077" s="304"/>
      <c r="S1077" s="304"/>
      <c r="T1077" s="304"/>
      <c r="U1077" s="304"/>
      <c r="V1077" s="304"/>
      <c r="W1077" s="304"/>
    </row>
    <row r="1078" spans="1:24" ht="18.75" customHeight="1">
      <c r="A1078" s="304" t="s">
        <v>40</v>
      </c>
      <c r="B1078" s="304"/>
      <c r="C1078" s="304"/>
      <c r="D1078" s="304"/>
      <c r="E1078" s="140" t="s">
        <v>41</v>
      </c>
      <c r="F1078" s="304"/>
      <c r="G1078" s="304"/>
      <c r="H1078" s="304"/>
      <c r="I1078" s="304"/>
      <c r="J1078" s="304"/>
      <c r="K1078" s="304"/>
      <c r="M1078" s="304" t="s">
        <v>40</v>
      </c>
      <c r="N1078" s="304"/>
      <c r="O1078" s="304"/>
      <c r="P1078" s="304"/>
      <c r="Q1078" s="140" t="s">
        <v>41</v>
      </c>
      <c r="R1078" s="304"/>
      <c r="S1078" s="304"/>
      <c r="T1078" s="304"/>
      <c r="U1078" s="304"/>
      <c r="V1078" s="304"/>
      <c r="W1078" s="304"/>
    </row>
    <row r="1079" spans="1:24" ht="18.75" customHeight="1">
      <c r="A1079" s="304" t="s">
        <v>43</v>
      </c>
      <c r="B1079" s="304"/>
      <c r="C1079" s="304"/>
      <c r="D1079" s="304"/>
      <c r="E1079" s="140" t="s">
        <v>41</v>
      </c>
      <c r="F1079" s="304"/>
      <c r="G1079" s="304"/>
      <c r="H1079" s="304"/>
      <c r="I1079" s="304"/>
      <c r="J1079" s="304"/>
      <c r="K1079" s="304"/>
      <c r="M1079" s="304" t="s">
        <v>43</v>
      </c>
      <c r="N1079" s="304"/>
      <c r="O1079" s="304"/>
      <c r="P1079" s="304"/>
      <c r="Q1079" s="140" t="s">
        <v>41</v>
      </c>
      <c r="R1079" s="304"/>
      <c r="S1079" s="304"/>
      <c r="T1079" s="304"/>
      <c r="U1079" s="304"/>
      <c r="V1079" s="304"/>
      <c r="W1079" s="304"/>
    </row>
    <row r="1080" spans="1:24" ht="18.75" customHeight="1">
      <c r="A1080" s="304" t="s">
        <v>44</v>
      </c>
      <c r="B1080" s="304"/>
      <c r="C1080" s="304"/>
      <c r="D1080" s="304"/>
      <c r="E1080" s="140" t="s">
        <v>41</v>
      </c>
      <c r="F1080" s="304" t="s">
        <v>116</v>
      </c>
      <c r="G1080" s="304"/>
      <c r="H1080" s="304"/>
      <c r="I1080" s="304"/>
      <c r="J1080" s="304"/>
      <c r="K1080" s="304"/>
      <c r="M1080" s="304" t="s">
        <v>44</v>
      </c>
      <c r="N1080" s="304"/>
      <c r="O1080" s="304"/>
      <c r="P1080" s="304"/>
      <c r="Q1080" s="140" t="s">
        <v>41</v>
      </c>
      <c r="R1080" s="304" t="s">
        <v>116</v>
      </c>
      <c r="S1080" s="304"/>
      <c r="T1080" s="304"/>
      <c r="U1080" s="304"/>
      <c r="V1080" s="304"/>
      <c r="W1080" s="304"/>
    </row>
    <row r="1081" spans="1:24" ht="18.75" customHeight="1">
      <c r="A1081" s="304" t="s">
        <v>45</v>
      </c>
      <c r="B1081" s="304"/>
      <c r="C1081" s="304"/>
      <c r="D1081" s="304"/>
      <c r="E1081" s="304"/>
      <c r="F1081" s="304"/>
      <c r="G1081" s="304"/>
      <c r="H1081" s="304"/>
      <c r="I1081" s="304"/>
      <c r="J1081" s="304"/>
      <c r="K1081" s="304"/>
      <c r="M1081" s="304" t="s">
        <v>45</v>
      </c>
      <c r="N1081" s="304"/>
      <c r="O1081" s="304"/>
      <c r="P1081" s="304"/>
      <c r="Q1081" s="304"/>
      <c r="R1081" s="304"/>
      <c r="S1081" s="304"/>
      <c r="T1081" s="304"/>
      <c r="U1081" s="304"/>
      <c r="V1081" s="304"/>
      <c r="W1081" s="304"/>
    </row>
    <row r="1082" spans="1:24" ht="18.75" customHeight="1">
      <c r="A1082" s="304" t="s">
        <v>46</v>
      </c>
      <c r="B1082" s="304"/>
      <c r="C1082" s="304"/>
      <c r="D1082" s="304"/>
      <c r="E1082" s="140" t="s">
        <v>41</v>
      </c>
      <c r="F1082" s="304">
        <v>2915400</v>
      </c>
      <c r="G1082" s="304"/>
      <c r="H1082" s="304"/>
      <c r="I1082" s="304"/>
      <c r="J1082" s="140" t="s">
        <v>47</v>
      </c>
      <c r="K1082" s="140"/>
      <c r="M1082" s="304" t="s">
        <v>46</v>
      </c>
      <c r="N1082" s="304"/>
      <c r="O1082" s="304"/>
      <c r="P1082" s="304"/>
      <c r="Q1082" s="140" t="s">
        <v>41</v>
      </c>
      <c r="R1082" s="304">
        <v>2915400</v>
      </c>
      <c r="S1082" s="304"/>
      <c r="T1082" s="304"/>
      <c r="U1082" s="304"/>
      <c r="V1082" s="140" t="s">
        <v>47</v>
      </c>
      <c r="W1082" s="140"/>
    </row>
    <row r="1083" spans="1:24" ht="18.75" customHeight="1">
      <c r="A1083" s="140" t="s">
        <v>48</v>
      </c>
      <c r="B1083" s="140"/>
      <c r="C1083" s="140"/>
      <c r="D1083" s="140"/>
      <c r="E1083" s="140"/>
      <c r="F1083" s="140"/>
      <c r="G1083" s="140"/>
      <c r="H1083" s="140"/>
      <c r="I1083" s="140"/>
      <c r="J1083" s="140"/>
      <c r="K1083" s="140"/>
      <c r="M1083" s="140" t="s">
        <v>48</v>
      </c>
      <c r="N1083" s="140"/>
      <c r="O1083" s="140"/>
      <c r="P1083" s="140"/>
      <c r="Q1083" s="140"/>
      <c r="R1083" s="140"/>
      <c r="S1083" s="140"/>
      <c r="T1083" s="140"/>
      <c r="U1083" s="140"/>
      <c r="V1083" s="140"/>
      <c r="W1083" s="140"/>
    </row>
    <row r="1084" spans="1:24" ht="18.75" customHeight="1">
      <c r="A1084" s="140" t="s">
        <v>49</v>
      </c>
      <c r="B1084" s="140"/>
      <c r="C1084" s="140"/>
      <c r="D1084" s="140"/>
      <c r="E1084" s="140"/>
      <c r="F1084" s="140"/>
      <c r="G1084" s="140"/>
      <c r="H1084" s="140"/>
      <c r="I1084" s="140" t="e">
        <f>I1085/C1085/8</f>
        <v>#DIV/0!</v>
      </c>
      <c r="J1084" s="140"/>
      <c r="K1084" s="140"/>
      <c r="M1084" s="140" t="s">
        <v>49</v>
      </c>
      <c r="N1084" s="140"/>
      <c r="O1084" s="140"/>
      <c r="P1084" s="140"/>
      <c r="Q1084" s="140"/>
      <c r="R1084" s="140"/>
      <c r="S1084" s="140"/>
      <c r="T1084" s="140"/>
      <c r="U1084" s="140" t="e">
        <f>U1085/O1085/8</f>
        <v>#DIV/0!</v>
      </c>
      <c r="V1084" s="140"/>
      <c r="W1084" s="140"/>
    </row>
    <row r="1085" spans="1:24" ht="18.75" customHeight="1">
      <c r="A1085" s="140" t="s">
        <v>50</v>
      </c>
      <c r="B1085" s="140" t="s">
        <v>41</v>
      </c>
      <c r="C1085" s="140"/>
      <c r="D1085" s="140" t="s">
        <v>51</v>
      </c>
      <c r="E1085" s="304" t="s">
        <v>52</v>
      </c>
      <c r="F1085" s="304"/>
      <c r="G1085" s="304"/>
      <c r="H1085" s="140" t="s">
        <v>41</v>
      </c>
      <c r="I1085" s="304" t="e">
        <f>I1083*680/((C1085-C1092)*8+C1092*7+C1089)*((C1085-C1092)*8+C1092*7)</f>
        <v>#DIV/0!</v>
      </c>
      <c r="J1085" s="304"/>
      <c r="K1085" s="140" t="s">
        <v>47</v>
      </c>
      <c r="L1085" s="140">
        <f>F1082/L1075*C1085</f>
        <v>0</v>
      </c>
      <c r="M1085" s="140" t="s">
        <v>50</v>
      </c>
      <c r="N1085" s="140" t="s">
        <v>41</v>
      </c>
      <c r="O1085" s="140"/>
      <c r="P1085" s="140" t="s">
        <v>51</v>
      </c>
      <c r="Q1085" s="304" t="s">
        <v>52</v>
      </c>
      <c r="R1085" s="304"/>
      <c r="S1085" s="304"/>
      <c r="T1085" s="140" t="s">
        <v>41</v>
      </c>
      <c r="U1085" s="304" t="e">
        <f>U1083*680/((O1085-O1092)*8+O1092*7+O1089)*((O1085-O1092)*8+O1092*7)</f>
        <v>#DIV/0!</v>
      </c>
      <c r="V1085" s="304"/>
      <c r="W1085" s="140" t="s">
        <v>47</v>
      </c>
      <c r="X1085" s="140">
        <f>R1082/X1075*O1085</f>
        <v>0</v>
      </c>
    </row>
    <row r="1086" spans="1:24" ht="18.75" customHeight="1">
      <c r="A1086" s="140" t="s">
        <v>53</v>
      </c>
      <c r="B1086" s="140" t="s">
        <v>41</v>
      </c>
      <c r="C1086" s="140"/>
      <c r="D1086" s="140" t="s">
        <v>51</v>
      </c>
      <c r="E1086" s="304" t="s">
        <v>54</v>
      </c>
      <c r="F1086" s="304"/>
      <c r="G1086" s="304"/>
      <c r="H1086" s="140" t="s">
        <v>41</v>
      </c>
      <c r="I1086" s="304">
        <f>$F$8/$L$1*C1086</f>
        <v>0</v>
      </c>
      <c r="J1086" s="304"/>
      <c r="K1086" s="140" t="s">
        <v>47</v>
      </c>
      <c r="L1086" s="140"/>
      <c r="M1086" s="140" t="s">
        <v>53</v>
      </c>
      <c r="N1086" s="140" t="s">
        <v>41</v>
      </c>
      <c r="O1086" s="140"/>
      <c r="P1086" s="140" t="s">
        <v>51</v>
      </c>
      <c r="Q1086" s="304" t="s">
        <v>54</v>
      </c>
      <c r="R1086" s="304"/>
      <c r="S1086" s="304"/>
      <c r="T1086" s="140" t="s">
        <v>41</v>
      </c>
      <c r="U1086" s="304">
        <f>$F$8/$L$1*O1086</f>
        <v>0</v>
      </c>
      <c r="V1086" s="304"/>
      <c r="W1086" s="140" t="s">
        <v>47</v>
      </c>
      <c r="X1086" s="140"/>
    </row>
    <row r="1087" spans="1:24" ht="18.75" customHeight="1">
      <c r="A1087" s="140" t="s">
        <v>55</v>
      </c>
      <c r="B1087" s="140" t="s">
        <v>41</v>
      </c>
      <c r="C1087" s="140"/>
      <c r="D1087" s="140" t="s">
        <v>51</v>
      </c>
      <c r="E1087" s="304" t="s">
        <v>56</v>
      </c>
      <c r="F1087" s="304"/>
      <c r="G1087" s="304"/>
      <c r="H1087" s="140" t="s">
        <v>41</v>
      </c>
      <c r="I1087" s="304">
        <f>$F$8/$L$1*C1087</f>
        <v>0</v>
      </c>
      <c r="J1087" s="304"/>
      <c r="K1087" s="140" t="s">
        <v>47</v>
      </c>
      <c r="L1087" s="140"/>
      <c r="M1087" s="140" t="s">
        <v>55</v>
      </c>
      <c r="N1087" s="140" t="s">
        <v>41</v>
      </c>
      <c r="O1087" s="140"/>
      <c r="P1087" s="140" t="s">
        <v>51</v>
      </c>
      <c r="Q1087" s="304" t="s">
        <v>56</v>
      </c>
      <c r="R1087" s="304"/>
      <c r="S1087" s="304"/>
      <c r="T1087" s="140" t="s">
        <v>41</v>
      </c>
      <c r="U1087" s="304">
        <f>$F$8/$L$1*O1087</f>
        <v>0</v>
      </c>
      <c r="V1087" s="304"/>
      <c r="W1087" s="140" t="s">
        <v>47</v>
      </c>
      <c r="X1087" s="140"/>
    </row>
    <row r="1088" spans="1:24" ht="18.75" customHeight="1">
      <c r="A1088" s="140" t="s">
        <v>57</v>
      </c>
      <c r="B1088" s="140" t="s">
        <v>41</v>
      </c>
      <c r="C1088" s="140"/>
      <c r="D1088" s="140" t="s">
        <v>51</v>
      </c>
      <c r="E1088" s="304" t="s">
        <v>58</v>
      </c>
      <c r="F1088" s="304"/>
      <c r="G1088" s="304"/>
      <c r="H1088" s="140" t="s">
        <v>41</v>
      </c>
      <c r="I1088" s="304">
        <f>$F$8/$L$1*C1088</f>
        <v>0</v>
      </c>
      <c r="J1088" s="304"/>
      <c r="K1088" s="140" t="s">
        <v>47</v>
      </c>
      <c r="L1088" s="140"/>
      <c r="M1088" s="140" t="s">
        <v>57</v>
      </c>
      <c r="N1088" s="140" t="s">
        <v>41</v>
      </c>
      <c r="O1088" s="140"/>
      <c r="P1088" s="140" t="s">
        <v>51</v>
      </c>
      <c r="Q1088" s="304" t="s">
        <v>58</v>
      </c>
      <c r="R1088" s="304"/>
      <c r="S1088" s="304"/>
      <c r="T1088" s="140" t="s">
        <v>41</v>
      </c>
      <c r="U1088" s="304">
        <f>$F$8/$L$1*O1088</f>
        <v>0</v>
      </c>
      <c r="V1088" s="304"/>
      <c r="W1088" s="140" t="s">
        <v>47</v>
      </c>
      <c r="X1088" s="140"/>
    </row>
    <row r="1089" spans="1:24" ht="18.75" customHeight="1">
      <c r="A1089" s="140" t="s">
        <v>59</v>
      </c>
      <c r="B1089" s="140" t="s">
        <v>41</v>
      </c>
      <c r="C1089" s="140"/>
      <c r="D1089" s="140" t="s">
        <v>60</v>
      </c>
      <c r="E1089" s="304" t="s">
        <v>61</v>
      </c>
      <c r="F1089" s="304"/>
      <c r="G1089" s="304"/>
      <c r="H1089" s="140" t="s">
        <v>41</v>
      </c>
      <c r="I1089" s="304" t="e">
        <f>I1085/C1085/8*C1089</f>
        <v>#DIV/0!</v>
      </c>
      <c r="J1089" s="304"/>
      <c r="K1089" s="140" t="s">
        <v>47</v>
      </c>
      <c r="L1089" s="140">
        <f>F1082*C1089/L1075/8*1.5</f>
        <v>0</v>
      </c>
      <c r="M1089" s="140" t="s">
        <v>59</v>
      </c>
      <c r="N1089" s="140" t="s">
        <v>41</v>
      </c>
      <c r="O1089" s="140"/>
      <c r="P1089" s="140" t="s">
        <v>60</v>
      </c>
      <c r="Q1089" s="304" t="s">
        <v>61</v>
      </c>
      <c r="R1089" s="304"/>
      <c r="S1089" s="304"/>
      <c r="T1089" s="140" t="s">
        <v>41</v>
      </c>
      <c r="U1089" s="304" t="e">
        <f>U1085/O1085/8*O1089</f>
        <v>#DIV/0!</v>
      </c>
      <c r="V1089" s="304"/>
      <c r="W1089" s="140" t="s">
        <v>47</v>
      </c>
      <c r="X1089" s="140">
        <f>R1082*O1089/X1075/8*1.5</f>
        <v>0</v>
      </c>
    </row>
    <row r="1090" spans="1:24" ht="18.75" customHeight="1">
      <c r="A1090" s="304" t="s">
        <v>62</v>
      </c>
      <c r="B1090" s="304"/>
      <c r="C1090" s="140"/>
      <c r="D1090" s="140" t="s">
        <v>51</v>
      </c>
      <c r="E1090" s="304" t="s">
        <v>63</v>
      </c>
      <c r="F1090" s="304"/>
      <c r="G1090" s="304"/>
      <c r="H1090" s="140" t="s">
        <v>41</v>
      </c>
      <c r="I1090" s="304"/>
      <c r="J1090" s="304"/>
      <c r="K1090" s="140" t="s">
        <v>47</v>
      </c>
      <c r="L1090" s="140"/>
      <c r="M1090" s="304" t="s">
        <v>62</v>
      </c>
      <c r="N1090" s="304"/>
      <c r="O1090" s="140"/>
      <c r="P1090" s="140" t="s">
        <v>51</v>
      </c>
      <c r="Q1090" s="304" t="s">
        <v>63</v>
      </c>
      <c r="R1090" s="304"/>
      <c r="S1090" s="304"/>
      <c r="T1090" s="140" t="s">
        <v>41</v>
      </c>
      <c r="U1090" s="304"/>
      <c r="V1090" s="304"/>
      <c r="W1090" s="140" t="s">
        <v>47</v>
      </c>
      <c r="X1090" s="140"/>
    </row>
    <row r="1091" spans="1:24" ht="18.75" customHeight="1">
      <c r="A1091" s="140" t="s">
        <v>64</v>
      </c>
      <c r="B1091" s="140" t="s">
        <v>41</v>
      </c>
      <c r="C1091" s="140"/>
      <c r="D1091" s="140" t="s">
        <v>51</v>
      </c>
      <c r="E1091" s="304" t="s">
        <v>65</v>
      </c>
      <c r="F1091" s="304"/>
      <c r="G1091" s="304"/>
      <c r="H1091" s="140" t="s">
        <v>41</v>
      </c>
      <c r="I1091" s="304"/>
      <c r="J1091" s="304"/>
      <c r="K1091" s="140" t="s">
        <v>47</v>
      </c>
      <c r="L1091" s="140"/>
      <c r="M1091" s="140" t="s">
        <v>64</v>
      </c>
      <c r="N1091" s="140" t="s">
        <v>41</v>
      </c>
      <c r="O1091" s="140"/>
      <c r="P1091" s="140" t="s">
        <v>51</v>
      </c>
      <c r="Q1091" s="304" t="s">
        <v>65</v>
      </c>
      <c r="R1091" s="304"/>
      <c r="S1091" s="304"/>
      <c r="T1091" s="140" t="s">
        <v>41</v>
      </c>
      <c r="U1091" s="304"/>
      <c r="V1091" s="304"/>
      <c r="W1091" s="140" t="s">
        <v>47</v>
      </c>
      <c r="X1091" s="140"/>
    </row>
    <row r="1092" spans="1:24" ht="18.75" customHeight="1">
      <c r="A1092" s="140" t="s">
        <v>66</v>
      </c>
      <c r="B1092" s="140"/>
      <c r="C1092" s="140"/>
      <c r="D1092" s="140" t="s">
        <v>60</v>
      </c>
      <c r="E1092" s="304" t="s">
        <v>67</v>
      </c>
      <c r="F1092" s="304"/>
      <c r="G1092" s="304"/>
      <c r="H1092" s="140" t="s">
        <v>41</v>
      </c>
      <c r="I1092" s="304">
        <f>$F$8*C1092/8/$L$1</f>
        <v>0</v>
      </c>
      <c r="J1092" s="304"/>
      <c r="K1092" s="140" t="s">
        <v>47</v>
      </c>
      <c r="L1092" s="140"/>
      <c r="M1092" s="140" t="s">
        <v>66</v>
      </c>
      <c r="N1092" s="140"/>
      <c r="O1092" s="140"/>
      <c r="P1092" s="140" t="s">
        <v>60</v>
      </c>
      <c r="Q1092" s="304" t="s">
        <v>67</v>
      </c>
      <c r="R1092" s="304"/>
      <c r="S1092" s="304"/>
      <c r="T1092" s="140" t="s">
        <v>41</v>
      </c>
      <c r="U1092" s="304">
        <f>$F$8*O1092/8/$L$1</f>
        <v>0</v>
      </c>
      <c r="V1092" s="304"/>
      <c r="W1092" s="140" t="s">
        <v>47</v>
      </c>
      <c r="X1092" s="140"/>
    </row>
    <row r="1093" spans="1:24" ht="18.75" customHeight="1">
      <c r="A1093" s="140" t="s">
        <v>68</v>
      </c>
      <c r="B1093" s="140" t="s">
        <v>41</v>
      </c>
      <c r="C1093" s="140"/>
      <c r="D1093" s="140" t="s">
        <v>60</v>
      </c>
      <c r="E1093" s="304" t="s">
        <v>92</v>
      </c>
      <c r="F1093" s="304"/>
      <c r="G1093" s="304"/>
      <c r="H1093" s="140" t="s">
        <v>41</v>
      </c>
      <c r="I1093" s="304"/>
      <c r="J1093" s="304"/>
      <c r="K1093" s="140" t="s">
        <v>47</v>
      </c>
      <c r="L1093" s="140"/>
      <c r="M1093" s="140" t="s">
        <v>68</v>
      </c>
      <c r="N1093" s="140" t="s">
        <v>41</v>
      </c>
      <c r="O1093" s="140"/>
      <c r="P1093" s="140" t="s">
        <v>60</v>
      </c>
      <c r="Q1093" s="304" t="s">
        <v>92</v>
      </c>
      <c r="R1093" s="304"/>
      <c r="S1093" s="304"/>
      <c r="T1093" s="140" t="s">
        <v>41</v>
      </c>
      <c r="U1093" s="304"/>
      <c r="V1093" s="304"/>
      <c r="W1093" s="140" t="s">
        <v>47</v>
      </c>
      <c r="X1093" s="140"/>
    </row>
    <row r="1094" spans="1:24" ht="18.75" customHeight="1">
      <c r="A1094" s="140" t="s">
        <v>70</v>
      </c>
      <c r="B1094" s="140" t="s">
        <v>41</v>
      </c>
      <c r="C1094" s="140"/>
      <c r="D1094" s="140" t="s">
        <v>71</v>
      </c>
      <c r="E1094" s="140" t="s">
        <v>72</v>
      </c>
      <c r="F1094" s="140"/>
      <c r="G1094" s="140"/>
      <c r="H1094" s="140" t="s">
        <v>41</v>
      </c>
      <c r="I1094" s="304"/>
      <c r="J1094" s="304"/>
      <c r="K1094" s="140" t="s">
        <v>47</v>
      </c>
      <c r="L1094" s="140" t="e">
        <f>+IF(L1085-I1085&lt;0,0,L1085-I1085)+IF(L1089-I1089&lt;0,0,L1089-I1089)</f>
        <v>#DIV/0!</v>
      </c>
      <c r="M1094" s="140" t="s">
        <v>70</v>
      </c>
      <c r="N1094" s="140" t="s">
        <v>41</v>
      </c>
      <c r="O1094" s="140"/>
      <c r="P1094" s="140" t="s">
        <v>71</v>
      </c>
      <c r="Q1094" s="140" t="s">
        <v>72</v>
      </c>
      <c r="R1094" s="140"/>
      <c r="S1094" s="140"/>
      <c r="T1094" s="140" t="s">
        <v>41</v>
      </c>
      <c r="U1094" s="304"/>
      <c r="V1094" s="304"/>
      <c r="W1094" s="140" t="s">
        <v>47</v>
      </c>
      <c r="X1094" s="140" t="e">
        <f>+IF(X1085-U1085&lt;0,0,X1085-U1085)+IF(X1089-U1089&lt;0,0,X1089-U1089)</f>
        <v>#DIV/0!</v>
      </c>
    </row>
    <row r="1095" spans="1:24" ht="18.75" customHeight="1">
      <c r="A1095" s="140" t="s">
        <v>117</v>
      </c>
      <c r="B1095" s="140"/>
      <c r="C1095" s="140"/>
      <c r="D1095" s="140" t="s">
        <v>51</v>
      </c>
      <c r="E1095" s="304" t="s">
        <v>118</v>
      </c>
      <c r="F1095" s="304"/>
      <c r="G1095" s="304"/>
      <c r="H1095" s="140" t="s">
        <v>41</v>
      </c>
      <c r="I1095" s="304"/>
      <c r="J1095" s="304"/>
      <c r="K1095" s="140" t="s">
        <v>47</v>
      </c>
      <c r="L1095" s="140"/>
      <c r="M1095" s="140" t="s">
        <v>117</v>
      </c>
      <c r="N1095" s="140"/>
      <c r="O1095" s="140"/>
      <c r="P1095" s="140" t="s">
        <v>51</v>
      </c>
      <c r="Q1095" s="304" t="s">
        <v>118</v>
      </c>
      <c r="R1095" s="304"/>
      <c r="S1095" s="304"/>
      <c r="T1095" s="140" t="s">
        <v>41</v>
      </c>
      <c r="U1095" s="304"/>
      <c r="V1095" s="304"/>
      <c r="W1095" s="140" t="s">
        <v>47</v>
      </c>
      <c r="X1095" s="140"/>
    </row>
    <row r="1096" spans="1:24" ht="18.75" customHeight="1">
      <c r="A1096" s="304" t="s">
        <v>75</v>
      </c>
      <c r="B1096" s="304"/>
      <c r="C1096" s="140"/>
      <c r="D1096" s="140"/>
      <c r="E1096" s="140"/>
      <c r="F1096" s="140"/>
      <c r="G1096" s="140"/>
      <c r="H1096" s="140" t="s">
        <v>41</v>
      </c>
      <c r="I1096" s="304"/>
      <c r="J1096" s="304"/>
      <c r="K1096" s="140" t="s">
        <v>47</v>
      </c>
      <c r="L1096" s="140"/>
      <c r="M1096" s="304" t="s">
        <v>75</v>
      </c>
      <c r="N1096" s="304"/>
      <c r="O1096" s="140"/>
      <c r="P1096" s="140"/>
      <c r="Q1096" s="140"/>
      <c r="R1096" s="140"/>
      <c r="S1096" s="140"/>
      <c r="T1096" s="140" t="s">
        <v>41</v>
      </c>
      <c r="U1096" s="304"/>
      <c r="V1096" s="304"/>
      <c r="W1096" s="140" t="s">
        <v>47</v>
      </c>
      <c r="X1096" s="140"/>
    </row>
    <row r="1097" spans="1:24" ht="18.75" customHeight="1">
      <c r="A1097" s="140" t="s">
        <v>76</v>
      </c>
      <c r="B1097" s="140" t="s">
        <v>41</v>
      </c>
      <c r="C1097" s="140"/>
      <c r="D1097" s="140"/>
      <c r="E1097" s="140" t="s">
        <v>77</v>
      </c>
      <c r="F1097" s="140"/>
      <c r="G1097" s="140"/>
      <c r="H1097" s="140" t="s">
        <v>41</v>
      </c>
      <c r="I1097" s="304" t="e">
        <f>L1094</f>
        <v>#DIV/0!</v>
      </c>
      <c r="J1097" s="304"/>
      <c r="K1097" s="140" t="s">
        <v>47</v>
      </c>
      <c r="L1097" s="140"/>
      <c r="M1097" s="140" t="s">
        <v>76</v>
      </c>
      <c r="N1097" s="140" t="s">
        <v>41</v>
      </c>
      <c r="O1097" s="140"/>
      <c r="P1097" s="140"/>
      <c r="Q1097" s="140" t="s">
        <v>77</v>
      </c>
      <c r="R1097" s="140"/>
      <c r="S1097" s="140"/>
      <c r="T1097" s="140" t="s">
        <v>41</v>
      </c>
      <c r="U1097" s="304" t="e">
        <f>X1094</f>
        <v>#DIV/0!</v>
      </c>
      <c r="V1097" s="304"/>
      <c r="W1097" s="140" t="s">
        <v>47</v>
      </c>
      <c r="X1097" s="140"/>
    </row>
    <row r="1098" spans="1:24" ht="18.75" customHeight="1">
      <c r="A1098" s="304" t="s">
        <v>78</v>
      </c>
      <c r="B1098" s="304"/>
      <c r="C1098" s="304"/>
      <c r="D1098" s="304"/>
      <c r="E1098" s="304"/>
      <c r="F1098" s="304"/>
      <c r="G1098" s="140" t="s">
        <v>41</v>
      </c>
      <c r="H1098" s="304" t="e">
        <f>I1085+I1086+I1087+I1088+I1089+I1092+I1096+I1097</f>
        <v>#DIV/0!</v>
      </c>
      <c r="I1098" s="304"/>
      <c r="J1098" s="304"/>
      <c r="K1098" s="140" t="s">
        <v>47</v>
      </c>
      <c r="M1098" s="304" t="s">
        <v>78</v>
      </c>
      <c r="N1098" s="304"/>
      <c r="O1098" s="304"/>
      <c r="P1098" s="304"/>
      <c r="Q1098" s="304"/>
      <c r="R1098" s="304"/>
      <c r="S1098" s="140" t="s">
        <v>41</v>
      </c>
      <c r="T1098" s="304" t="e">
        <f>U1085+U1086+U1087+U1088+U1089+U1092+U1096+U1097</f>
        <v>#DIV/0!</v>
      </c>
      <c r="U1098" s="304"/>
      <c r="V1098" s="304"/>
      <c r="W1098" s="140" t="s">
        <v>47</v>
      </c>
    </row>
    <row r="1099" spans="1:24" ht="18.75" customHeight="1">
      <c r="A1099" s="140"/>
      <c r="B1099" s="140"/>
      <c r="C1099" s="140"/>
      <c r="D1099" s="140"/>
      <c r="E1099" s="140"/>
      <c r="F1099" s="140"/>
      <c r="G1099" s="140"/>
      <c r="H1099" s="140"/>
      <c r="I1099" s="140"/>
      <c r="J1099" s="140"/>
      <c r="K1099" s="140"/>
      <c r="M1099" s="140"/>
      <c r="N1099" s="140"/>
      <c r="O1099" s="140"/>
      <c r="P1099" s="140"/>
      <c r="Q1099" s="140"/>
      <c r="R1099" s="140"/>
      <c r="S1099" s="140"/>
      <c r="T1099" s="140"/>
      <c r="U1099" s="140"/>
      <c r="V1099" s="140"/>
      <c r="W1099" s="140"/>
    </row>
    <row r="1100" spans="1:24" ht="18.75" customHeight="1">
      <c r="A1100" s="304" t="s">
        <v>79</v>
      </c>
      <c r="B1100" s="304"/>
      <c r="C1100" s="304"/>
      <c r="D1100" s="304"/>
      <c r="E1100" s="304"/>
      <c r="F1100" s="304"/>
      <c r="G1100" s="140"/>
      <c r="H1100" s="140"/>
      <c r="I1100" s="140"/>
      <c r="J1100" s="140"/>
      <c r="K1100" s="140"/>
      <c r="M1100" s="304" t="s">
        <v>79</v>
      </c>
      <c r="N1100" s="304"/>
      <c r="O1100" s="304"/>
      <c r="P1100" s="304"/>
      <c r="Q1100" s="304"/>
      <c r="R1100" s="304"/>
      <c r="S1100" s="140"/>
      <c r="T1100" s="140"/>
      <c r="U1100" s="140"/>
      <c r="V1100" s="140"/>
      <c r="W1100" s="140"/>
    </row>
    <row r="1101" spans="1:24" ht="18.75" customHeight="1">
      <c r="A1101" s="304" t="s">
        <v>80</v>
      </c>
      <c r="B1101" s="304"/>
      <c r="C1101" s="304"/>
      <c r="D1101" s="304"/>
      <c r="E1101" s="304"/>
      <c r="F1101" s="304"/>
      <c r="G1101" s="140" t="s">
        <v>41</v>
      </c>
      <c r="H1101" s="304">
        <f>IF(($L$1-(C1085+C1086+C1087+C1088))&gt;12,0,F1082*8%)</f>
        <v>0</v>
      </c>
      <c r="I1101" s="304"/>
      <c r="J1101" s="304"/>
      <c r="K1101" s="140" t="s">
        <v>47</v>
      </c>
      <c r="M1101" s="304" t="s">
        <v>80</v>
      </c>
      <c r="N1101" s="304"/>
      <c r="O1101" s="304"/>
      <c r="P1101" s="304"/>
      <c r="Q1101" s="304"/>
      <c r="R1101" s="304"/>
      <c r="S1101" s="140" t="s">
        <v>41</v>
      </c>
      <c r="T1101" s="304">
        <f>IF(($L$1-(O1085+O1086+O1087+O1088))&gt;12,0,R1082*8%)</f>
        <v>0</v>
      </c>
      <c r="U1101" s="304"/>
      <c r="V1101" s="304"/>
      <c r="W1101" s="140" t="s">
        <v>47</v>
      </c>
    </row>
    <row r="1102" spans="1:24" ht="18.75" customHeight="1">
      <c r="A1102" s="304" t="s">
        <v>81</v>
      </c>
      <c r="B1102" s="304"/>
      <c r="C1102" s="304"/>
      <c r="D1102" s="304"/>
      <c r="E1102" s="304"/>
      <c r="F1102" s="304"/>
      <c r="G1102" s="140" t="s">
        <v>41</v>
      </c>
      <c r="H1102" s="304">
        <f>IF(($L$1-(C1085+C1086+C1087+C1088))&gt;12,0,F1082*1.5%)</f>
        <v>0</v>
      </c>
      <c r="I1102" s="304"/>
      <c r="J1102" s="304"/>
      <c r="K1102" s="140" t="s">
        <v>47</v>
      </c>
      <c r="M1102" s="304" t="s">
        <v>81</v>
      </c>
      <c r="N1102" s="304"/>
      <c r="O1102" s="304"/>
      <c r="P1102" s="304"/>
      <c r="Q1102" s="304"/>
      <c r="R1102" s="304"/>
      <c r="S1102" s="140" t="s">
        <v>41</v>
      </c>
      <c r="T1102" s="304">
        <f>IF(($L$1-(O1085+O1086+O1087+O1088))&gt;12,0,R1082*1.5%)</f>
        <v>0</v>
      </c>
      <c r="U1102" s="304"/>
      <c r="V1102" s="304"/>
      <c r="W1102" s="140" t="s">
        <v>47</v>
      </c>
    </row>
    <row r="1103" spans="1:24" ht="18.75" customHeight="1">
      <c r="A1103" s="304" t="s">
        <v>82</v>
      </c>
      <c r="B1103" s="304"/>
      <c r="C1103" s="304"/>
      <c r="D1103" s="304"/>
      <c r="E1103" s="304"/>
      <c r="F1103" s="304"/>
      <c r="G1103" s="140" t="s">
        <v>41</v>
      </c>
      <c r="H1103" s="304">
        <f>IF(($L$1-(C1085+C1086+C1087+C1088))&gt;12,0,F1082*1%)</f>
        <v>0</v>
      </c>
      <c r="I1103" s="304"/>
      <c r="J1103" s="304"/>
      <c r="K1103" s="140" t="s">
        <v>47</v>
      </c>
      <c r="M1103" s="304" t="s">
        <v>82</v>
      </c>
      <c r="N1103" s="304"/>
      <c r="O1103" s="304"/>
      <c r="P1103" s="304"/>
      <c r="Q1103" s="304"/>
      <c r="R1103" s="304"/>
      <c r="S1103" s="140" t="s">
        <v>41</v>
      </c>
      <c r="T1103" s="304">
        <f>IF(($L$1-(O1085+O1086+O1087+O1088))&gt;12,0,R1082*1%)</f>
        <v>0</v>
      </c>
      <c r="U1103" s="304"/>
      <c r="V1103" s="304"/>
      <c r="W1103" s="140" t="s">
        <v>47</v>
      </c>
    </row>
    <row r="1104" spans="1:24" ht="18.75" customHeight="1">
      <c r="A1104" s="304" t="s">
        <v>83</v>
      </c>
      <c r="B1104" s="304"/>
      <c r="C1104" s="304"/>
      <c r="D1104" s="304"/>
      <c r="E1104" s="304"/>
      <c r="F1104" s="304"/>
      <c r="G1104" s="140" t="s">
        <v>41</v>
      </c>
      <c r="H1104" s="304">
        <v>0</v>
      </c>
      <c r="I1104" s="304"/>
      <c r="J1104" s="304"/>
      <c r="K1104" s="140" t="s">
        <v>47</v>
      </c>
      <c r="M1104" s="304" t="s">
        <v>83</v>
      </c>
      <c r="N1104" s="304"/>
      <c r="O1104" s="304"/>
      <c r="P1104" s="304"/>
      <c r="Q1104" s="304"/>
      <c r="R1104" s="304"/>
      <c r="S1104" s="140" t="s">
        <v>41</v>
      </c>
      <c r="T1104" s="304">
        <v>0</v>
      </c>
      <c r="U1104" s="304"/>
      <c r="V1104" s="304"/>
      <c r="W1104" s="140" t="s">
        <v>47</v>
      </c>
    </row>
    <row r="1105" spans="1:24" ht="18.75" customHeight="1">
      <c r="A1105" s="304" t="s">
        <v>84</v>
      </c>
      <c r="B1105" s="304"/>
      <c r="C1105" s="304"/>
      <c r="D1105" s="304"/>
      <c r="E1105" s="304"/>
      <c r="F1105" s="304"/>
      <c r="G1105" s="140" t="s">
        <v>41</v>
      </c>
      <c r="H1105" s="304">
        <f>SUM(H1101:J1104)</f>
        <v>0</v>
      </c>
      <c r="I1105" s="304"/>
      <c r="J1105" s="304"/>
      <c r="K1105" s="140" t="s">
        <v>47</v>
      </c>
      <c r="M1105" s="304" t="s">
        <v>84</v>
      </c>
      <c r="N1105" s="304"/>
      <c r="O1105" s="304"/>
      <c r="P1105" s="304"/>
      <c r="Q1105" s="304"/>
      <c r="R1105" s="304"/>
      <c r="S1105" s="140" t="s">
        <v>41</v>
      </c>
      <c r="T1105" s="304">
        <f>SUM(T1101:V1104)</f>
        <v>0</v>
      </c>
      <c r="U1105" s="304"/>
      <c r="V1105" s="304"/>
      <c r="W1105" s="140" t="s">
        <v>47</v>
      </c>
    </row>
    <row r="1106" spans="1:24" ht="18.75" customHeight="1">
      <c r="A1106" s="304" t="s">
        <v>85</v>
      </c>
      <c r="B1106" s="304"/>
      <c r="C1106" s="304"/>
      <c r="D1106" s="304"/>
      <c r="E1106" s="304"/>
      <c r="F1106" s="304"/>
      <c r="G1106" s="140" t="s">
        <v>41</v>
      </c>
      <c r="H1106" s="304" t="e">
        <f>ROUND(H1098-H1105,-2)</f>
        <v>#DIV/0!</v>
      </c>
      <c r="I1106" s="304"/>
      <c r="J1106" s="304"/>
      <c r="K1106" s="140" t="s">
        <v>47</v>
      </c>
      <c r="M1106" s="304" t="s">
        <v>85</v>
      </c>
      <c r="N1106" s="304"/>
      <c r="O1106" s="304"/>
      <c r="P1106" s="304"/>
      <c r="Q1106" s="304"/>
      <c r="R1106" s="304"/>
      <c r="S1106" s="140" t="s">
        <v>41</v>
      </c>
      <c r="T1106" s="304" t="e">
        <f>ROUND(T1098-T1105,-2)</f>
        <v>#DIV/0!</v>
      </c>
      <c r="U1106" s="304"/>
      <c r="V1106" s="304"/>
      <c r="W1106" s="140" t="s">
        <v>47</v>
      </c>
    </row>
    <row r="1107" spans="1:24" ht="18.75" customHeight="1">
      <c r="A1107" s="140"/>
      <c r="B1107" s="140"/>
      <c r="C1107" s="140"/>
      <c r="D1107" s="140"/>
      <c r="E1107" s="140"/>
      <c r="F1107" s="140"/>
      <c r="G1107" s="140"/>
      <c r="H1107" s="140"/>
      <c r="I1107" s="140"/>
      <c r="J1107" s="140"/>
      <c r="K1107" s="140"/>
      <c r="M1107" s="140"/>
      <c r="N1107" s="140"/>
      <c r="O1107" s="140"/>
      <c r="P1107" s="140"/>
      <c r="Q1107" s="140"/>
      <c r="R1107" s="140"/>
      <c r="S1107" s="140"/>
      <c r="T1107" s="140"/>
      <c r="U1107" s="140"/>
      <c r="V1107" s="140"/>
      <c r="W1107" s="140"/>
    </row>
    <row r="1108" spans="1:24" ht="18.75" customHeight="1">
      <c r="A1108" s="140"/>
      <c r="B1108" s="140"/>
      <c r="C1108" s="140"/>
      <c r="D1108" s="140"/>
      <c r="E1108" s="140"/>
      <c r="F1108" s="140"/>
      <c r="G1108" s="140"/>
      <c r="H1108" s="140"/>
      <c r="I1108" s="304" t="s">
        <v>86</v>
      </c>
      <c r="J1108" s="304"/>
      <c r="K1108" s="304"/>
      <c r="M1108" s="140"/>
      <c r="N1108" s="140"/>
      <c r="O1108" s="140"/>
      <c r="P1108" s="140"/>
      <c r="Q1108" s="140"/>
      <c r="R1108" s="140"/>
      <c r="S1108" s="140"/>
      <c r="T1108" s="140"/>
      <c r="U1108" s="304" t="s">
        <v>86</v>
      </c>
      <c r="V1108" s="304"/>
      <c r="W1108" s="304"/>
    </row>
    <row r="1109" spans="1:24" ht="18.75" customHeight="1">
      <c r="A1109" s="140"/>
      <c r="B1109" s="304"/>
      <c r="C1109" s="304"/>
      <c r="D1109" s="304"/>
      <c r="E1109" s="304"/>
      <c r="F1109" s="140"/>
      <c r="G1109" s="140"/>
      <c r="H1109" s="140"/>
      <c r="I1109" s="140"/>
      <c r="J1109" s="140"/>
      <c r="K1109" s="140"/>
      <c r="M1109" s="140"/>
      <c r="N1109" s="304"/>
      <c r="O1109" s="304"/>
      <c r="P1109" s="304"/>
      <c r="Q1109" s="304"/>
      <c r="R1109" s="140"/>
      <c r="S1109" s="140"/>
      <c r="T1109" s="140"/>
      <c r="U1109" s="140"/>
      <c r="V1109" s="140"/>
      <c r="W1109" s="140"/>
    </row>
    <row r="1110" spans="1:24" ht="18.75" customHeight="1">
      <c r="A1110" s="140"/>
      <c r="B1110" s="140"/>
      <c r="C1110" s="140"/>
      <c r="D1110" s="140"/>
      <c r="E1110" s="140"/>
      <c r="F1110" s="140"/>
      <c r="G1110" s="140"/>
      <c r="H1110" s="140"/>
      <c r="I1110" s="304" t="s">
        <v>87</v>
      </c>
      <c r="J1110" s="304"/>
      <c r="K1110" s="304"/>
      <c r="M1110" s="140"/>
      <c r="N1110" s="140"/>
      <c r="O1110" s="140"/>
      <c r="P1110" s="140"/>
      <c r="Q1110" s="140"/>
      <c r="R1110" s="140"/>
      <c r="S1110" s="140"/>
      <c r="T1110" s="140"/>
      <c r="U1110" s="304" t="s">
        <v>87</v>
      </c>
      <c r="V1110" s="304"/>
      <c r="W1110" s="304"/>
    </row>
    <row r="1112" spans="1:24" ht="18.75" customHeight="1">
      <c r="A1112" s="304" t="s">
        <v>35</v>
      </c>
      <c r="B1112" s="304"/>
      <c r="C1112" s="304"/>
      <c r="D1112" s="304"/>
      <c r="E1112" s="304"/>
      <c r="F1112" s="304"/>
      <c r="G1112" s="304"/>
      <c r="H1112" s="304"/>
      <c r="I1112" s="304"/>
      <c r="J1112" s="304"/>
      <c r="K1112" s="304"/>
      <c r="L1112" s="140">
        <v>24</v>
      </c>
      <c r="M1112" s="304" t="s">
        <v>35</v>
      </c>
      <c r="N1112" s="304"/>
      <c r="O1112" s="304"/>
      <c r="P1112" s="304"/>
      <c r="Q1112" s="304"/>
      <c r="R1112" s="304"/>
      <c r="S1112" s="304"/>
      <c r="T1112" s="304"/>
      <c r="U1112" s="304"/>
      <c r="V1112" s="304"/>
      <c r="W1112" s="304"/>
      <c r="X1112" s="140">
        <v>24</v>
      </c>
    </row>
    <row r="1113" spans="1:24" ht="18.75" customHeight="1">
      <c r="A1113" s="140" t="s">
        <v>163</v>
      </c>
      <c r="B1113" s="140"/>
      <c r="C1113" s="140"/>
      <c r="D1113" s="140"/>
      <c r="E1113" s="140"/>
      <c r="F1113" s="140"/>
      <c r="G1113" s="140"/>
      <c r="H1113" s="140"/>
      <c r="I1113" s="140"/>
      <c r="J1113" s="140"/>
      <c r="K1113" s="140"/>
      <c r="M1113" s="140" t="s">
        <v>164</v>
      </c>
      <c r="N1113" s="140"/>
      <c r="O1113" s="140"/>
      <c r="P1113" s="140"/>
      <c r="Q1113" s="140"/>
      <c r="R1113" s="140"/>
      <c r="S1113" s="140"/>
      <c r="T1113" s="140"/>
      <c r="U1113" s="140"/>
      <c r="V1113" s="140"/>
      <c r="W1113" s="140"/>
    </row>
    <row r="1114" spans="1:24" ht="18.75" customHeight="1">
      <c r="A1114" s="304" t="s">
        <v>39</v>
      </c>
      <c r="B1114" s="304"/>
      <c r="C1114" s="304"/>
      <c r="D1114" s="304"/>
      <c r="E1114" s="304"/>
      <c r="F1114" s="304"/>
      <c r="G1114" s="304"/>
      <c r="H1114" s="304"/>
      <c r="I1114" s="304"/>
      <c r="J1114" s="304"/>
      <c r="K1114" s="304"/>
      <c r="M1114" s="304" t="s">
        <v>39</v>
      </c>
      <c r="N1114" s="304"/>
      <c r="O1114" s="304"/>
      <c r="P1114" s="304"/>
      <c r="Q1114" s="304"/>
      <c r="R1114" s="304"/>
      <c r="S1114" s="304"/>
      <c r="T1114" s="304"/>
      <c r="U1114" s="304"/>
      <c r="V1114" s="304"/>
      <c r="W1114" s="304"/>
    </row>
    <row r="1115" spans="1:24" ht="18.75" customHeight="1">
      <c r="A1115" s="304" t="s">
        <v>40</v>
      </c>
      <c r="B1115" s="304"/>
      <c r="C1115" s="304"/>
      <c r="D1115" s="304"/>
      <c r="E1115" s="140" t="s">
        <v>41</v>
      </c>
      <c r="F1115" s="304"/>
      <c r="G1115" s="304"/>
      <c r="H1115" s="304"/>
      <c r="I1115" s="304"/>
      <c r="J1115" s="304"/>
      <c r="K1115" s="304"/>
      <c r="M1115" s="304" t="s">
        <v>40</v>
      </c>
      <c r="N1115" s="304"/>
      <c r="O1115" s="304"/>
      <c r="P1115" s="304"/>
      <c r="Q1115" s="140" t="s">
        <v>41</v>
      </c>
      <c r="R1115" s="304"/>
      <c r="S1115" s="304"/>
      <c r="T1115" s="304"/>
      <c r="U1115" s="304"/>
      <c r="V1115" s="304"/>
      <c r="W1115" s="304"/>
    </row>
    <row r="1116" spans="1:24" ht="18.75" customHeight="1">
      <c r="A1116" s="304" t="s">
        <v>43</v>
      </c>
      <c r="B1116" s="304"/>
      <c r="C1116" s="304"/>
      <c r="D1116" s="304"/>
      <c r="E1116" s="140" t="s">
        <v>41</v>
      </c>
      <c r="F1116" s="304"/>
      <c r="G1116" s="304"/>
      <c r="H1116" s="304"/>
      <c r="I1116" s="304"/>
      <c r="J1116" s="304"/>
      <c r="K1116" s="304"/>
      <c r="M1116" s="304" t="s">
        <v>43</v>
      </c>
      <c r="N1116" s="304"/>
      <c r="O1116" s="304"/>
      <c r="P1116" s="304"/>
      <c r="Q1116" s="140" t="s">
        <v>41</v>
      </c>
      <c r="R1116" s="304"/>
      <c r="S1116" s="304"/>
      <c r="T1116" s="304"/>
      <c r="U1116" s="304"/>
      <c r="V1116" s="304"/>
      <c r="W1116" s="304"/>
    </row>
    <row r="1117" spans="1:24" ht="18.75" customHeight="1">
      <c r="A1117" s="304" t="s">
        <v>44</v>
      </c>
      <c r="B1117" s="304"/>
      <c r="C1117" s="304"/>
      <c r="D1117" s="304"/>
      <c r="E1117" s="140" t="s">
        <v>41</v>
      </c>
      <c r="F1117" s="304" t="s">
        <v>116</v>
      </c>
      <c r="G1117" s="304"/>
      <c r="H1117" s="304"/>
      <c r="I1117" s="304"/>
      <c r="J1117" s="304"/>
      <c r="K1117" s="304"/>
      <c r="M1117" s="304" t="s">
        <v>44</v>
      </c>
      <c r="N1117" s="304"/>
      <c r="O1117" s="304"/>
      <c r="P1117" s="304"/>
      <c r="Q1117" s="140" t="s">
        <v>41</v>
      </c>
      <c r="R1117" s="304" t="s">
        <v>116</v>
      </c>
      <c r="S1117" s="304"/>
      <c r="T1117" s="304"/>
      <c r="U1117" s="304"/>
      <c r="V1117" s="304"/>
      <c r="W1117" s="304"/>
    </row>
    <row r="1118" spans="1:24" ht="18.75" customHeight="1">
      <c r="A1118" s="304" t="s">
        <v>45</v>
      </c>
      <c r="B1118" s="304"/>
      <c r="C1118" s="304"/>
      <c r="D1118" s="304"/>
      <c r="E1118" s="304"/>
      <c r="F1118" s="304"/>
      <c r="G1118" s="304"/>
      <c r="H1118" s="304"/>
      <c r="I1118" s="304"/>
      <c r="J1118" s="304"/>
      <c r="K1118" s="304"/>
      <c r="M1118" s="304" t="s">
        <v>45</v>
      </c>
      <c r="N1118" s="304"/>
      <c r="O1118" s="304"/>
      <c r="P1118" s="304"/>
      <c r="Q1118" s="304"/>
      <c r="R1118" s="304"/>
      <c r="S1118" s="304"/>
      <c r="T1118" s="304"/>
      <c r="U1118" s="304"/>
      <c r="V1118" s="304"/>
      <c r="W1118" s="304"/>
    </row>
    <row r="1119" spans="1:24" ht="18.75" customHeight="1">
      <c r="A1119" s="304" t="s">
        <v>46</v>
      </c>
      <c r="B1119" s="304"/>
      <c r="C1119" s="304"/>
      <c r="D1119" s="304"/>
      <c r="E1119" s="140" t="s">
        <v>41</v>
      </c>
      <c r="F1119" s="304">
        <v>2915400</v>
      </c>
      <c r="G1119" s="304"/>
      <c r="H1119" s="304"/>
      <c r="I1119" s="304"/>
      <c r="J1119" s="140" t="s">
        <v>47</v>
      </c>
      <c r="K1119" s="140"/>
      <c r="M1119" s="304" t="s">
        <v>46</v>
      </c>
      <c r="N1119" s="304"/>
      <c r="O1119" s="304"/>
      <c r="P1119" s="304"/>
      <c r="Q1119" s="140" t="s">
        <v>41</v>
      </c>
      <c r="R1119" s="304">
        <v>2915400</v>
      </c>
      <c r="S1119" s="304"/>
      <c r="T1119" s="304"/>
      <c r="U1119" s="304"/>
      <c r="V1119" s="140" t="s">
        <v>47</v>
      </c>
      <c r="W1119" s="140"/>
    </row>
    <row r="1120" spans="1:24" ht="18.75" customHeight="1">
      <c r="A1120" s="140" t="s">
        <v>48</v>
      </c>
      <c r="B1120" s="140"/>
      <c r="C1120" s="140"/>
      <c r="D1120" s="140"/>
      <c r="E1120" s="140"/>
      <c r="F1120" s="140"/>
      <c r="G1120" s="140"/>
      <c r="H1120" s="140"/>
      <c r="I1120" s="140"/>
      <c r="J1120" s="140"/>
      <c r="K1120" s="140"/>
      <c r="M1120" s="140" t="s">
        <v>48</v>
      </c>
      <c r="N1120" s="140"/>
      <c r="O1120" s="140"/>
      <c r="P1120" s="140"/>
      <c r="Q1120" s="140"/>
      <c r="R1120" s="140"/>
      <c r="S1120" s="140"/>
      <c r="T1120" s="140"/>
      <c r="U1120" s="140"/>
      <c r="V1120" s="140"/>
      <c r="W1120" s="140"/>
    </row>
    <row r="1121" spans="1:24" ht="18.75" customHeight="1">
      <c r="A1121" s="140" t="s">
        <v>49</v>
      </c>
      <c r="B1121" s="140"/>
      <c r="C1121" s="140"/>
      <c r="D1121" s="140"/>
      <c r="E1121" s="140"/>
      <c r="F1121" s="140"/>
      <c r="G1121" s="140"/>
      <c r="H1121" s="140"/>
      <c r="I1121" s="140" t="e">
        <f>I1122/C1122/8</f>
        <v>#DIV/0!</v>
      </c>
      <c r="J1121" s="140"/>
      <c r="K1121" s="140"/>
      <c r="M1121" s="140" t="s">
        <v>49</v>
      </c>
      <c r="N1121" s="140"/>
      <c r="O1121" s="140"/>
      <c r="P1121" s="140"/>
      <c r="Q1121" s="140"/>
      <c r="R1121" s="140"/>
      <c r="S1121" s="140"/>
      <c r="T1121" s="140"/>
      <c r="U1121" s="140" t="e">
        <f>U1122/O1122/8</f>
        <v>#DIV/0!</v>
      </c>
      <c r="V1121" s="140"/>
      <c r="W1121" s="140"/>
    </row>
    <row r="1122" spans="1:24" ht="18.75" customHeight="1">
      <c r="A1122" s="140" t="s">
        <v>50</v>
      </c>
      <c r="B1122" s="140" t="s">
        <v>41</v>
      </c>
      <c r="C1122" s="140"/>
      <c r="D1122" s="140" t="s">
        <v>51</v>
      </c>
      <c r="E1122" s="304" t="s">
        <v>52</v>
      </c>
      <c r="F1122" s="304"/>
      <c r="G1122" s="304"/>
      <c r="H1122" s="140" t="s">
        <v>41</v>
      </c>
      <c r="I1122" s="304" t="e">
        <f>I1120*680/((C1122-C1129)*8+C1129*7+C1126)*((C1122-C1129)*8+C1129*7)</f>
        <v>#DIV/0!</v>
      </c>
      <c r="J1122" s="304"/>
      <c r="K1122" s="140" t="s">
        <v>47</v>
      </c>
      <c r="L1122" s="140">
        <f>F1119/L1112*C1122</f>
        <v>0</v>
      </c>
      <c r="M1122" s="140" t="s">
        <v>50</v>
      </c>
      <c r="N1122" s="140" t="s">
        <v>41</v>
      </c>
      <c r="O1122" s="140"/>
      <c r="P1122" s="140" t="s">
        <v>51</v>
      </c>
      <c r="Q1122" s="304" t="s">
        <v>52</v>
      </c>
      <c r="R1122" s="304"/>
      <c r="S1122" s="304"/>
      <c r="T1122" s="140" t="s">
        <v>41</v>
      </c>
      <c r="U1122" s="304" t="e">
        <f>U1120*680/((O1122-O1129)*8+O1129*7+O1126)*((O1122-O1129)*8+O1129*7)</f>
        <v>#DIV/0!</v>
      </c>
      <c r="V1122" s="304"/>
      <c r="W1122" s="140" t="s">
        <v>47</v>
      </c>
      <c r="X1122" s="140">
        <f>R1119/X1112*O1122</f>
        <v>0</v>
      </c>
    </row>
    <row r="1123" spans="1:24" ht="18.75" customHeight="1">
      <c r="A1123" s="140" t="s">
        <v>53</v>
      </c>
      <c r="B1123" s="140" t="s">
        <v>41</v>
      </c>
      <c r="C1123" s="140"/>
      <c r="D1123" s="140" t="s">
        <v>51</v>
      </c>
      <c r="E1123" s="304" t="s">
        <v>54</v>
      </c>
      <c r="F1123" s="304"/>
      <c r="G1123" s="304"/>
      <c r="H1123" s="140" t="s">
        <v>41</v>
      </c>
      <c r="I1123" s="304">
        <f>$F$8/$L$1*C1123</f>
        <v>0</v>
      </c>
      <c r="J1123" s="304"/>
      <c r="K1123" s="140" t="s">
        <v>47</v>
      </c>
      <c r="L1123" s="140"/>
      <c r="M1123" s="140" t="s">
        <v>53</v>
      </c>
      <c r="N1123" s="140" t="s">
        <v>41</v>
      </c>
      <c r="O1123" s="140"/>
      <c r="P1123" s="140" t="s">
        <v>51</v>
      </c>
      <c r="Q1123" s="304" t="s">
        <v>54</v>
      </c>
      <c r="R1123" s="304"/>
      <c r="S1123" s="304"/>
      <c r="T1123" s="140" t="s">
        <v>41</v>
      </c>
      <c r="U1123" s="304">
        <f>$F$8/$L$1*O1123</f>
        <v>0</v>
      </c>
      <c r="V1123" s="304"/>
      <c r="W1123" s="140" t="s">
        <v>47</v>
      </c>
      <c r="X1123" s="140"/>
    </row>
    <row r="1124" spans="1:24" ht="18.75" customHeight="1">
      <c r="A1124" s="140" t="s">
        <v>55</v>
      </c>
      <c r="B1124" s="140" t="s">
        <v>41</v>
      </c>
      <c r="C1124" s="140"/>
      <c r="D1124" s="140" t="s">
        <v>51</v>
      </c>
      <c r="E1124" s="304" t="s">
        <v>56</v>
      </c>
      <c r="F1124" s="304"/>
      <c r="G1124" s="304"/>
      <c r="H1124" s="140" t="s">
        <v>41</v>
      </c>
      <c r="I1124" s="304">
        <f>$F$8/$L$1*C1124</f>
        <v>0</v>
      </c>
      <c r="J1124" s="304"/>
      <c r="K1124" s="140" t="s">
        <v>47</v>
      </c>
      <c r="L1124" s="140"/>
      <c r="M1124" s="140" t="s">
        <v>55</v>
      </c>
      <c r="N1124" s="140" t="s">
        <v>41</v>
      </c>
      <c r="O1124" s="140"/>
      <c r="P1124" s="140" t="s">
        <v>51</v>
      </c>
      <c r="Q1124" s="304" t="s">
        <v>56</v>
      </c>
      <c r="R1124" s="304"/>
      <c r="S1124" s="304"/>
      <c r="T1124" s="140" t="s">
        <v>41</v>
      </c>
      <c r="U1124" s="304">
        <f>$F$8/$L$1*O1124</f>
        <v>0</v>
      </c>
      <c r="V1124" s="304"/>
      <c r="W1124" s="140" t="s">
        <v>47</v>
      </c>
      <c r="X1124" s="140"/>
    </row>
    <row r="1125" spans="1:24" ht="18.75" customHeight="1">
      <c r="A1125" s="140" t="s">
        <v>57</v>
      </c>
      <c r="B1125" s="140" t="s">
        <v>41</v>
      </c>
      <c r="C1125" s="140"/>
      <c r="D1125" s="140" t="s">
        <v>51</v>
      </c>
      <c r="E1125" s="304" t="s">
        <v>58</v>
      </c>
      <c r="F1125" s="304"/>
      <c r="G1125" s="304"/>
      <c r="H1125" s="140" t="s">
        <v>41</v>
      </c>
      <c r="I1125" s="304">
        <f>$F$8/$L$1*C1125</f>
        <v>0</v>
      </c>
      <c r="J1125" s="304"/>
      <c r="K1125" s="140" t="s">
        <v>47</v>
      </c>
      <c r="L1125" s="140"/>
      <c r="M1125" s="140" t="s">
        <v>57</v>
      </c>
      <c r="N1125" s="140" t="s">
        <v>41</v>
      </c>
      <c r="O1125" s="140"/>
      <c r="P1125" s="140" t="s">
        <v>51</v>
      </c>
      <c r="Q1125" s="304" t="s">
        <v>58</v>
      </c>
      <c r="R1125" s="304"/>
      <c r="S1125" s="304"/>
      <c r="T1125" s="140" t="s">
        <v>41</v>
      </c>
      <c r="U1125" s="304">
        <f>$F$8/$L$1*O1125</f>
        <v>0</v>
      </c>
      <c r="V1125" s="304"/>
      <c r="W1125" s="140" t="s">
        <v>47</v>
      </c>
      <c r="X1125" s="140"/>
    </row>
    <row r="1126" spans="1:24" ht="18.75" customHeight="1">
      <c r="A1126" s="140" t="s">
        <v>59</v>
      </c>
      <c r="B1126" s="140" t="s">
        <v>41</v>
      </c>
      <c r="C1126" s="140"/>
      <c r="D1126" s="140" t="s">
        <v>60</v>
      </c>
      <c r="E1126" s="304" t="s">
        <v>61</v>
      </c>
      <c r="F1126" s="304"/>
      <c r="G1126" s="304"/>
      <c r="H1126" s="140" t="s">
        <v>41</v>
      </c>
      <c r="I1126" s="304" t="e">
        <f>I1122/C1122/8*C1126</f>
        <v>#DIV/0!</v>
      </c>
      <c r="J1126" s="304"/>
      <c r="K1126" s="140" t="s">
        <v>47</v>
      </c>
      <c r="L1126" s="140">
        <f>F1119*C1126/L1112/8*1.5</f>
        <v>0</v>
      </c>
      <c r="M1126" s="140" t="s">
        <v>59</v>
      </c>
      <c r="N1126" s="140" t="s">
        <v>41</v>
      </c>
      <c r="O1126" s="140"/>
      <c r="P1126" s="140" t="s">
        <v>60</v>
      </c>
      <c r="Q1126" s="304" t="s">
        <v>61</v>
      </c>
      <c r="R1126" s="304"/>
      <c r="S1126" s="304"/>
      <c r="T1126" s="140" t="s">
        <v>41</v>
      </c>
      <c r="U1126" s="304" t="e">
        <f>U1122/O1122/8*O1126</f>
        <v>#DIV/0!</v>
      </c>
      <c r="V1126" s="304"/>
      <c r="W1126" s="140" t="s">
        <v>47</v>
      </c>
      <c r="X1126" s="140">
        <f>R1119*O1126/X1112/8*1.5</f>
        <v>0</v>
      </c>
    </row>
    <row r="1127" spans="1:24" ht="18.75" customHeight="1">
      <c r="A1127" s="304" t="s">
        <v>62</v>
      </c>
      <c r="B1127" s="304"/>
      <c r="C1127" s="140"/>
      <c r="D1127" s="140" t="s">
        <v>51</v>
      </c>
      <c r="E1127" s="304" t="s">
        <v>63</v>
      </c>
      <c r="F1127" s="304"/>
      <c r="G1127" s="304"/>
      <c r="H1127" s="140" t="s">
        <v>41</v>
      </c>
      <c r="I1127" s="304"/>
      <c r="J1127" s="304"/>
      <c r="K1127" s="140" t="s">
        <v>47</v>
      </c>
      <c r="L1127" s="140"/>
      <c r="M1127" s="304" t="s">
        <v>62</v>
      </c>
      <c r="N1127" s="304"/>
      <c r="O1127" s="140"/>
      <c r="P1127" s="140" t="s">
        <v>51</v>
      </c>
      <c r="Q1127" s="304" t="s">
        <v>63</v>
      </c>
      <c r="R1127" s="304"/>
      <c r="S1127" s="304"/>
      <c r="T1127" s="140" t="s">
        <v>41</v>
      </c>
      <c r="U1127" s="304"/>
      <c r="V1127" s="304"/>
      <c r="W1127" s="140" t="s">
        <v>47</v>
      </c>
      <c r="X1127" s="140"/>
    </row>
    <row r="1128" spans="1:24" ht="18.75" customHeight="1">
      <c r="A1128" s="140" t="s">
        <v>64</v>
      </c>
      <c r="B1128" s="140" t="s">
        <v>41</v>
      </c>
      <c r="C1128" s="140"/>
      <c r="D1128" s="140" t="s">
        <v>51</v>
      </c>
      <c r="E1128" s="304" t="s">
        <v>65</v>
      </c>
      <c r="F1128" s="304"/>
      <c r="G1128" s="304"/>
      <c r="H1128" s="140" t="s">
        <v>41</v>
      </c>
      <c r="I1128" s="304"/>
      <c r="J1128" s="304"/>
      <c r="K1128" s="140" t="s">
        <v>47</v>
      </c>
      <c r="L1128" s="140"/>
      <c r="M1128" s="140" t="s">
        <v>64</v>
      </c>
      <c r="N1128" s="140" t="s">
        <v>41</v>
      </c>
      <c r="O1128" s="140"/>
      <c r="P1128" s="140" t="s">
        <v>51</v>
      </c>
      <c r="Q1128" s="304" t="s">
        <v>65</v>
      </c>
      <c r="R1128" s="304"/>
      <c r="S1128" s="304"/>
      <c r="T1128" s="140" t="s">
        <v>41</v>
      </c>
      <c r="U1128" s="304"/>
      <c r="V1128" s="304"/>
      <c r="W1128" s="140" t="s">
        <v>47</v>
      </c>
      <c r="X1128" s="140"/>
    </row>
    <row r="1129" spans="1:24" ht="18.75" customHeight="1">
      <c r="A1129" s="140" t="s">
        <v>66</v>
      </c>
      <c r="B1129" s="140"/>
      <c r="C1129" s="140"/>
      <c r="D1129" s="140" t="s">
        <v>60</v>
      </c>
      <c r="E1129" s="304" t="s">
        <v>67</v>
      </c>
      <c r="F1129" s="304"/>
      <c r="G1129" s="304"/>
      <c r="H1129" s="140" t="s">
        <v>41</v>
      </c>
      <c r="I1129" s="304">
        <f>$F$8*C1129/8/$L$1</f>
        <v>0</v>
      </c>
      <c r="J1129" s="304"/>
      <c r="K1129" s="140" t="s">
        <v>47</v>
      </c>
      <c r="L1129" s="140"/>
      <c r="M1129" s="140" t="s">
        <v>66</v>
      </c>
      <c r="N1129" s="140"/>
      <c r="O1129" s="140"/>
      <c r="P1129" s="140" t="s">
        <v>60</v>
      </c>
      <c r="Q1129" s="304" t="s">
        <v>67</v>
      </c>
      <c r="R1129" s="304"/>
      <c r="S1129" s="304"/>
      <c r="T1129" s="140" t="s">
        <v>41</v>
      </c>
      <c r="U1129" s="304">
        <f>$F$8*O1129/8/$L$1</f>
        <v>0</v>
      </c>
      <c r="V1129" s="304"/>
      <c r="W1129" s="140" t="s">
        <v>47</v>
      </c>
      <c r="X1129" s="140"/>
    </row>
    <row r="1130" spans="1:24" ht="18.75" customHeight="1">
      <c r="A1130" s="140" t="s">
        <v>68</v>
      </c>
      <c r="B1130" s="140" t="s">
        <v>41</v>
      </c>
      <c r="C1130" s="140"/>
      <c r="D1130" s="140" t="s">
        <v>60</v>
      </c>
      <c r="E1130" s="304" t="s">
        <v>92</v>
      </c>
      <c r="F1130" s="304"/>
      <c r="G1130" s="304"/>
      <c r="H1130" s="140" t="s">
        <v>41</v>
      </c>
      <c r="I1130" s="304"/>
      <c r="J1130" s="304"/>
      <c r="K1130" s="140" t="s">
        <v>47</v>
      </c>
      <c r="L1130" s="140"/>
      <c r="M1130" s="140" t="s">
        <v>68</v>
      </c>
      <c r="N1130" s="140" t="s">
        <v>41</v>
      </c>
      <c r="O1130" s="140"/>
      <c r="P1130" s="140" t="s">
        <v>60</v>
      </c>
      <c r="Q1130" s="304" t="s">
        <v>92</v>
      </c>
      <c r="R1130" s="304"/>
      <c r="S1130" s="304"/>
      <c r="T1130" s="140" t="s">
        <v>41</v>
      </c>
      <c r="U1130" s="304"/>
      <c r="V1130" s="304"/>
      <c r="W1130" s="140" t="s">
        <v>47</v>
      </c>
      <c r="X1130" s="140"/>
    </row>
    <row r="1131" spans="1:24" ht="18.75" customHeight="1">
      <c r="A1131" s="140" t="s">
        <v>70</v>
      </c>
      <c r="B1131" s="140" t="s">
        <v>41</v>
      </c>
      <c r="C1131" s="140"/>
      <c r="D1131" s="140" t="s">
        <v>71</v>
      </c>
      <c r="E1131" s="140" t="s">
        <v>72</v>
      </c>
      <c r="F1131" s="140"/>
      <c r="G1131" s="140"/>
      <c r="H1131" s="140" t="s">
        <v>41</v>
      </c>
      <c r="I1131" s="304"/>
      <c r="J1131" s="304"/>
      <c r="K1131" s="140" t="s">
        <v>47</v>
      </c>
      <c r="L1131" s="140" t="e">
        <f>+IF(L1122-I1122&lt;0,0,L1122-I1122)+IF(L1126-I1126&lt;0,0,L1126-I1126)</f>
        <v>#DIV/0!</v>
      </c>
      <c r="M1131" s="140" t="s">
        <v>70</v>
      </c>
      <c r="N1131" s="140" t="s">
        <v>41</v>
      </c>
      <c r="O1131" s="140"/>
      <c r="P1131" s="140" t="s">
        <v>71</v>
      </c>
      <c r="Q1131" s="140" t="s">
        <v>72</v>
      </c>
      <c r="R1131" s="140"/>
      <c r="S1131" s="140"/>
      <c r="T1131" s="140" t="s">
        <v>41</v>
      </c>
      <c r="U1131" s="304"/>
      <c r="V1131" s="304"/>
      <c r="W1131" s="140" t="s">
        <v>47</v>
      </c>
      <c r="X1131" s="140" t="e">
        <f>+IF(X1122-U1122&lt;0,0,X1122-U1122)+IF(X1126-U1126&lt;0,0,X1126-U1126)</f>
        <v>#DIV/0!</v>
      </c>
    </row>
    <row r="1132" spans="1:24" ht="18.75" customHeight="1">
      <c r="A1132" s="140" t="s">
        <v>117</v>
      </c>
      <c r="B1132" s="140"/>
      <c r="C1132" s="140"/>
      <c r="D1132" s="140" t="s">
        <v>51</v>
      </c>
      <c r="E1132" s="304" t="s">
        <v>118</v>
      </c>
      <c r="F1132" s="304"/>
      <c r="G1132" s="304"/>
      <c r="H1132" s="140" t="s">
        <v>41</v>
      </c>
      <c r="I1132" s="304"/>
      <c r="J1132" s="304"/>
      <c r="K1132" s="140" t="s">
        <v>47</v>
      </c>
      <c r="L1132" s="140"/>
      <c r="M1132" s="140" t="s">
        <v>117</v>
      </c>
      <c r="N1132" s="140"/>
      <c r="O1132" s="140"/>
      <c r="P1132" s="140" t="s">
        <v>51</v>
      </c>
      <c r="Q1132" s="304" t="s">
        <v>118</v>
      </c>
      <c r="R1132" s="304"/>
      <c r="S1132" s="304"/>
      <c r="T1132" s="140" t="s">
        <v>41</v>
      </c>
      <c r="U1132" s="304"/>
      <c r="V1132" s="304"/>
      <c r="W1132" s="140" t="s">
        <v>47</v>
      </c>
      <c r="X1132" s="140"/>
    </row>
    <row r="1133" spans="1:24" ht="18.75" customHeight="1">
      <c r="A1133" s="304" t="s">
        <v>75</v>
      </c>
      <c r="B1133" s="304"/>
      <c r="C1133" s="140"/>
      <c r="D1133" s="140"/>
      <c r="E1133" s="140"/>
      <c r="F1133" s="140"/>
      <c r="G1133" s="140"/>
      <c r="H1133" s="140" t="s">
        <v>41</v>
      </c>
      <c r="I1133" s="304"/>
      <c r="J1133" s="304"/>
      <c r="K1133" s="140" t="s">
        <v>47</v>
      </c>
      <c r="L1133" s="140"/>
      <c r="M1133" s="304" t="s">
        <v>75</v>
      </c>
      <c r="N1133" s="304"/>
      <c r="O1133" s="140"/>
      <c r="P1133" s="140"/>
      <c r="Q1133" s="140"/>
      <c r="R1133" s="140"/>
      <c r="S1133" s="140"/>
      <c r="T1133" s="140" t="s">
        <v>41</v>
      </c>
      <c r="U1133" s="304"/>
      <c r="V1133" s="304"/>
      <c r="W1133" s="140" t="s">
        <v>47</v>
      </c>
      <c r="X1133" s="140"/>
    </row>
    <row r="1134" spans="1:24" ht="18.75" customHeight="1">
      <c r="A1134" s="140" t="s">
        <v>76</v>
      </c>
      <c r="B1134" s="140" t="s">
        <v>41</v>
      </c>
      <c r="C1134" s="140"/>
      <c r="D1134" s="140"/>
      <c r="E1134" s="140" t="s">
        <v>77</v>
      </c>
      <c r="F1134" s="140"/>
      <c r="G1134" s="140"/>
      <c r="H1134" s="140" t="s">
        <v>41</v>
      </c>
      <c r="I1134" s="304" t="e">
        <f>L1131</f>
        <v>#DIV/0!</v>
      </c>
      <c r="J1134" s="304"/>
      <c r="K1134" s="140" t="s">
        <v>47</v>
      </c>
      <c r="L1134" s="140"/>
      <c r="M1134" s="140" t="s">
        <v>76</v>
      </c>
      <c r="N1134" s="140" t="s">
        <v>41</v>
      </c>
      <c r="O1134" s="140"/>
      <c r="P1134" s="140"/>
      <c r="Q1134" s="140" t="s">
        <v>77</v>
      </c>
      <c r="R1134" s="140"/>
      <c r="S1134" s="140"/>
      <c r="T1134" s="140" t="s">
        <v>41</v>
      </c>
      <c r="U1134" s="304" t="e">
        <f>X1131</f>
        <v>#DIV/0!</v>
      </c>
      <c r="V1134" s="304"/>
      <c r="W1134" s="140" t="s">
        <v>47</v>
      </c>
      <c r="X1134" s="140"/>
    </row>
    <row r="1135" spans="1:24" ht="18.75" customHeight="1">
      <c r="A1135" s="304" t="s">
        <v>78</v>
      </c>
      <c r="B1135" s="304"/>
      <c r="C1135" s="304"/>
      <c r="D1135" s="304"/>
      <c r="E1135" s="304"/>
      <c r="F1135" s="304"/>
      <c r="G1135" s="140" t="s">
        <v>41</v>
      </c>
      <c r="H1135" s="304" t="e">
        <f>I1122+I1123+I1124+I1125+I1126+I1129+I1133+I1134</f>
        <v>#DIV/0!</v>
      </c>
      <c r="I1135" s="304"/>
      <c r="J1135" s="304"/>
      <c r="K1135" s="140" t="s">
        <v>47</v>
      </c>
      <c r="M1135" s="304" t="s">
        <v>78</v>
      </c>
      <c r="N1135" s="304"/>
      <c r="O1135" s="304"/>
      <c r="P1135" s="304"/>
      <c r="Q1135" s="304"/>
      <c r="R1135" s="304"/>
      <c r="S1135" s="140" t="s">
        <v>41</v>
      </c>
      <c r="T1135" s="304" t="e">
        <f>U1122+U1123+U1124+U1125+U1126+U1129+U1133+U1134</f>
        <v>#DIV/0!</v>
      </c>
      <c r="U1135" s="304"/>
      <c r="V1135" s="304"/>
      <c r="W1135" s="140" t="s">
        <v>47</v>
      </c>
    </row>
    <row r="1136" spans="1:24" ht="18.75" customHeight="1">
      <c r="A1136" s="140"/>
      <c r="B1136" s="140"/>
      <c r="C1136" s="140"/>
      <c r="D1136" s="140"/>
      <c r="E1136" s="140"/>
      <c r="F1136" s="140"/>
      <c r="G1136" s="140"/>
      <c r="H1136" s="140"/>
      <c r="I1136" s="140"/>
      <c r="J1136" s="140"/>
      <c r="K1136" s="140"/>
      <c r="M1136" s="140"/>
      <c r="N1136" s="140"/>
      <c r="O1136" s="140"/>
      <c r="P1136" s="140"/>
      <c r="Q1136" s="140"/>
      <c r="R1136" s="140"/>
      <c r="S1136" s="140"/>
      <c r="T1136" s="140"/>
      <c r="U1136" s="140"/>
      <c r="V1136" s="140"/>
      <c r="W1136" s="140"/>
    </row>
    <row r="1137" spans="1:24" ht="18.75" customHeight="1">
      <c r="A1137" s="304" t="s">
        <v>79</v>
      </c>
      <c r="B1137" s="304"/>
      <c r="C1137" s="304"/>
      <c r="D1137" s="304"/>
      <c r="E1137" s="304"/>
      <c r="F1137" s="304"/>
      <c r="G1137" s="140"/>
      <c r="H1137" s="140"/>
      <c r="I1137" s="140"/>
      <c r="J1137" s="140"/>
      <c r="K1137" s="140"/>
      <c r="M1137" s="304" t="s">
        <v>79</v>
      </c>
      <c r="N1137" s="304"/>
      <c r="O1137" s="304"/>
      <c r="P1137" s="304"/>
      <c r="Q1137" s="304"/>
      <c r="R1137" s="304"/>
      <c r="S1137" s="140"/>
      <c r="T1137" s="140"/>
      <c r="U1137" s="140"/>
      <c r="V1137" s="140"/>
      <c r="W1137" s="140"/>
    </row>
    <row r="1138" spans="1:24" ht="18.75" customHeight="1">
      <c r="A1138" s="304" t="s">
        <v>80</v>
      </c>
      <c r="B1138" s="304"/>
      <c r="C1138" s="304"/>
      <c r="D1138" s="304"/>
      <c r="E1138" s="304"/>
      <c r="F1138" s="304"/>
      <c r="G1138" s="140" t="s">
        <v>41</v>
      </c>
      <c r="H1138" s="304">
        <f>IF(($L$1-(C1122+C1123+C1124+C1125))&gt;12,0,F1119*8%)</f>
        <v>0</v>
      </c>
      <c r="I1138" s="304"/>
      <c r="J1138" s="304"/>
      <c r="K1138" s="140" t="s">
        <v>47</v>
      </c>
      <c r="M1138" s="304" t="s">
        <v>80</v>
      </c>
      <c r="N1138" s="304"/>
      <c r="O1138" s="304"/>
      <c r="P1138" s="304"/>
      <c r="Q1138" s="304"/>
      <c r="R1138" s="304"/>
      <c r="S1138" s="140" t="s">
        <v>41</v>
      </c>
      <c r="T1138" s="304">
        <f>IF(($L$1-(O1122+O1123+O1124+O1125))&gt;12,0,R1119*8%)</f>
        <v>0</v>
      </c>
      <c r="U1138" s="304"/>
      <c r="V1138" s="304"/>
      <c r="W1138" s="140" t="s">
        <v>47</v>
      </c>
    </row>
    <row r="1139" spans="1:24" ht="18.75" customHeight="1">
      <c r="A1139" s="304" t="s">
        <v>81</v>
      </c>
      <c r="B1139" s="304"/>
      <c r="C1139" s="304"/>
      <c r="D1139" s="304"/>
      <c r="E1139" s="304"/>
      <c r="F1139" s="304"/>
      <c r="G1139" s="140" t="s">
        <v>41</v>
      </c>
      <c r="H1139" s="304">
        <f>IF(($L$1-(C1122+C1123+C1124+C1125))&gt;12,0,F1119*1.5%)</f>
        <v>0</v>
      </c>
      <c r="I1139" s="304"/>
      <c r="J1139" s="304"/>
      <c r="K1139" s="140" t="s">
        <v>47</v>
      </c>
      <c r="M1139" s="304" t="s">
        <v>81</v>
      </c>
      <c r="N1139" s="304"/>
      <c r="O1139" s="304"/>
      <c r="P1139" s="304"/>
      <c r="Q1139" s="304"/>
      <c r="R1139" s="304"/>
      <c r="S1139" s="140" t="s">
        <v>41</v>
      </c>
      <c r="T1139" s="304">
        <f>IF(($L$1-(O1122+O1123+O1124+O1125))&gt;12,0,R1119*1.5%)</f>
        <v>0</v>
      </c>
      <c r="U1139" s="304"/>
      <c r="V1139" s="304"/>
      <c r="W1139" s="140" t="s">
        <v>47</v>
      </c>
    </row>
    <row r="1140" spans="1:24" ht="18.75" customHeight="1">
      <c r="A1140" s="304" t="s">
        <v>82</v>
      </c>
      <c r="B1140" s="304"/>
      <c r="C1140" s="304"/>
      <c r="D1140" s="304"/>
      <c r="E1140" s="304"/>
      <c r="F1140" s="304"/>
      <c r="G1140" s="140" t="s">
        <v>41</v>
      </c>
      <c r="H1140" s="304">
        <f>IF(($L$1-(C1122+C1123+C1124+C1125))&gt;12,0,F1119*1%)</f>
        <v>0</v>
      </c>
      <c r="I1140" s="304"/>
      <c r="J1140" s="304"/>
      <c r="K1140" s="140" t="s">
        <v>47</v>
      </c>
      <c r="M1140" s="304" t="s">
        <v>82</v>
      </c>
      <c r="N1140" s="304"/>
      <c r="O1140" s="304"/>
      <c r="P1140" s="304"/>
      <c r="Q1140" s="304"/>
      <c r="R1140" s="304"/>
      <c r="S1140" s="140" t="s">
        <v>41</v>
      </c>
      <c r="T1140" s="304">
        <f>IF(($L$1-(O1122+O1123+O1124+O1125))&gt;12,0,R1119*1%)</f>
        <v>0</v>
      </c>
      <c r="U1140" s="304"/>
      <c r="V1140" s="304"/>
      <c r="W1140" s="140" t="s">
        <v>47</v>
      </c>
    </row>
    <row r="1141" spans="1:24" ht="18.75" customHeight="1">
      <c r="A1141" s="304" t="s">
        <v>83</v>
      </c>
      <c r="B1141" s="304"/>
      <c r="C1141" s="304"/>
      <c r="D1141" s="304"/>
      <c r="E1141" s="304"/>
      <c r="F1141" s="304"/>
      <c r="G1141" s="140" t="s">
        <v>41</v>
      </c>
      <c r="H1141" s="304">
        <v>0</v>
      </c>
      <c r="I1141" s="304"/>
      <c r="J1141" s="304"/>
      <c r="K1141" s="140" t="s">
        <v>47</v>
      </c>
      <c r="M1141" s="304" t="s">
        <v>83</v>
      </c>
      <c r="N1141" s="304"/>
      <c r="O1141" s="304"/>
      <c r="P1141" s="304"/>
      <c r="Q1141" s="304"/>
      <c r="R1141" s="304"/>
      <c r="S1141" s="140" t="s">
        <v>41</v>
      </c>
      <c r="T1141" s="304">
        <v>0</v>
      </c>
      <c r="U1141" s="304"/>
      <c r="V1141" s="304"/>
      <c r="W1141" s="140" t="s">
        <v>47</v>
      </c>
    </row>
    <row r="1142" spans="1:24" ht="18.75" customHeight="1">
      <c r="A1142" s="304" t="s">
        <v>84</v>
      </c>
      <c r="B1142" s="304"/>
      <c r="C1142" s="304"/>
      <c r="D1142" s="304"/>
      <c r="E1142" s="304"/>
      <c r="F1142" s="304"/>
      <c r="G1142" s="140" t="s">
        <v>41</v>
      </c>
      <c r="H1142" s="304">
        <f>SUM(H1138:J1141)</f>
        <v>0</v>
      </c>
      <c r="I1142" s="304"/>
      <c r="J1142" s="304"/>
      <c r="K1142" s="140" t="s">
        <v>47</v>
      </c>
      <c r="M1142" s="304" t="s">
        <v>84</v>
      </c>
      <c r="N1142" s="304"/>
      <c r="O1142" s="304"/>
      <c r="P1142" s="304"/>
      <c r="Q1142" s="304"/>
      <c r="R1142" s="304"/>
      <c r="S1142" s="140" t="s">
        <v>41</v>
      </c>
      <c r="T1142" s="304">
        <f>SUM(T1138:V1141)</f>
        <v>0</v>
      </c>
      <c r="U1142" s="304"/>
      <c r="V1142" s="304"/>
      <c r="W1142" s="140" t="s">
        <v>47</v>
      </c>
    </row>
    <row r="1143" spans="1:24" ht="18.75" customHeight="1">
      <c r="A1143" s="304" t="s">
        <v>85</v>
      </c>
      <c r="B1143" s="304"/>
      <c r="C1143" s="304"/>
      <c r="D1143" s="304"/>
      <c r="E1143" s="304"/>
      <c r="F1143" s="304"/>
      <c r="G1143" s="140" t="s">
        <v>41</v>
      </c>
      <c r="H1143" s="304" t="e">
        <f>ROUND(H1135-H1142,-2)</f>
        <v>#DIV/0!</v>
      </c>
      <c r="I1143" s="304"/>
      <c r="J1143" s="304"/>
      <c r="K1143" s="140" t="s">
        <v>47</v>
      </c>
      <c r="M1143" s="304" t="s">
        <v>85</v>
      </c>
      <c r="N1143" s="304"/>
      <c r="O1143" s="304"/>
      <c r="P1143" s="304"/>
      <c r="Q1143" s="304"/>
      <c r="R1143" s="304"/>
      <c r="S1143" s="140" t="s">
        <v>41</v>
      </c>
      <c r="T1143" s="304" t="e">
        <f>ROUND(T1135-T1142,-2)</f>
        <v>#DIV/0!</v>
      </c>
      <c r="U1143" s="304"/>
      <c r="V1143" s="304"/>
      <c r="W1143" s="140" t="s">
        <v>47</v>
      </c>
    </row>
    <row r="1144" spans="1:24" ht="18.75" customHeight="1">
      <c r="A1144" s="140"/>
      <c r="B1144" s="140"/>
      <c r="C1144" s="140"/>
      <c r="D1144" s="140"/>
      <c r="E1144" s="140"/>
      <c r="F1144" s="140"/>
      <c r="G1144" s="140"/>
      <c r="H1144" s="140"/>
      <c r="I1144" s="140"/>
      <c r="J1144" s="140"/>
      <c r="K1144" s="140"/>
      <c r="M1144" s="140"/>
      <c r="N1144" s="140"/>
      <c r="O1144" s="140"/>
      <c r="P1144" s="140"/>
      <c r="Q1144" s="140"/>
      <c r="R1144" s="140"/>
      <c r="S1144" s="140"/>
      <c r="T1144" s="140"/>
      <c r="U1144" s="140"/>
      <c r="V1144" s="140"/>
      <c r="W1144" s="140"/>
    </row>
    <row r="1145" spans="1:24" ht="18.75" customHeight="1">
      <c r="A1145" s="140"/>
      <c r="B1145" s="140"/>
      <c r="C1145" s="140"/>
      <c r="D1145" s="140"/>
      <c r="E1145" s="140"/>
      <c r="F1145" s="140"/>
      <c r="G1145" s="140"/>
      <c r="H1145" s="140"/>
      <c r="I1145" s="304" t="s">
        <v>86</v>
      </c>
      <c r="J1145" s="304"/>
      <c r="K1145" s="304"/>
      <c r="M1145" s="140"/>
      <c r="N1145" s="140"/>
      <c r="O1145" s="140"/>
      <c r="P1145" s="140"/>
      <c r="Q1145" s="140"/>
      <c r="R1145" s="140"/>
      <c r="S1145" s="140"/>
      <c r="T1145" s="140"/>
      <c r="U1145" s="304" t="s">
        <v>86</v>
      </c>
      <c r="V1145" s="304"/>
      <c r="W1145" s="304"/>
    </row>
    <row r="1146" spans="1:24" ht="18.75" customHeight="1">
      <c r="A1146" s="140"/>
      <c r="B1146" s="304"/>
      <c r="C1146" s="304"/>
      <c r="D1146" s="304"/>
      <c r="E1146" s="304"/>
      <c r="F1146" s="140"/>
      <c r="G1146" s="140"/>
      <c r="H1146" s="140"/>
      <c r="I1146" s="140"/>
      <c r="J1146" s="140"/>
      <c r="K1146" s="140"/>
      <c r="M1146" s="140"/>
      <c r="N1146" s="304"/>
      <c r="O1146" s="304"/>
      <c r="P1146" s="304"/>
      <c r="Q1146" s="304"/>
      <c r="R1146" s="140"/>
      <c r="S1146" s="140"/>
      <c r="T1146" s="140"/>
      <c r="U1146" s="140"/>
      <c r="V1146" s="140"/>
      <c r="W1146" s="140"/>
    </row>
    <row r="1147" spans="1:24" ht="18.75" customHeight="1">
      <c r="A1147" s="140"/>
      <c r="B1147" s="140"/>
      <c r="C1147" s="140"/>
      <c r="D1147" s="140"/>
      <c r="E1147" s="140"/>
      <c r="F1147" s="140"/>
      <c r="G1147" s="140"/>
      <c r="H1147" s="140"/>
      <c r="I1147" s="304" t="s">
        <v>87</v>
      </c>
      <c r="J1147" s="304"/>
      <c r="K1147" s="304"/>
      <c r="M1147" s="140"/>
      <c r="N1147" s="140"/>
      <c r="O1147" s="140"/>
      <c r="P1147" s="140"/>
      <c r="Q1147" s="140"/>
      <c r="R1147" s="140"/>
      <c r="S1147" s="140"/>
      <c r="T1147" s="140"/>
      <c r="U1147" s="304" t="s">
        <v>87</v>
      </c>
      <c r="V1147" s="304"/>
      <c r="W1147" s="304"/>
    </row>
    <row r="1149" spans="1:24" ht="18.75" customHeight="1">
      <c r="A1149" s="304" t="s">
        <v>35</v>
      </c>
      <c r="B1149" s="304"/>
      <c r="C1149" s="304"/>
      <c r="D1149" s="304"/>
      <c r="E1149" s="304"/>
      <c r="F1149" s="304"/>
      <c r="G1149" s="304"/>
      <c r="H1149" s="304"/>
      <c r="I1149" s="304"/>
      <c r="J1149" s="304"/>
      <c r="K1149" s="304"/>
      <c r="L1149" s="140">
        <v>24</v>
      </c>
      <c r="M1149" s="304" t="s">
        <v>35</v>
      </c>
      <c r="N1149" s="304"/>
      <c r="O1149" s="304"/>
      <c r="P1149" s="304"/>
      <c r="Q1149" s="304"/>
      <c r="R1149" s="304"/>
      <c r="S1149" s="304"/>
      <c r="T1149" s="304"/>
      <c r="U1149" s="304"/>
      <c r="V1149" s="304"/>
      <c r="W1149" s="304"/>
      <c r="X1149" s="140">
        <v>24</v>
      </c>
    </row>
    <row r="1150" spans="1:24" ht="18.75" customHeight="1">
      <c r="A1150" s="140" t="s">
        <v>165</v>
      </c>
      <c r="B1150" s="140"/>
      <c r="C1150" s="140"/>
      <c r="D1150" s="140"/>
      <c r="E1150" s="140"/>
      <c r="F1150" s="140"/>
      <c r="G1150" s="140"/>
      <c r="H1150" s="140"/>
      <c r="I1150" s="140"/>
      <c r="J1150" s="140"/>
      <c r="K1150" s="140"/>
      <c r="M1150" s="140" t="s">
        <v>166</v>
      </c>
      <c r="N1150" s="140"/>
      <c r="O1150" s="140"/>
      <c r="P1150" s="140"/>
      <c r="Q1150" s="140"/>
      <c r="R1150" s="140"/>
      <c r="S1150" s="140"/>
      <c r="T1150" s="140"/>
      <c r="U1150" s="140"/>
      <c r="V1150" s="140"/>
      <c r="W1150" s="140"/>
    </row>
    <row r="1151" spans="1:24" ht="18.75" customHeight="1">
      <c r="A1151" s="304" t="s">
        <v>39</v>
      </c>
      <c r="B1151" s="304"/>
      <c r="C1151" s="304"/>
      <c r="D1151" s="304"/>
      <c r="E1151" s="304"/>
      <c r="F1151" s="304"/>
      <c r="G1151" s="304"/>
      <c r="H1151" s="304"/>
      <c r="I1151" s="304"/>
      <c r="J1151" s="304"/>
      <c r="K1151" s="304"/>
      <c r="M1151" s="304" t="s">
        <v>39</v>
      </c>
      <c r="N1151" s="304"/>
      <c r="O1151" s="304"/>
      <c r="P1151" s="304"/>
      <c r="Q1151" s="304"/>
      <c r="R1151" s="304"/>
      <c r="S1151" s="304"/>
      <c r="T1151" s="304"/>
      <c r="U1151" s="304"/>
      <c r="V1151" s="304"/>
      <c r="W1151" s="304"/>
    </row>
    <row r="1152" spans="1:24" ht="18.75" customHeight="1">
      <c r="A1152" s="304" t="s">
        <v>40</v>
      </c>
      <c r="B1152" s="304"/>
      <c r="C1152" s="304"/>
      <c r="D1152" s="304"/>
      <c r="E1152" s="140" t="s">
        <v>41</v>
      </c>
      <c r="F1152" s="304"/>
      <c r="G1152" s="304"/>
      <c r="H1152" s="304"/>
      <c r="I1152" s="304"/>
      <c r="J1152" s="304"/>
      <c r="K1152" s="304"/>
      <c r="M1152" s="304" t="s">
        <v>40</v>
      </c>
      <c r="N1152" s="304"/>
      <c r="O1152" s="304"/>
      <c r="P1152" s="304"/>
      <c r="Q1152" s="140" t="s">
        <v>41</v>
      </c>
      <c r="R1152" s="304"/>
      <c r="S1152" s="304"/>
      <c r="T1152" s="304"/>
      <c r="U1152" s="304"/>
      <c r="V1152" s="304"/>
      <c r="W1152" s="304"/>
    </row>
    <row r="1153" spans="1:24" ht="18.75" customHeight="1">
      <c r="A1153" s="304" t="s">
        <v>43</v>
      </c>
      <c r="B1153" s="304"/>
      <c r="C1153" s="304"/>
      <c r="D1153" s="304"/>
      <c r="E1153" s="140" t="s">
        <v>41</v>
      </c>
      <c r="F1153" s="304"/>
      <c r="G1153" s="304"/>
      <c r="H1153" s="304"/>
      <c r="I1153" s="304"/>
      <c r="J1153" s="304"/>
      <c r="K1153" s="304"/>
      <c r="M1153" s="304" t="s">
        <v>43</v>
      </c>
      <c r="N1153" s="304"/>
      <c r="O1153" s="304"/>
      <c r="P1153" s="304"/>
      <c r="Q1153" s="140" t="s">
        <v>41</v>
      </c>
      <c r="R1153" s="304"/>
      <c r="S1153" s="304"/>
      <c r="T1153" s="304"/>
      <c r="U1153" s="304"/>
      <c r="V1153" s="304"/>
      <c r="W1153" s="304"/>
    </row>
    <row r="1154" spans="1:24" ht="18.75" customHeight="1">
      <c r="A1154" s="304" t="s">
        <v>44</v>
      </c>
      <c r="B1154" s="304"/>
      <c r="C1154" s="304"/>
      <c r="D1154" s="304"/>
      <c r="E1154" s="140" t="s">
        <v>41</v>
      </c>
      <c r="F1154" s="304" t="s">
        <v>116</v>
      </c>
      <c r="G1154" s="304"/>
      <c r="H1154" s="304"/>
      <c r="I1154" s="304"/>
      <c r="J1154" s="304"/>
      <c r="K1154" s="304"/>
      <c r="M1154" s="304" t="s">
        <v>44</v>
      </c>
      <c r="N1154" s="304"/>
      <c r="O1154" s="304"/>
      <c r="P1154" s="304"/>
      <c r="Q1154" s="140" t="s">
        <v>41</v>
      </c>
      <c r="R1154" s="304" t="s">
        <v>116</v>
      </c>
      <c r="S1154" s="304"/>
      <c r="T1154" s="304"/>
      <c r="U1154" s="304"/>
      <c r="V1154" s="304"/>
      <c r="W1154" s="304"/>
    </row>
    <row r="1155" spans="1:24" ht="18.75" customHeight="1">
      <c r="A1155" s="304" t="s">
        <v>45</v>
      </c>
      <c r="B1155" s="304"/>
      <c r="C1155" s="304"/>
      <c r="D1155" s="304"/>
      <c r="E1155" s="304"/>
      <c r="F1155" s="304"/>
      <c r="G1155" s="304"/>
      <c r="H1155" s="304"/>
      <c r="I1155" s="304"/>
      <c r="J1155" s="304"/>
      <c r="K1155" s="304"/>
      <c r="M1155" s="304" t="s">
        <v>45</v>
      </c>
      <c r="N1155" s="304"/>
      <c r="O1155" s="304"/>
      <c r="P1155" s="304"/>
      <c r="Q1155" s="304"/>
      <c r="R1155" s="304"/>
      <c r="S1155" s="304"/>
      <c r="T1155" s="304"/>
      <c r="U1155" s="304"/>
      <c r="V1155" s="304"/>
      <c r="W1155" s="304"/>
    </row>
    <row r="1156" spans="1:24" ht="18.75" customHeight="1">
      <c r="A1156" s="304" t="s">
        <v>46</v>
      </c>
      <c r="B1156" s="304"/>
      <c r="C1156" s="304"/>
      <c r="D1156" s="304"/>
      <c r="E1156" s="140" t="s">
        <v>41</v>
      </c>
      <c r="F1156" s="304">
        <v>2915400</v>
      </c>
      <c r="G1156" s="304"/>
      <c r="H1156" s="304"/>
      <c r="I1156" s="304"/>
      <c r="J1156" s="140" t="s">
        <v>47</v>
      </c>
      <c r="K1156" s="140"/>
      <c r="M1156" s="304" t="s">
        <v>46</v>
      </c>
      <c r="N1156" s="304"/>
      <c r="O1156" s="304"/>
      <c r="P1156" s="304"/>
      <c r="Q1156" s="140" t="s">
        <v>41</v>
      </c>
      <c r="R1156" s="304">
        <v>2915400</v>
      </c>
      <c r="S1156" s="304"/>
      <c r="T1156" s="304"/>
      <c r="U1156" s="304"/>
      <c r="V1156" s="140" t="s">
        <v>47</v>
      </c>
      <c r="W1156" s="140"/>
    </row>
    <row r="1157" spans="1:24" ht="18.75" customHeight="1">
      <c r="A1157" s="140" t="s">
        <v>48</v>
      </c>
      <c r="B1157" s="140"/>
      <c r="C1157" s="140"/>
      <c r="D1157" s="140"/>
      <c r="E1157" s="140"/>
      <c r="F1157" s="140"/>
      <c r="G1157" s="140"/>
      <c r="H1157" s="140"/>
      <c r="I1157" s="140"/>
      <c r="J1157" s="140"/>
      <c r="K1157" s="140"/>
      <c r="M1157" s="140" t="s">
        <v>48</v>
      </c>
      <c r="N1157" s="140"/>
      <c r="O1157" s="140"/>
      <c r="P1157" s="140"/>
      <c r="Q1157" s="140"/>
      <c r="R1157" s="140"/>
      <c r="S1157" s="140"/>
      <c r="T1157" s="140"/>
      <c r="U1157" s="140"/>
      <c r="V1157" s="140"/>
      <c r="W1157" s="140"/>
    </row>
    <row r="1158" spans="1:24" ht="18.75" customHeight="1">
      <c r="A1158" s="140" t="s">
        <v>49</v>
      </c>
      <c r="B1158" s="140"/>
      <c r="C1158" s="140"/>
      <c r="D1158" s="140"/>
      <c r="E1158" s="140"/>
      <c r="F1158" s="140"/>
      <c r="G1158" s="140"/>
      <c r="H1158" s="140"/>
      <c r="I1158" s="140" t="e">
        <f>I1159/C1159/8</f>
        <v>#DIV/0!</v>
      </c>
      <c r="J1158" s="140"/>
      <c r="K1158" s="140"/>
      <c r="M1158" s="140" t="s">
        <v>49</v>
      </c>
      <c r="N1158" s="140"/>
      <c r="O1158" s="140"/>
      <c r="P1158" s="140"/>
      <c r="Q1158" s="140"/>
      <c r="R1158" s="140"/>
      <c r="S1158" s="140"/>
      <c r="T1158" s="140"/>
      <c r="U1158" s="140" t="e">
        <f>U1159/O1159/8</f>
        <v>#DIV/0!</v>
      </c>
      <c r="V1158" s="140"/>
      <c r="W1158" s="140"/>
    </row>
    <row r="1159" spans="1:24" ht="18.75" customHeight="1">
      <c r="A1159" s="140" t="s">
        <v>50</v>
      </c>
      <c r="B1159" s="140" t="s">
        <v>41</v>
      </c>
      <c r="C1159" s="140"/>
      <c r="D1159" s="140" t="s">
        <v>51</v>
      </c>
      <c r="E1159" s="304" t="s">
        <v>52</v>
      </c>
      <c r="F1159" s="304"/>
      <c r="G1159" s="304"/>
      <c r="H1159" s="140" t="s">
        <v>41</v>
      </c>
      <c r="I1159" s="304" t="e">
        <f>I1157*680/((C1159-C1166)*8+C1166*7+C1163)*((C1159-C1166)*8+C1166*7)</f>
        <v>#DIV/0!</v>
      </c>
      <c r="J1159" s="304"/>
      <c r="K1159" s="140" t="s">
        <v>47</v>
      </c>
      <c r="L1159" s="140">
        <f>F1156/L1149*C1159</f>
        <v>0</v>
      </c>
      <c r="M1159" s="140" t="s">
        <v>50</v>
      </c>
      <c r="N1159" s="140" t="s">
        <v>41</v>
      </c>
      <c r="O1159" s="140"/>
      <c r="P1159" s="140" t="s">
        <v>51</v>
      </c>
      <c r="Q1159" s="304" t="s">
        <v>52</v>
      </c>
      <c r="R1159" s="304"/>
      <c r="S1159" s="304"/>
      <c r="T1159" s="140" t="s">
        <v>41</v>
      </c>
      <c r="U1159" s="304" t="e">
        <f>U1157*680/((O1159-O1166)*8+O1166*7+O1163)*((O1159-O1166)*8+O1166*7)</f>
        <v>#DIV/0!</v>
      </c>
      <c r="V1159" s="304"/>
      <c r="W1159" s="140" t="s">
        <v>47</v>
      </c>
      <c r="X1159" s="140">
        <f>R1156/X1149*O1159</f>
        <v>0</v>
      </c>
    </row>
    <row r="1160" spans="1:24" ht="18.75" customHeight="1">
      <c r="A1160" s="140" t="s">
        <v>53</v>
      </c>
      <c r="B1160" s="140" t="s">
        <v>41</v>
      </c>
      <c r="C1160" s="140"/>
      <c r="D1160" s="140" t="s">
        <v>51</v>
      </c>
      <c r="E1160" s="304" t="s">
        <v>54</v>
      </c>
      <c r="F1160" s="304"/>
      <c r="G1160" s="304"/>
      <c r="H1160" s="140" t="s">
        <v>41</v>
      </c>
      <c r="I1160" s="304">
        <f>$F$8/$L$1*C1160</f>
        <v>0</v>
      </c>
      <c r="J1160" s="304"/>
      <c r="K1160" s="140" t="s">
        <v>47</v>
      </c>
      <c r="L1160" s="140"/>
      <c r="M1160" s="140" t="s">
        <v>53</v>
      </c>
      <c r="N1160" s="140" t="s">
        <v>41</v>
      </c>
      <c r="O1160" s="140"/>
      <c r="P1160" s="140" t="s">
        <v>51</v>
      </c>
      <c r="Q1160" s="304" t="s">
        <v>54</v>
      </c>
      <c r="R1160" s="304"/>
      <c r="S1160" s="304"/>
      <c r="T1160" s="140" t="s">
        <v>41</v>
      </c>
      <c r="U1160" s="304">
        <f>$F$8/$L$1*O1160</f>
        <v>0</v>
      </c>
      <c r="V1160" s="304"/>
      <c r="W1160" s="140" t="s">
        <v>47</v>
      </c>
      <c r="X1160" s="140"/>
    </row>
    <row r="1161" spans="1:24" ht="18.75" customHeight="1">
      <c r="A1161" s="140" t="s">
        <v>55</v>
      </c>
      <c r="B1161" s="140" t="s">
        <v>41</v>
      </c>
      <c r="C1161" s="140"/>
      <c r="D1161" s="140" t="s">
        <v>51</v>
      </c>
      <c r="E1161" s="304" t="s">
        <v>56</v>
      </c>
      <c r="F1161" s="304"/>
      <c r="G1161" s="304"/>
      <c r="H1161" s="140" t="s">
        <v>41</v>
      </c>
      <c r="I1161" s="304">
        <f>$F$8/$L$1*C1161</f>
        <v>0</v>
      </c>
      <c r="J1161" s="304"/>
      <c r="K1161" s="140" t="s">
        <v>47</v>
      </c>
      <c r="L1161" s="140"/>
      <c r="M1161" s="140" t="s">
        <v>55</v>
      </c>
      <c r="N1161" s="140" t="s">
        <v>41</v>
      </c>
      <c r="O1161" s="140"/>
      <c r="P1161" s="140" t="s">
        <v>51</v>
      </c>
      <c r="Q1161" s="304" t="s">
        <v>56</v>
      </c>
      <c r="R1161" s="304"/>
      <c r="S1161" s="304"/>
      <c r="T1161" s="140" t="s">
        <v>41</v>
      </c>
      <c r="U1161" s="304">
        <f>$F$8/$L$1*O1161</f>
        <v>0</v>
      </c>
      <c r="V1161" s="304"/>
      <c r="W1161" s="140" t="s">
        <v>47</v>
      </c>
      <c r="X1161" s="140"/>
    </row>
    <row r="1162" spans="1:24" ht="18.75" customHeight="1">
      <c r="A1162" s="140" t="s">
        <v>57</v>
      </c>
      <c r="B1162" s="140" t="s">
        <v>41</v>
      </c>
      <c r="C1162" s="140"/>
      <c r="D1162" s="140" t="s">
        <v>51</v>
      </c>
      <c r="E1162" s="304" t="s">
        <v>58</v>
      </c>
      <c r="F1162" s="304"/>
      <c r="G1162" s="304"/>
      <c r="H1162" s="140" t="s">
        <v>41</v>
      </c>
      <c r="I1162" s="304">
        <f>$F$8/$L$1*C1162</f>
        <v>0</v>
      </c>
      <c r="J1162" s="304"/>
      <c r="K1162" s="140" t="s">
        <v>47</v>
      </c>
      <c r="L1162" s="140"/>
      <c r="M1162" s="140" t="s">
        <v>57</v>
      </c>
      <c r="N1162" s="140" t="s">
        <v>41</v>
      </c>
      <c r="O1162" s="140"/>
      <c r="P1162" s="140" t="s">
        <v>51</v>
      </c>
      <c r="Q1162" s="304" t="s">
        <v>58</v>
      </c>
      <c r="R1162" s="304"/>
      <c r="S1162" s="304"/>
      <c r="T1162" s="140" t="s">
        <v>41</v>
      </c>
      <c r="U1162" s="304">
        <f>$F$8/$L$1*O1162</f>
        <v>0</v>
      </c>
      <c r="V1162" s="304"/>
      <c r="W1162" s="140" t="s">
        <v>47</v>
      </c>
      <c r="X1162" s="140"/>
    </row>
    <row r="1163" spans="1:24" ht="18.75" customHeight="1">
      <c r="A1163" s="140" t="s">
        <v>59</v>
      </c>
      <c r="B1163" s="140" t="s">
        <v>41</v>
      </c>
      <c r="C1163" s="140"/>
      <c r="D1163" s="140" t="s">
        <v>60</v>
      </c>
      <c r="E1163" s="304" t="s">
        <v>61</v>
      </c>
      <c r="F1163" s="304"/>
      <c r="G1163" s="304"/>
      <c r="H1163" s="140" t="s">
        <v>41</v>
      </c>
      <c r="I1163" s="304" t="e">
        <f>I1159/C1159/8*C1163</f>
        <v>#DIV/0!</v>
      </c>
      <c r="J1163" s="304"/>
      <c r="K1163" s="140" t="s">
        <v>47</v>
      </c>
      <c r="L1163" s="140">
        <f>F1156*C1163/L1149/8*1.5</f>
        <v>0</v>
      </c>
      <c r="M1163" s="140" t="s">
        <v>59</v>
      </c>
      <c r="N1163" s="140" t="s">
        <v>41</v>
      </c>
      <c r="O1163" s="140"/>
      <c r="P1163" s="140" t="s">
        <v>60</v>
      </c>
      <c r="Q1163" s="304" t="s">
        <v>61</v>
      </c>
      <c r="R1163" s="304"/>
      <c r="S1163" s="304"/>
      <c r="T1163" s="140" t="s">
        <v>41</v>
      </c>
      <c r="U1163" s="304" t="e">
        <f>U1159/O1159/8*O1163</f>
        <v>#DIV/0!</v>
      </c>
      <c r="V1163" s="304"/>
      <c r="W1163" s="140" t="s">
        <v>47</v>
      </c>
      <c r="X1163" s="140">
        <f>R1156*O1163/X1149/8*1.5</f>
        <v>0</v>
      </c>
    </row>
    <row r="1164" spans="1:24" ht="18.75" customHeight="1">
      <c r="A1164" s="304" t="s">
        <v>62</v>
      </c>
      <c r="B1164" s="304"/>
      <c r="C1164" s="140"/>
      <c r="D1164" s="140" t="s">
        <v>51</v>
      </c>
      <c r="E1164" s="304" t="s">
        <v>63</v>
      </c>
      <c r="F1164" s="304"/>
      <c r="G1164" s="304"/>
      <c r="H1164" s="140" t="s">
        <v>41</v>
      </c>
      <c r="I1164" s="304"/>
      <c r="J1164" s="304"/>
      <c r="K1164" s="140" t="s">
        <v>47</v>
      </c>
      <c r="L1164" s="140"/>
      <c r="M1164" s="304" t="s">
        <v>62</v>
      </c>
      <c r="N1164" s="304"/>
      <c r="O1164" s="140"/>
      <c r="P1164" s="140" t="s">
        <v>51</v>
      </c>
      <c r="Q1164" s="304" t="s">
        <v>63</v>
      </c>
      <c r="R1164" s="304"/>
      <c r="S1164" s="304"/>
      <c r="T1164" s="140" t="s">
        <v>41</v>
      </c>
      <c r="U1164" s="304"/>
      <c r="V1164" s="304"/>
      <c r="W1164" s="140" t="s">
        <v>47</v>
      </c>
      <c r="X1164" s="140"/>
    </row>
    <row r="1165" spans="1:24" ht="18.75" customHeight="1">
      <c r="A1165" s="140" t="s">
        <v>64</v>
      </c>
      <c r="B1165" s="140" t="s">
        <v>41</v>
      </c>
      <c r="C1165" s="140"/>
      <c r="D1165" s="140" t="s">
        <v>51</v>
      </c>
      <c r="E1165" s="304" t="s">
        <v>65</v>
      </c>
      <c r="F1165" s="304"/>
      <c r="G1165" s="304"/>
      <c r="H1165" s="140" t="s">
        <v>41</v>
      </c>
      <c r="I1165" s="304"/>
      <c r="J1165" s="304"/>
      <c r="K1165" s="140" t="s">
        <v>47</v>
      </c>
      <c r="L1165" s="140"/>
      <c r="M1165" s="140" t="s">
        <v>64</v>
      </c>
      <c r="N1165" s="140" t="s">
        <v>41</v>
      </c>
      <c r="O1165" s="140"/>
      <c r="P1165" s="140" t="s">
        <v>51</v>
      </c>
      <c r="Q1165" s="304" t="s">
        <v>65</v>
      </c>
      <c r="R1165" s="304"/>
      <c r="S1165" s="304"/>
      <c r="T1165" s="140" t="s">
        <v>41</v>
      </c>
      <c r="U1165" s="304"/>
      <c r="V1165" s="304"/>
      <c r="W1165" s="140" t="s">
        <v>47</v>
      </c>
      <c r="X1165" s="140"/>
    </row>
    <row r="1166" spans="1:24" ht="18.75" customHeight="1">
      <c r="A1166" s="140" t="s">
        <v>66</v>
      </c>
      <c r="B1166" s="140"/>
      <c r="C1166" s="140"/>
      <c r="D1166" s="140" t="s">
        <v>60</v>
      </c>
      <c r="E1166" s="304" t="s">
        <v>67</v>
      </c>
      <c r="F1166" s="304"/>
      <c r="G1166" s="304"/>
      <c r="H1166" s="140" t="s">
        <v>41</v>
      </c>
      <c r="I1166" s="304">
        <f>$F$8*C1166/8/$L$1</f>
        <v>0</v>
      </c>
      <c r="J1166" s="304"/>
      <c r="K1166" s="140" t="s">
        <v>47</v>
      </c>
      <c r="L1166" s="140"/>
      <c r="M1166" s="140" t="s">
        <v>66</v>
      </c>
      <c r="N1166" s="140"/>
      <c r="O1166" s="140"/>
      <c r="P1166" s="140" t="s">
        <v>60</v>
      </c>
      <c r="Q1166" s="304" t="s">
        <v>67</v>
      </c>
      <c r="R1166" s="304"/>
      <c r="S1166" s="304"/>
      <c r="T1166" s="140" t="s">
        <v>41</v>
      </c>
      <c r="U1166" s="304">
        <f>$F$8*O1166/8/$L$1</f>
        <v>0</v>
      </c>
      <c r="V1166" s="304"/>
      <c r="W1166" s="140" t="s">
        <v>47</v>
      </c>
      <c r="X1166" s="140"/>
    </row>
    <row r="1167" spans="1:24" ht="18.75" customHeight="1">
      <c r="A1167" s="140" t="s">
        <v>68</v>
      </c>
      <c r="B1167" s="140" t="s">
        <v>41</v>
      </c>
      <c r="C1167" s="140"/>
      <c r="D1167" s="140" t="s">
        <v>60</v>
      </c>
      <c r="E1167" s="304" t="s">
        <v>92</v>
      </c>
      <c r="F1167" s="304"/>
      <c r="G1167" s="304"/>
      <c r="H1167" s="140" t="s">
        <v>41</v>
      </c>
      <c r="I1167" s="304"/>
      <c r="J1167" s="304"/>
      <c r="K1167" s="140" t="s">
        <v>47</v>
      </c>
      <c r="L1167" s="140"/>
      <c r="M1167" s="140" t="s">
        <v>68</v>
      </c>
      <c r="N1167" s="140" t="s">
        <v>41</v>
      </c>
      <c r="O1167" s="140"/>
      <c r="P1167" s="140" t="s">
        <v>60</v>
      </c>
      <c r="Q1167" s="304" t="s">
        <v>92</v>
      </c>
      <c r="R1167" s="304"/>
      <c r="S1167" s="304"/>
      <c r="T1167" s="140" t="s">
        <v>41</v>
      </c>
      <c r="U1167" s="304"/>
      <c r="V1167" s="304"/>
      <c r="W1167" s="140" t="s">
        <v>47</v>
      </c>
      <c r="X1167" s="140"/>
    </row>
    <row r="1168" spans="1:24" ht="18.75" customHeight="1">
      <c r="A1168" s="140" t="s">
        <v>70</v>
      </c>
      <c r="B1168" s="140" t="s">
        <v>41</v>
      </c>
      <c r="C1168" s="140"/>
      <c r="D1168" s="140" t="s">
        <v>71</v>
      </c>
      <c r="E1168" s="140" t="s">
        <v>72</v>
      </c>
      <c r="F1168" s="140"/>
      <c r="G1168" s="140"/>
      <c r="H1168" s="140" t="s">
        <v>41</v>
      </c>
      <c r="I1168" s="304"/>
      <c r="J1168" s="304"/>
      <c r="K1168" s="140" t="s">
        <v>47</v>
      </c>
      <c r="L1168" s="140" t="e">
        <f>+IF(L1159-I1159&lt;0,0,L1159-I1159)+IF(L1163-I1163&lt;0,0,L1163-I1163)</f>
        <v>#DIV/0!</v>
      </c>
      <c r="M1168" s="140" t="s">
        <v>70</v>
      </c>
      <c r="N1168" s="140" t="s">
        <v>41</v>
      </c>
      <c r="O1168" s="140"/>
      <c r="P1168" s="140" t="s">
        <v>71</v>
      </c>
      <c r="Q1168" s="140" t="s">
        <v>72</v>
      </c>
      <c r="R1168" s="140"/>
      <c r="S1168" s="140"/>
      <c r="T1168" s="140" t="s">
        <v>41</v>
      </c>
      <c r="U1168" s="304"/>
      <c r="V1168" s="304"/>
      <c r="W1168" s="140" t="s">
        <v>47</v>
      </c>
      <c r="X1168" s="140" t="e">
        <f>+IF(X1159-U1159&lt;0,0,X1159-U1159)+IF(X1163-U1163&lt;0,0,X1163-U1163)</f>
        <v>#DIV/0!</v>
      </c>
    </row>
    <row r="1169" spans="1:24" ht="18.75" customHeight="1">
      <c r="A1169" s="140" t="s">
        <v>117</v>
      </c>
      <c r="B1169" s="140"/>
      <c r="C1169" s="140"/>
      <c r="D1169" s="140" t="s">
        <v>51</v>
      </c>
      <c r="E1169" s="304" t="s">
        <v>118</v>
      </c>
      <c r="F1169" s="304"/>
      <c r="G1169" s="304"/>
      <c r="H1169" s="140" t="s">
        <v>41</v>
      </c>
      <c r="I1169" s="304"/>
      <c r="J1169" s="304"/>
      <c r="K1169" s="140" t="s">
        <v>47</v>
      </c>
      <c r="L1169" s="140"/>
      <c r="M1169" s="140" t="s">
        <v>117</v>
      </c>
      <c r="N1169" s="140"/>
      <c r="O1169" s="140"/>
      <c r="P1169" s="140" t="s">
        <v>51</v>
      </c>
      <c r="Q1169" s="304" t="s">
        <v>118</v>
      </c>
      <c r="R1169" s="304"/>
      <c r="S1169" s="304"/>
      <c r="T1169" s="140" t="s">
        <v>41</v>
      </c>
      <c r="U1169" s="304"/>
      <c r="V1169" s="304"/>
      <c r="W1169" s="140" t="s">
        <v>47</v>
      </c>
      <c r="X1169" s="140"/>
    </row>
    <row r="1170" spans="1:24" ht="18.75" customHeight="1">
      <c r="A1170" s="304" t="s">
        <v>75</v>
      </c>
      <c r="B1170" s="304"/>
      <c r="C1170" s="140"/>
      <c r="D1170" s="140"/>
      <c r="E1170" s="140"/>
      <c r="F1170" s="140"/>
      <c r="G1170" s="140"/>
      <c r="H1170" s="140" t="s">
        <v>41</v>
      </c>
      <c r="I1170" s="304"/>
      <c r="J1170" s="304"/>
      <c r="K1170" s="140" t="s">
        <v>47</v>
      </c>
      <c r="L1170" s="140"/>
      <c r="M1170" s="304" t="s">
        <v>75</v>
      </c>
      <c r="N1170" s="304"/>
      <c r="O1170" s="140"/>
      <c r="P1170" s="140"/>
      <c r="Q1170" s="140"/>
      <c r="R1170" s="140"/>
      <c r="S1170" s="140"/>
      <c r="T1170" s="140" t="s">
        <v>41</v>
      </c>
      <c r="U1170" s="304"/>
      <c r="V1170" s="304"/>
      <c r="W1170" s="140" t="s">
        <v>47</v>
      </c>
      <c r="X1170" s="140"/>
    </row>
    <row r="1171" spans="1:24" ht="18.75" customHeight="1">
      <c r="A1171" s="140" t="s">
        <v>76</v>
      </c>
      <c r="B1171" s="140" t="s">
        <v>41</v>
      </c>
      <c r="C1171" s="140"/>
      <c r="D1171" s="140"/>
      <c r="E1171" s="140" t="s">
        <v>77</v>
      </c>
      <c r="F1171" s="140"/>
      <c r="G1171" s="140"/>
      <c r="H1171" s="140" t="s">
        <v>41</v>
      </c>
      <c r="I1171" s="304" t="e">
        <f>L1168</f>
        <v>#DIV/0!</v>
      </c>
      <c r="J1171" s="304"/>
      <c r="K1171" s="140" t="s">
        <v>47</v>
      </c>
      <c r="L1171" s="140"/>
      <c r="M1171" s="140" t="s">
        <v>76</v>
      </c>
      <c r="N1171" s="140" t="s">
        <v>41</v>
      </c>
      <c r="O1171" s="140"/>
      <c r="P1171" s="140"/>
      <c r="Q1171" s="140" t="s">
        <v>77</v>
      </c>
      <c r="R1171" s="140"/>
      <c r="S1171" s="140"/>
      <c r="T1171" s="140" t="s">
        <v>41</v>
      </c>
      <c r="U1171" s="304" t="e">
        <f>X1168</f>
        <v>#DIV/0!</v>
      </c>
      <c r="V1171" s="304"/>
      <c r="W1171" s="140" t="s">
        <v>47</v>
      </c>
      <c r="X1171" s="140"/>
    </row>
    <row r="1172" spans="1:24" ht="18.75" customHeight="1">
      <c r="A1172" s="304" t="s">
        <v>78</v>
      </c>
      <c r="B1172" s="304"/>
      <c r="C1172" s="304"/>
      <c r="D1172" s="304"/>
      <c r="E1172" s="304"/>
      <c r="F1172" s="304"/>
      <c r="G1172" s="140" t="s">
        <v>41</v>
      </c>
      <c r="H1172" s="304" t="e">
        <f>I1159+I1160+I1161+I1162+I1163+I1166+I1170+I1171</f>
        <v>#DIV/0!</v>
      </c>
      <c r="I1172" s="304"/>
      <c r="J1172" s="304"/>
      <c r="K1172" s="140" t="s">
        <v>47</v>
      </c>
      <c r="M1172" s="304" t="s">
        <v>78</v>
      </c>
      <c r="N1172" s="304"/>
      <c r="O1172" s="304"/>
      <c r="P1172" s="304"/>
      <c r="Q1172" s="304"/>
      <c r="R1172" s="304"/>
      <c r="S1172" s="140" t="s">
        <v>41</v>
      </c>
      <c r="T1172" s="304" t="e">
        <f>U1159+U1160+U1161+U1162+U1163+U1166+U1170+U1171</f>
        <v>#DIV/0!</v>
      </c>
      <c r="U1172" s="304"/>
      <c r="V1172" s="304"/>
      <c r="W1172" s="140" t="s">
        <v>47</v>
      </c>
    </row>
    <row r="1173" spans="1:24" ht="18.75" customHeight="1">
      <c r="A1173" s="140"/>
      <c r="B1173" s="140"/>
      <c r="C1173" s="140"/>
      <c r="D1173" s="140"/>
      <c r="E1173" s="140"/>
      <c r="F1173" s="140"/>
      <c r="G1173" s="140"/>
      <c r="H1173" s="140"/>
      <c r="I1173" s="140"/>
      <c r="J1173" s="140"/>
      <c r="K1173" s="140"/>
      <c r="M1173" s="140"/>
      <c r="N1173" s="140"/>
      <c r="O1173" s="140"/>
      <c r="P1173" s="140"/>
      <c r="Q1173" s="140"/>
      <c r="R1173" s="140"/>
      <c r="S1173" s="140"/>
      <c r="T1173" s="140"/>
      <c r="U1173" s="140"/>
      <c r="V1173" s="140"/>
      <c r="W1173" s="140"/>
    </row>
    <row r="1174" spans="1:24" ht="18.75" customHeight="1">
      <c r="A1174" s="304" t="s">
        <v>79</v>
      </c>
      <c r="B1174" s="304"/>
      <c r="C1174" s="304"/>
      <c r="D1174" s="304"/>
      <c r="E1174" s="304"/>
      <c r="F1174" s="304"/>
      <c r="G1174" s="140"/>
      <c r="H1174" s="140"/>
      <c r="I1174" s="140"/>
      <c r="J1174" s="140"/>
      <c r="K1174" s="140"/>
      <c r="M1174" s="304" t="s">
        <v>79</v>
      </c>
      <c r="N1174" s="304"/>
      <c r="O1174" s="304"/>
      <c r="P1174" s="304"/>
      <c r="Q1174" s="304"/>
      <c r="R1174" s="304"/>
      <c r="S1174" s="140"/>
      <c r="T1174" s="140"/>
      <c r="U1174" s="140"/>
      <c r="V1174" s="140"/>
      <c r="W1174" s="140"/>
    </row>
    <row r="1175" spans="1:24" ht="18.75" customHeight="1">
      <c r="A1175" s="304" t="s">
        <v>80</v>
      </c>
      <c r="B1175" s="304"/>
      <c r="C1175" s="304"/>
      <c r="D1175" s="304"/>
      <c r="E1175" s="304"/>
      <c r="F1175" s="304"/>
      <c r="G1175" s="140" t="s">
        <v>41</v>
      </c>
      <c r="H1175" s="304">
        <f>IF(($L$1-(C1159+C1160+C1161+C1162))&gt;12,0,F1156*8%)</f>
        <v>0</v>
      </c>
      <c r="I1175" s="304"/>
      <c r="J1175" s="304"/>
      <c r="K1175" s="140" t="s">
        <v>47</v>
      </c>
      <c r="M1175" s="304" t="s">
        <v>80</v>
      </c>
      <c r="N1175" s="304"/>
      <c r="O1175" s="304"/>
      <c r="P1175" s="304"/>
      <c r="Q1175" s="304"/>
      <c r="R1175" s="304"/>
      <c r="S1175" s="140" t="s">
        <v>41</v>
      </c>
      <c r="T1175" s="304">
        <f t="shared" ref="T1175:T1180" si="0">IF(($L$1-(O1159+O1160+O1161+O1162))&gt;12,0,R1156*8%)</f>
        <v>0</v>
      </c>
      <c r="U1175" s="304"/>
      <c r="V1175" s="304"/>
      <c r="W1175" s="140" t="s">
        <v>47</v>
      </c>
    </row>
    <row r="1176" spans="1:24" ht="18.75" customHeight="1">
      <c r="A1176" s="304" t="s">
        <v>81</v>
      </c>
      <c r="B1176" s="304"/>
      <c r="C1176" s="304"/>
      <c r="D1176" s="304"/>
      <c r="E1176" s="304"/>
      <c r="F1176" s="304"/>
      <c r="G1176" s="140" t="s">
        <v>41</v>
      </c>
      <c r="H1176" s="304">
        <f>IF(($L$1-(C1159+C1160+C1161+C1162))&gt;12,0,F1156*1.5%)</f>
        <v>0</v>
      </c>
      <c r="I1176" s="304"/>
      <c r="J1176" s="304"/>
      <c r="K1176" s="140" t="s">
        <v>47</v>
      </c>
      <c r="M1176" s="304" t="s">
        <v>81</v>
      </c>
      <c r="N1176" s="304"/>
      <c r="O1176" s="304"/>
      <c r="P1176" s="304"/>
      <c r="Q1176" s="304"/>
      <c r="R1176" s="304"/>
      <c r="S1176" s="140" t="s">
        <v>41</v>
      </c>
      <c r="T1176" s="304">
        <f t="shared" si="0"/>
        <v>0</v>
      </c>
      <c r="U1176" s="304"/>
      <c r="V1176" s="304"/>
      <c r="W1176" s="140" t="s">
        <v>47</v>
      </c>
    </row>
    <row r="1177" spans="1:24" ht="18.75" customHeight="1">
      <c r="A1177" s="304" t="s">
        <v>82</v>
      </c>
      <c r="B1177" s="304"/>
      <c r="C1177" s="304"/>
      <c r="D1177" s="304"/>
      <c r="E1177" s="304"/>
      <c r="F1177" s="304"/>
      <c r="G1177" s="140" t="s">
        <v>41</v>
      </c>
      <c r="H1177" s="304">
        <f>IF(($L$1-(C1159+C1160+C1161+C1162))&gt;12,0,F1156*1%)</f>
        <v>0</v>
      </c>
      <c r="I1177" s="304"/>
      <c r="J1177" s="304"/>
      <c r="K1177" s="140" t="s">
        <v>47</v>
      </c>
      <c r="M1177" s="304" t="s">
        <v>82</v>
      </c>
      <c r="N1177" s="304"/>
      <c r="O1177" s="304"/>
      <c r="P1177" s="304"/>
      <c r="Q1177" s="304"/>
      <c r="R1177" s="304"/>
      <c r="S1177" s="140" t="s">
        <v>41</v>
      </c>
      <c r="T1177" s="304">
        <f t="shared" si="0"/>
        <v>0</v>
      </c>
      <c r="U1177" s="304"/>
      <c r="V1177" s="304"/>
      <c r="W1177" s="140" t="s">
        <v>47</v>
      </c>
    </row>
    <row r="1178" spans="1:24" ht="18.75" customHeight="1">
      <c r="A1178" s="304" t="s">
        <v>83</v>
      </c>
      <c r="B1178" s="304"/>
      <c r="C1178" s="304"/>
      <c r="D1178" s="304"/>
      <c r="E1178" s="304"/>
      <c r="F1178" s="304"/>
      <c r="G1178" s="140" t="s">
        <v>41</v>
      </c>
      <c r="H1178" s="304">
        <v>0</v>
      </c>
      <c r="I1178" s="304"/>
      <c r="J1178" s="304"/>
      <c r="K1178" s="140" t="s">
        <v>47</v>
      </c>
      <c r="M1178" s="304" t="s">
        <v>83</v>
      </c>
      <c r="N1178" s="304"/>
      <c r="O1178" s="304"/>
      <c r="P1178" s="304"/>
      <c r="Q1178" s="304"/>
      <c r="R1178" s="304"/>
      <c r="S1178" s="140" t="s">
        <v>41</v>
      </c>
      <c r="T1178" s="304">
        <f t="shared" si="0"/>
        <v>0</v>
      </c>
      <c r="U1178" s="304"/>
      <c r="V1178" s="304"/>
      <c r="W1178" s="140" t="s">
        <v>47</v>
      </c>
    </row>
    <row r="1179" spans="1:24" ht="18.75" customHeight="1">
      <c r="A1179" s="304" t="s">
        <v>84</v>
      </c>
      <c r="B1179" s="304"/>
      <c r="C1179" s="304"/>
      <c r="D1179" s="304"/>
      <c r="E1179" s="304"/>
      <c r="F1179" s="304"/>
      <c r="G1179" s="140" t="s">
        <v>41</v>
      </c>
      <c r="H1179" s="304">
        <f>SUM(H1175:J1178)</f>
        <v>0</v>
      </c>
      <c r="I1179" s="304"/>
      <c r="J1179" s="304"/>
      <c r="K1179" s="140" t="s">
        <v>47</v>
      </c>
      <c r="M1179" s="304" t="s">
        <v>84</v>
      </c>
      <c r="N1179" s="304"/>
      <c r="O1179" s="304"/>
      <c r="P1179" s="304"/>
      <c r="Q1179" s="304"/>
      <c r="R1179" s="304"/>
      <c r="S1179" s="140" t="s">
        <v>41</v>
      </c>
      <c r="T1179" s="304">
        <f t="shared" si="0"/>
        <v>0</v>
      </c>
      <c r="U1179" s="304"/>
      <c r="V1179" s="304"/>
      <c r="W1179" s="140" t="s">
        <v>47</v>
      </c>
    </row>
    <row r="1180" spans="1:24" ht="18.75" customHeight="1">
      <c r="A1180" s="304" t="s">
        <v>85</v>
      </c>
      <c r="B1180" s="304"/>
      <c r="C1180" s="304"/>
      <c r="D1180" s="304"/>
      <c r="E1180" s="304"/>
      <c r="F1180" s="304"/>
      <c r="G1180" s="140" t="s">
        <v>41</v>
      </c>
      <c r="H1180" s="304" t="e">
        <f>ROUND(H1172-H1179,-2)</f>
        <v>#DIV/0!</v>
      </c>
      <c r="I1180" s="304"/>
      <c r="J1180" s="304"/>
      <c r="K1180" s="140" t="s">
        <v>47</v>
      </c>
      <c r="M1180" s="304" t="s">
        <v>85</v>
      </c>
      <c r="N1180" s="304"/>
      <c r="O1180" s="304"/>
      <c r="P1180" s="304"/>
      <c r="Q1180" s="304"/>
      <c r="R1180" s="304"/>
      <c r="S1180" s="140" t="s">
        <v>41</v>
      </c>
      <c r="T1180" s="304">
        <f t="shared" si="0"/>
        <v>0</v>
      </c>
      <c r="U1180" s="304"/>
      <c r="V1180" s="304"/>
      <c r="W1180" s="140" t="s">
        <v>47</v>
      </c>
    </row>
    <row r="1181" spans="1:24" ht="18.75" customHeight="1">
      <c r="A1181" s="140"/>
      <c r="B1181" s="140"/>
      <c r="C1181" s="140"/>
      <c r="D1181" s="140"/>
      <c r="E1181" s="140"/>
      <c r="F1181" s="140"/>
      <c r="G1181" s="140"/>
      <c r="H1181" s="140"/>
      <c r="I1181" s="140"/>
      <c r="J1181" s="140"/>
      <c r="K1181" s="140"/>
      <c r="M1181" s="140"/>
      <c r="N1181" s="140"/>
      <c r="O1181" s="140"/>
      <c r="P1181" s="140"/>
      <c r="Q1181" s="140"/>
      <c r="R1181" s="140"/>
      <c r="S1181" s="140"/>
      <c r="T1181" s="140"/>
      <c r="U1181" s="140"/>
      <c r="V1181" s="140"/>
      <c r="W1181" s="140"/>
    </row>
    <row r="1182" spans="1:24" ht="18.75" customHeight="1">
      <c r="A1182" s="140"/>
      <c r="B1182" s="140"/>
      <c r="C1182" s="140"/>
      <c r="D1182" s="140"/>
      <c r="E1182" s="140"/>
      <c r="F1182" s="140"/>
      <c r="G1182" s="140"/>
      <c r="H1182" s="140"/>
      <c r="I1182" s="304" t="s">
        <v>86</v>
      </c>
      <c r="J1182" s="304"/>
      <c r="K1182" s="304"/>
      <c r="M1182" s="140"/>
      <c r="N1182" s="140"/>
      <c r="O1182" s="140"/>
      <c r="P1182" s="140"/>
      <c r="Q1182" s="140"/>
      <c r="R1182" s="140"/>
      <c r="S1182" s="140"/>
      <c r="T1182" s="140"/>
      <c r="U1182" s="304" t="s">
        <v>86</v>
      </c>
      <c r="V1182" s="304"/>
      <c r="W1182" s="304"/>
    </row>
    <row r="1183" spans="1:24" ht="18.75" customHeight="1">
      <c r="A1183" s="140"/>
      <c r="B1183" s="304"/>
      <c r="C1183" s="304"/>
      <c r="D1183" s="304"/>
      <c r="E1183" s="304"/>
      <c r="F1183" s="140"/>
      <c r="G1183" s="140"/>
      <c r="H1183" s="140"/>
      <c r="I1183" s="140"/>
      <c r="J1183" s="140"/>
      <c r="K1183" s="140"/>
      <c r="M1183" s="140"/>
      <c r="N1183" s="304"/>
      <c r="O1183" s="304"/>
      <c r="P1183" s="304"/>
      <c r="Q1183" s="304"/>
      <c r="R1183" s="140"/>
      <c r="S1183" s="140"/>
      <c r="T1183" s="140"/>
      <c r="U1183" s="140"/>
      <c r="V1183" s="140"/>
      <c r="W1183" s="140"/>
    </row>
    <row r="1184" spans="1:24" ht="18.75" customHeight="1">
      <c r="A1184" s="140"/>
      <c r="B1184" s="140"/>
      <c r="C1184" s="140"/>
      <c r="D1184" s="140"/>
      <c r="E1184" s="140"/>
      <c r="F1184" s="140"/>
      <c r="G1184" s="140"/>
      <c r="H1184" s="140"/>
      <c r="I1184" s="304" t="s">
        <v>87</v>
      </c>
      <c r="J1184" s="304"/>
      <c r="K1184" s="304"/>
      <c r="M1184" s="140"/>
      <c r="N1184" s="140"/>
      <c r="O1184" s="140"/>
      <c r="P1184" s="140"/>
      <c r="Q1184" s="140"/>
      <c r="R1184" s="140"/>
      <c r="S1184" s="140"/>
      <c r="T1184" s="140"/>
      <c r="U1184" s="304" t="s">
        <v>87</v>
      </c>
      <c r="V1184" s="304"/>
      <c r="W1184" s="304"/>
    </row>
  </sheetData>
  <mergeCells count="3456">
    <mergeCell ref="B1183:E1183"/>
    <mergeCell ref="N1183:Q1183"/>
    <mergeCell ref="I1184:K1184"/>
    <mergeCell ref="U1184:W1184"/>
    <mergeCell ref="A1180:F1180"/>
    <mergeCell ref="H1180:J1180"/>
    <mergeCell ref="M1180:R1180"/>
    <mergeCell ref="T1180:V1180"/>
    <mergeCell ref="I1182:K1182"/>
    <mergeCell ref="U1182:W1182"/>
    <mergeCell ref="A1178:F1178"/>
    <mergeCell ref="H1178:J1178"/>
    <mergeCell ref="M1178:R1178"/>
    <mergeCell ref="T1178:V1178"/>
    <mergeCell ref="A1179:F1179"/>
    <mergeCell ref="H1179:J1179"/>
    <mergeCell ref="M1179:R1179"/>
    <mergeCell ref="T1179:V1179"/>
    <mergeCell ref="A1176:F1176"/>
    <mergeCell ref="H1176:J1176"/>
    <mergeCell ref="M1176:R1176"/>
    <mergeCell ref="T1176:V1176"/>
    <mergeCell ref="A1177:F1177"/>
    <mergeCell ref="H1177:J1177"/>
    <mergeCell ref="M1177:R1177"/>
    <mergeCell ref="T1177:V1177"/>
    <mergeCell ref="A1174:F1174"/>
    <mergeCell ref="M1174:R1174"/>
    <mergeCell ref="A1175:F1175"/>
    <mergeCell ref="H1175:J1175"/>
    <mergeCell ref="M1175:R1175"/>
    <mergeCell ref="T1175:V1175"/>
    <mergeCell ref="I1171:J1171"/>
    <mergeCell ref="U1171:V1171"/>
    <mergeCell ref="A1172:F1172"/>
    <mergeCell ref="H1172:J1172"/>
    <mergeCell ref="M1172:R1172"/>
    <mergeCell ref="T1172:V1172"/>
    <mergeCell ref="E1169:G1169"/>
    <mergeCell ref="I1169:J1169"/>
    <mergeCell ref="Q1169:S1169"/>
    <mergeCell ref="U1169:V1169"/>
    <mergeCell ref="A1170:B1170"/>
    <mergeCell ref="I1170:J1170"/>
    <mergeCell ref="M1170:N1170"/>
    <mergeCell ref="U1170:V1170"/>
    <mergeCell ref="E1167:G1167"/>
    <mergeCell ref="I1167:J1167"/>
    <mergeCell ref="Q1167:S1167"/>
    <mergeCell ref="U1167:V1167"/>
    <mergeCell ref="I1168:J1168"/>
    <mergeCell ref="U1168:V1168"/>
    <mergeCell ref="E1165:G1165"/>
    <mergeCell ref="I1165:J1165"/>
    <mergeCell ref="Q1165:S1165"/>
    <mergeCell ref="U1165:V1165"/>
    <mergeCell ref="E1166:G1166"/>
    <mergeCell ref="I1166:J1166"/>
    <mergeCell ref="Q1166:S1166"/>
    <mergeCell ref="U1166:V1166"/>
    <mergeCell ref="E1163:G1163"/>
    <mergeCell ref="I1163:J1163"/>
    <mergeCell ref="Q1163:S1163"/>
    <mergeCell ref="U1163:V1163"/>
    <mergeCell ref="A1164:B1164"/>
    <mergeCell ref="E1164:G1164"/>
    <mergeCell ref="I1164:J1164"/>
    <mergeCell ref="M1164:N1164"/>
    <mergeCell ref="Q1164:S1164"/>
    <mergeCell ref="U1164:V1164"/>
    <mergeCell ref="E1161:G1161"/>
    <mergeCell ref="I1161:J1161"/>
    <mergeCell ref="Q1161:S1161"/>
    <mergeCell ref="U1161:V1161"/>
    <mergeCell ref="E1162:G1162"/>
    <mergeCell ref="I1162:J1162"/>
    <mergeCell ref="Q1162:S1162"/>
    <mergeCell ref="U1162:V1162"/>
    <mergeCell ref="E1159:G1159"/>
    <mergeCell ref="I1159:J1159"/>
    <mergeCell ref="Q1159:S1159"/>
    <mergeCell ref="U1159:V1159"/>
    <mergeCell ref="E1160:G1160"/>
    <mergeCell ref="I1160:J1160"/>
    <mergeCell ref="Q1160:S1160"/>
    <mergeCell ref="U1160:V1160"/>
    <mergeCell ref="A1155:K1155"/>
    <mergeCell ref="M1155:W1155"/>
    <mergeCell ref="A1156:D1156"/>
    <mergeCell ref="F1156:I1156"/>
    <mergeCell ref="M1156:P1156"/>
    <mergeCell ref="R1156:U1156"/>
    <mergeCell ref="A1153:D1153"/>
    <mergeCell ref="F1153:K1153"/>
    <mergeCell ref="M1153:P1153"/>
    <mergeCell ref="R1153:W1153"/>
    <mergeCell ref="A1154:D1154"/>
    <mergeCell ref="F1154:K1154"/>
    <mergeCell ref="M1154:P1154"/>
    <mergeCell ref="R1154:W1154"/>
    <mergeCell ref="A1151:K1151"/>
    <mergeCell ref="M1151:W1151"/>
    <mergeCell ref="A1152:D1152"/>
    <mergeCell ref="F1152:K1152"/>
    <mergeCell ref="M1152:P1152"/>
    <mergeCell ref="R1152:W1152"/>
    <mergeCell ref="B1146:E1146"/>
    <mergeCell ref="N1146:Q1146"/>
    <mergeCell ref="I1147:K1147"/>
    <mergeCell ref="U1147:W1147"/>
    <mergeCell ref="A1149:K1149"/>
    <mergeCell ref="M1149:W1149"/>
    <mergeCell ref="A1143:F1143"/>
    <mergeCell ref="H1143:J1143"/>
    <mergeCell ref="M1143:R1143"/>
    <mergeCell ref="T1143:V1143"/>
    <mergeCell ref="I1145:K1145"/>
    <mergeCell ref="U1145:W1145"/>
    <mergeCell ref="A1141:F1141"/>
    <mergeCell ref="H1141:J1141"/>
    <mergeCell ref="M1141:R1141"/>
    <mergeCell ref="T1141:V1141"/>
    <mergeCell ref="A1142:F1142"/>
    <mergeCell ref="H1142:J1142"/>
    <mergeCell ref="M1142:R1142"/>
    <mergeCell ref="T1142:V1142"/>
    <mergeCell ref="A1139:F1139"/>
    <mergeCell ref="H1139:J1139"/>
    <mergeCell ref="M1139:R1139"/>
    <mergeCell ref="T1139:V1139"/>
    <mergeCell ref="A1140:F1140"/>
    <mergeCell ref="H1140:J1140"/>
    <mergeCell ref="M1140:R1140"/>
    <mergeCell ref="T1140:V1140"/>
    <mergeCell ref="A1137:F1137"/>
    <mergeCell ref="M1137:R1137"/>
    <mergeCell ref="A1138:F1138"/>
    <mergeCell ref="H1138:J1138"/>
    <mergeCell ref="M1138:R1138"/>
    <mergeCell ref="T1138:V1138"/>
    <mergeCell ref="I1134:J1134"/>
    <mergeCell ref="U1134:V1134"/>
    <mergeCell ref="A1135:F1135"/>
    <mergeCell ref="H1135:J1135"/>
    <mergeCell ref="M1135:R1135"/>
    <mergeCell ref="T1135:V1135"/>
    <mergeCell ref="E1132:G1132"/>
    <mergeCell ref="I1132:J1132"/>
    <mergeCell ref="Q1132:S1132"/>
    <mergeCell ref="U1132:V1132"/>
    <mergeCell ref="A1133:B1133"/>
    <mergeCell ref="I1133:J1133"/>
    <mergeCell ref="M1133:N1133"/>
    <mergeCell ref="U1133:V1133"/>
    <mergeCell ref="E1130:G1130"/>
    <mergeCell ref="I1130:J1130"/>
    <mergeCell ref="Q1130:S1130"/>
    <mergeCell ref="U1130:V1130"/>
    <mergeCell ref="I1131:J1131"/>
    <mergeCell ref="U1131:V1131"/>
    <mergeCell ref="E1128:G1128"/>
    <mergeCell ref="I1128:J1128"/>
    <mergeCell ref="Q1128:S1128"/>
    <mergeCell ref="U1128:V1128"/>
    <mergeCell ref="E1129:G1129"/>
    <mergeCell ref="I1129:J1129"/>
    <mergeCell ref="Q1129:S1129"/>
    <mergeCell ref="U1129:V1129"/>
    <mergeCell ref="E1126:G1126"/>
    <mergeCell ref="I1126:J1126"/>
    <mergeCell ref="Q1126:S1126"/>
    <mergeCell ref="U1126:V1126"/>
    <mergeCell ref="A1127:B1127"/>
    <mergeCell ref="E1127:G1127"/>
    <mergeCell ref="I1127:J1127"/>
    <mergeCell ref="M1127:N1127"/>
    <mergeCell ref="Q1127:S1127"/>
    <mergeCell ref="U1127:V1127"/>
    <mergeCell ref="E1124:G1124"/>
    <mergeCell ref="I1124:J1124"/>
    <mergeCell ref="Q1124:S1124"/>
    <mergeCell ref="U1124:V1124"/>
    <mergeCell ref="E1125:G1125"/>
    <mergeCell ref="I1125:J1125"/>
    <mergeCell ref="Q1125:S1125"/>
    <mergeCell ref="U1125:V1125"/>
    <mergeCell ref="E1122:G1122"/>
    <mergeCell ref="I1122:J1122"/>
    <mergeCell ref="Q1122:S1122"/>
    <mergeCell ref="U1122:V1122"/>
    <mergeCell ref="E1123:G1123"/>
    <mergeCell ref="I1123:J1123"/>
    <mergeCell ref="Q1123:S1123"/>
    <mergeCell ref="U1123:V1123"/>
    <mergeCell ref="A1118:K1118"/>
    <mergeCell ref="M1118:W1118"/>
    <mergeCell ref="A1119:D1119"/>
    <mergeCell ref="F1119:I1119"/>
    <mergeCell ref="M1119:P1119"/>
    <mergeCell ref="R1119:U1119"/>
    <mergeCell ref="A1116:D1116"/>
    <mergeCell ref="F1116:K1116"/>
    <mergeCell ref="M1116:P1116"/>
    <mergeCell ref="R1116:W1116"/>
    <mergeCell ref="A1117:D1117"/>
    <mergeCell ref="F1117:K1117"/>
    <mergeCell ref="M1117:P1117"/>
    <mergeCell ref="R1117:W1117"/>
    <mergeCell ref="A1114:K1114"/>
    <mergeCell ref="M1114:W1114"/>
    <mergeCell ref="A1115:D1115"/>
    <mergeCell ref="F1115:K1115"/>
    <mergeCell ref="M1115:P1115"/>
    <mergeCell ref="R1115:W1115"/>
    <mergeCell ref="B1109:E1109"/>
    <mergeCell ref="N1109:Q1109"/>
    <mergeCell ref="I1110:K1110"/>
    <mergeCell ref="U1110:W1110"/>
    <mergeCell ref="A1112:K1112"/>
    <mergeCell ref="M1112:W1112"/>
    <mergeCell ref="A1106:F1106"/>
    <mergeCell ref="H1106:J1106"/>
    <mergeCell ref="M1106:R1106"/>
    <mergeCell ref="T1106:V1106"/>
    <mergeCell ref="I1108:K1108"/>
    <mergeCell ref="U1108:W1108"/>
    <mergeCell ref="A1104:F1104"/>
    <mergeCell ref="H1104:J1104"/>
    <mergeCell ref="M1104:R1104"/>
    <mergeCell ref="T1104:V1104"/>
    <mergeCell ref="A1105:F1105"/>
    <mergeCell ref="H1105:J1105"/>
    <mergeCell ref="M1105:R1105"/>
    <mergeCell ref="T1105:V1105"/>
    <mergeCell ref="A1102:F1102"/>
    <mergeCell ref="H1102:J1102"/>
    <mergeCell ref="M1102:R1102"/>
    <mergeCell ref="T1102:V1102"/>
    <mergeCell ref="A1103:F1103"/>
    <mergeCell ref="H1103:J1103"/>
    <mergeCell ref="M1103:R1103"/>
    <mergeCell ref="T1103:V1103"/>
    <mergeCell ref="A1100:F1100"/>
    <mergeCell ref="M1100:R1100"/>
    <mergeCell ref="A1101:F1101"/>
    <mergeCell ref="H1101:J1101"/>
    <mergeCell ref="M1101:R1101"/>
    <mergeCell ref="T1101:V1101"/>
    <mergeCell ref="I1097:J1097"/>
    <mergeCell ref="U1097:V1097"/>
    <mergeCell ref="A1098:F1098"/>
    <mergeCell ref="H1098:J1098"/>
    <mergeCell ref="M1098:R1098"/>
    <mergeCell ref="T1098:V1098"/>
    <mergeCell ref="E1095:G1095"/>
    <mergeCell ref="I1095:J1095"/>
    <mergeCell ref="Q1095:S1095"/>
    <mergeCell ref="U1095:V1095"/>
    <mergeCell ref="A1096:B1096"/>
    <mergeCell ref="I1096:J1096"/>
    <mergeCell ref="M1096:N1096"/>
    <mergeCell ref="U1096:V1096"/>
    <mergeCell ref="E1093:G1093"/>
    <mergeCell ref="I1093:J1093"/>
    <mergeCell ref="Q1093:S1093"/>
    <mergeCell ref="U1093:V1093"/>
    <mergeCell ref="I1094:J1094"/>
    <mergeCell ref="U1094:V1094"/>
    <mergeCell ref="E1091:G1091"/>
    <mergeCell ref="I1091:J1091"/>
    <mergeCell ref="Q1091:S1091"/>
    <mergeCell ref="U1091:V1091"/>
    <mergeCell ref="E1092:G1092"/>
    <mergeCell ref="I1092:J1092"/>
    <mergeCell ref="Q1092:S1092"/>
    <mergeCell ref="U1092:V1092"/>
    <mergeCell ref="E1089:G1089"/>
    <mergeCell ref="I1089:J1089"/>
    <mergeCell ref="Q1089:S1089"/>
    <mergeCell ref="U1089:V1089"/>
    <mergeCell ref="A1090:B1090"/>
    <mergeCell ref="E1090:G1090"/>
    <mergeCell ref="I1090:J1090"/>
    <mergeCell ref="M1090:N1090"/>
    <mergeCell ref="Q1090:S1090"/>
    <mergeCell ref="U1090:V1090"/>
    <mergeCell ref="E1087:G1087"/>
    <mergeCell ref="I1087:J1087"/>
    <mergeCell ref="Q1087:S1087"/>
    <mergeCell ref="U1087:V1087"/>
    <mergeCell ref="E1088:G1088"/>
    <mergeCell ref="I1088:J1088"/>
    <mergeCell ref="Q1088:S1088"/>
    <mergeCell ref="U1088:V1088"/>
    <mergeCell ref="E1085:G1085"/>
    <mergeCell ref="I1085:J1085"/>
    <mergeCell ref="Q1085:S1085"/>
    <mergeCell ref="U1085:V1085"/>
    <mergeCell ref="E1086:G1086"/>
    <mergeCell ref="I1086:J1086"/>
    <mergeCell ref="Q1086:S1086"/>
    <mergeCell ref="U1086:V1086"/>
    <mergeCell ref="A1081:K1081"/>
    <mergeCell ref="M1081:W1081"/>
    <mergeCell ref="A1082:D1082"/>
    <mergeCell ref="F1082:I1082"/>
    <mergeCell ref="M1082:P1082"/>
    <mergeCell ref="R1082:U1082"/>
    <mergeCell ref="A1079:D1079"/>
    <mergeCell ref="F1079:K1079"/>
    <mergeCell ref="M1079:P1079"/>
    <mergeCell ref="R1079:W1079"/>
    <mergeCell ref="A1080:D1080"/>
    <mergeCell ref="F1080:K1080"/>
    <mergeCell ref="M1080:P1080"/>
    <mergeCell ref="R1080:W1080"/>
    <mergeCell ref="A1077:K1077"/>
    <mergeCell ref="M1077:W1077"/>
    <mergeCell ref="A1078:D1078"/>
    <mergeCell ref="F1078:K1078"/>
    <mergeCell ref="M1078:P1078"/>
    <mergeCell ref="R1078:W1078"/>
    <mergeCell ref="B1072:E1072"/>
    <mergeCell ref="N1072:Q1072"/>
    <mergeCell ref="I1073:K1073"/>
    <mergeCell ref="U1073:W1073"/>
    <mergeCell ref="A1075:K1075"/>
    <mergeCell ref="M1075:W1075"/>
    <mergeCell ref="A1069:F1069"/>
    <mergeCell ref="H1069:J1069"/>
    <mergeCell ref="M1069:R1069"/>
    <mergeCell ref="T1069:V1069"/>
    <mergeCell ref="I1071:K1071"/>
    <mergeCell ref="U1071:W1071"/>
    <mergeCell ref="A1067:F1067"/>
    <mergeCell ref="H1067:J1067"/>
    <mergeCell ref="M1067:R1067"/>
    <mergeCell ref="T1067:V1067"/>
    <mergeCell ref="A1068:F1068"/>
    <mergeCell ref="H1068:J1068"/>
    <mergeCell ref="M1068:R1068"/>
    <mergeCell ref="T1068:V1068"/>
    <mergeCell ref="A1065:F1065"/>
    <mergeCell ref="H1065:J1065"/>
    <mergeCell ref="M1065:R1065"/>
    <mergeCell ref="T1065:V1065"/>
    <mergeCell ref="A1066:F1066"/>
    <mergeCell ref="H1066:J1066"/>
    <mergeCell ref="M1066:R1066"/>
    <mergeCell ref="T1066:V1066"/>
    <mergeCell ref="A1063:F1063"/>
    <mergeCell ref="M1063:R1063"/>
    <mergeCell ref="A1064:F1064"/>
    <mergeCell ref="H1064:J1064"/>
    <mergeCell ref="M1064:R1064"/>
    <mergeCell ref="T1064:V1064"/>
    <mergeCell ref="I1060:J1060"/>
    <mergeCell ref="U1060:V1060"/>
    <mergeCell ref="A1061:F1061"/>
    <mergeCell ref="H1061:J1061"/>
    <mergeCell ref="M1061:R1061"/>
    <mergeCell ref="T1061:V1061"/>
    <mergeCell ref="E1058:G1058"/>
    <mergeCell ref="I1058:J1058"/>
    <mergeCell ref="Q1058:S1058"/>
    <mergeCell ref="U1058:V1058"/>
    <mergeCell ref="A1059:B1059"/>
    <mergeCell ref="I1059:J1059"/>
    <mergeCell ref="M1059:N1059"/>
    <mergeCell ref="U1059:V1059"/>
    <mergeCell ref="E1056:G1056"/>
    <mergeCell ref="I1056:J1056"/>
    <mergeCell ref="Q1056:S1056"/>
    <mergeCell ref="U1056:V1056"/>
    <mergeCell ref="I1057:J1057"/>
    <mergeCell ref="U1057:V1057"/>
    <mergeCell ref="E1054:G1054"/>
    <mergeCell ref="I1054:J1054"/>
    <mergeCell ref="Q1054:S1054"/>
    <mergeCell ref="U1054:V1054"/>
    <mergeCell ref="E1055:G1055"/>
    <mergeCell ref="I1055:J1055"/>
    <mergeCell ref="Q1055:S1055"/>
    <mergeCell ref="U1055:V1055"/>
    <mergeCell ref="E1052:G1052"/>
    <mergeCell ref="I1052:J1052"/>
    <mergeCell ref="Q1052:S1052"/>
    <mergeCell ref="U1052:V1052"/>
    <mergeCell ref="A1053:B1053"/>
    <mergeCell ref="E1053:G1053"/>
    <mergeCell ref="I1053:J1053"/>
    <mergeCell ref="M1053:N1053"/>
    <mergeCell ref="Q1053:S1053"/>
    <mergeCell ref="U1053:V1053"/>
    <mergeCell ref="E1050:G1050"/>
    <mergeCell ref="I1050:J1050"/>
    <mergeCell ref="Q1050:S1050"/>
    <mergeCell ref="U1050:V1050"/>
    <mergeCell ref="E1051:G1051"/>
    <mergeCell ref="I1051:J1051"/>
    <mergeCell ref="Q1051:S1051"/>
    <mergeCell ref="U1051:V1051"/>
    <mergeCell ref="E1048:G1048"/>
    <mergeCell ref="I1048:J1048"/>
    <mergeCell ref="Q1048:S1048"/>
    <mergeCell ref="U1048:V1048"/>
    <mergeCell ref="E1049:G1049"/>
    <mergeCell ref="I1049:J1049"/>
    <mergeCell ref="Q1049:S1049"/>
    <mergeCell ref="U1049:V1049"/>
    <mergeCell ref="A1044:K1044"/>
    <mergeCell ref="M1044:W1044"/>
    <mergeCell ref="A1045:D1045"/>
    <mergeCell ref="F1045:I1045"/>
    <mergeCell ref="M1045:P1045"/>
    <mergeCell ref="R1045:U1045"/>
    <mergeCell ref="A1042:D1042"/>
    <mergeCell ref="F1042:K1042"/>
    <mergeCell ref="M1042:P1042"/>
    <mergeCell ref="R1042:W1042"/>
    <mergeCell ref="A1043:D1043"/>
    <mergeCell ref="F1043:K1043"/>
    <mergeCell ref="M1043:P1043"/>
    <mergeCell ref="R1043:W1043"/>
    <mergeCell ref="A1040:K1040"/>
    <mergeCell ref="M1040:W1040"/>
    <mergeCell ref="A1041:D1041"/>
    <mergeCell ref="F1041:K1041"/>
    <mergeCell ref="M1041:P1041"/>
    <mergeCell ref="R1041:W1041"/>
    <mergeCell ref="B1035:E1035"/>
    <mergeCell ref="N1035:Q1035"/>
    <mergeCell ref="I1036:K1036"/>
    <mergeCell ref="U1036:W1036"/>
    <mergeCell ref="A1038:K1038"/>
    <mergeCell ref="M1038:W1038"/>
    <mergeCell ref="A1032:F1032"/>
    <mergeCell ref="H1032:J1032"/>
    <mergeCell ref="M1032:R1032"/>
    <mergeCell ref="T1032:V1032"/>
    <mergeCell ref="I1034:K1034"/>
    <mergeCell ref="U1034:W1034"/>
    <mergeCell ref="A1030:F1030"/>
    <mergeCell ref="H1030:J1030"/>
    <mergeCell ref="M1030:R1030"/>
    <mergeCell ref="T1030:V1030"/>
    <mergeCell ref="A1031:F1031"/>
    <mergeCell ref="H1031:J1031"/>
    <mergeCell ref="M1031:R1031"/>
    <mergeCell ref="T1031:V1031"/>
    <mergeCell ref="A1028:F1028"/>
    <mergeCell ref="H1028:J1028"/>
    <mergeCell ref="M1028:R1028"/>
    <mergeCell ref="T1028:V1028"/>
    <mergeCell ref="A1029:F1029"/>
    <mergeCell ref="H1029:J1029"/>
    <mergeCell ref="M1029:R1029"/>
    <mergeCell ref="T1029:V1029"/>
    <mergeCell ref="A1026:F1026"/>
    <mergeCell ref="M1026:R1026"/>
    <mergeCell ref="A1027:F1027"/>
    <mergeCell ref="H1027:J1027"/>
    <mergeCell ref="M1027:R1027"/>
    <mergeCell ref="T1027:V1027"/>
    <mergeCell ref="I1023:J1023"/>
    <mergeCell ref="U1023:V1023"/>
    <mergeCell ref="A1024:F1024"/>
    <mergeCell ref="H1024:J1024"/>
    <mergeCell ref="M1024:R1024"/>
    <mergeCell ref="T1024:V1024"/>
    <mergeCell ref="E1021:G1021"/>
    <mergeCell ref="I1021:J1021"/>
    <mergeCell ref="Q1021:S1021"/>
    <mergeCell ref="U1021:V1021"/>
    <mergeCell ref="A1022:B1022"/>
    <mergeCell ref="I1022:J1022"/>
    <mergeCell ref="M1022:N1022"/>
    <mergeCell ref="U1022:V1022"/>
    <mergeCell ref="E1019:G1019"/>
    <mergeCell ref="I1019:J1019"/>
    <mergeCell ref="Q1019:S1019"/>
    <mergeCell ref="U1019:V1019"/>
    <mergeCell ref="I1020:J1020"/>
    <mergeCell ref="U1020:V1020"/>
    <mergeCell ref="E1017:G1017"/>
    <mergeCell ref="I1017:J1017"/>
    <mergeCell ref="Q1017:S1017"/>
    <mergeCell ref="U1017:V1017"/>
    <mergeCell ref="E1018:G1018"/>
    <mergeCell ref="I1018:J1018"/>
    <mergeCell ref="Q1018:S1018"/>
    <mergeCell ref="U1018:V1018"/>
    <mergeCell ref="E1015:G1015"/>
    <mergeCell ref="I1015:J1015"/>
    <mergeCell ref="Q1015:S1015"/>
    <mergeCell ref="U1015:V1015"/>
    <mergeCell ref="A1016:B1016"/>
    <mergeCell ref="E1016:G1016"/>
    <mergeCell ref="I1016:J1016"/>
    <mergeCell ref="M1016:N1016"/>
    <mergeCell ref="Q1016:S1016"/>
    <mergeCell ref="U1016:V1016"/>
    <mergeCell ref="E1013:G1013"/>
    <mergeCell ref="I1013:J1013"/>
    <mergeCell ref="Q1013:S1013"/>
    <mergeCell ref="U1013:V1013"/>
    <mergeCell ref="E1014:G1014"/>
    <mergeCell ref="I1014:J1014"/>
    <mergeCell ref="Q1014:S1014"/>
    <mergeCell ref="U1014:V1014"/>
    <mergeCell ref="E1011:G1011"/>
    <mergeCell ref="I1011:J1011"/>
    <mergeCell ref="Q1011:S1011"/>
    <mergeCell ref="U1011:V1011"/>
    <mergeCell ref="E1012:G1012"/>
    <mergeCell ref="I1012:J1012"/>
    <mergeCell ref="Q1012:S1012"/>
    <mergeCell ref="U1012:V1012"/>
    <mergeCell ref="A1007:K1007"/>
    <mergeCell ref="M1007:W1007"/>
    <mergeCell ref="A1008:D1008"/>
    <mergeCell ref="F1008:I1008"/>
    <mergeCell ref="M1008:P1008"/>
    <mergeCell ref="R1008:U1008"/>
    <mergeCell ref="A1005:D1005"/>
    <mergeCell ref="F1005:K1005"/>
    <mergeCell ref="M1005:P1005"/>
    <mergeCell ref="R1005:W1005"/>
    <mergeCell ref="A1006:D1006"/>
    <mergeCell ref="F1006:K1006"/>
    <mergeCell ref="M1006:P1006"/>
    <mergeCell ref="R1006:W1006"/>
    <mergeCell ref="A1003:K1003"/>
    <mergeCell ref="M1003:W1003"/>
    <mergeCell ref="A1004:D1004"/>
    <mergeCell ref="F1004:K1004"/>
    <mergeCell ref="M1004:P1004"/>
    <mergeCell ref="R1004:W1004"/>
    <mergeCell ref="B998:E998"/>
    <mergeCell ref="N998:Q998"/>
    <mergeCell ref="I999:K999"/>
    <mergeCell ref="U999:W999"/>
    <mergeCell ref="A1001:K1001"/>
    <mergeCell ref="M1001:W1001"/>
    <mergeCell ref="A995:F995"/>
    <mergeCell ref="H995:J995"/>
    <mergeCell ref="M995:R995"/>
    <mergeCell ref="T995:V995"/>
    <mergeCell ref="I997:K997"/>
    <mergeCell ref="U997:W997"/>
    <mergeCell ref="A993:F993"/>
    <mergeCell ref="H993:J993"/>
    <mergeCell ref="M993:R993"/>
    <mergeCell ref="T993:V993"/>
    <mergeCell ref="A994:F994"/>
    <mergeCell ref="H994:J994"/>
    <mergeCell ref="M994:R994"/>
    <mergeCell ref="T994:V994"/>
    <mergeCell ref="A991:F991"/>
    <mergeCell ref="H991:J991"/>
    <mergeCell ref="M991:R991"/>
    <mergeCell ref="T991:V991"/>
    <mergeCell ref="A992:F992"/>
    <mergeCell ref="H992:J992"/>
    <mergeCell ref="M992:R992"/>
    <mergeCell ref="T992:V992"/>
    <mergeCell ref="A989:F989"/>
    <mergeCell ref="M989:R989"/>
    <mergeCell ref="A990:F990"/>
    <mergeCell ref="H990:J990"/>
    <mergeCell ref="M990:R990"/>
    <mergeCell ref="T990:V990"/>
    <mergeCell ref="I986:J986"/>
    <mergeCell ref="U986:V986"/>
    <mergeCell ref="A987:F987"/>
    <mergeCell ref="H987:J987"/>
    <mergeCell ref="M987:R987"/>
    <mergeCell ref="T987:V987"/>
    <mergeCell ref="E984:G984"/>
    <mergeCell ref="I984:J984"/>
    <mergeCell ref="Q984:S984"/>
    <mergeCell ref="U984:V984"/>
    <mergeCell ref="A985:B985"/>
    <mergeCell ref="I985:J985"/>
    <mergeCell ref="M985:N985"/>
    <mergeCell ref="U985:V985"/>
    <mergeCell ref="E982:G982"/>
    <mergeCell ref="I982:J982"/>
    <mergeCell ref="Q982:S982"/>
    <mergeCell ref="U982:V982"/>
    <mergeCell ref="I983:J983"/>
    <mergeCell ref="U983:V983"/>
    <mergeCell ref="E980:G980"/>
    <mergeCell ref="I980:J980"/>
    <mergeCell ref="Q980:S980"/>
    <mergeCell ref="U980:V980"/>
    <mergeCell ref="E981:G981"/>
    <mergeCell ref="I981:J981"/>
    <mergeCell ref="Q981:S981"/>
    <mergeCell ref="U981:V981"/>
    <mergeCell ref="E978:G978"/>
    <mergeCell ref="I978:J978"/>
    <mergeCell ref="Q978:S978"/>
    <mergeCell ref="U978:V978"/>
    <mergeCell ref="A979:B979"/>
    <mergeCell ref="E979:G979"/>
    <mergeCell ref="I979:J979"/>
    <mergeCell ref="M979:N979"/>
    <mergeCell ref="Q979:S979"/>
    <mergeCell ref="U979:V979"/>
    <mergeCell ref="E976:G976"/>
    <mergeCell ref="I976:J976"/>
    <mergeCell ref="Q976:S976"/>
    <mergeCell ref="U976:V976"/>
    <mergeCell ref="E977:G977"/>
    <mergeCell ref="I977:J977"/>
    <mergeCell ref="Q977:S977"/>
    <mergeCell ref="U977:V977"/>
    <mergeCell ref="E974:G974"/>
    <mergeCell ref="I974:J974"/>
    <mergeCell ref="Q974:S974"/>
    <mergeCell ref="U974:V974"/>
    <mergeCell ref="E975:G975"/>
    <mergeCell ref="I975:J975"/>
    <mergeCell ref="Q975:S975"/>
    <mergeCell ref="U975:V975"/>
    <mergeCell ref="A970:K970"/>
    <mergeCell ref="M970:W970"/>
    <mergeCell ref="A971:D971"/>
    <mergeCell ref="F971:I971"/>
    <mergeCell ref="M971:P971"/>
    <mergeCell ref="R971:U971"/>
    <mergeCell ref="A968:D968"/>
    <mergeCell ref="F968:K968"/>
    <mergeCell ref="M968:P968"/>
    <mergeCell ref="R968:W968"/>
    <mergeCell ref="A969:D969"/>
    <mergeCell ref="F969:K969"/>
    <mergeCell ref="M969:P969"/>
    <mergeCell ref="R969:W969"/>
    <mergeCell ref="A966:K966"/>
    <mergeCell ref="M966:W966"/>
    <mergeCell ref="A967:D967"/>
    <mergeCell ref="F967:K967"/>
    <mergeCell ref="M967:P967"/>
    <mergeCell ref="R967:W967"/>
    <mergeCell ref="B961:E961"/>
    <mergeCell ref="N961:Q961"/>
    <mergeCell ref="I962:K962"/>
    <mergeCell ref="U962:W962"/>
    <mergeCell ref="A964:K964"/>
    <mergeCell ref="M964:W964"/>
    <mergeCell ref="A958:F958"/>
    <mergeCell ref="H958:J958"/>
    <mergeCell ref="M958:R958"/>
    <mergeCell ref="T958:V958"/>
    <mergeCell ref="I960:K960"/>
    <mergeCell ref="U960:W960"/>
    <mergeCell ref="A956:F956"/>
    <mergeCell ref="H956:J956"/>
    <mergeCell ref="M956:R956"/>
    <mergeCell ref="T956:V956"/>
    <mergeCell ref="A957:F957"/>
    <mergeCell ref="H957:J957"/>
    <mergeCell ref="M957:R957"/>
    <mergeCell ref="T957:V957"/>
    <mergeCell ref="A954:F954"/>
    <mergeCell ref="H954:J954"/>
    <mergeCell ref="M954:R954"/>
    <mergeCell ref="T954:V954"/>
    <mergeCell ref="A955:F955"/>
    <mergeCell ref="H955:J955"/>
    <mergeCell ref="M955:R955"/>
    <mergeCell ref="T955:V955"/>
    <mergeCell ref="A952:F952"/>
    <mergeCell ref="M952:R952"/>
    <mergeCell ref="A953:F953"/>
    <mergeCell ref="H953:J953"/>
    <mergeCell ref="M953:R953"/>
    <mergeCell ref="T953:V953"/>
    <mergeCell ref="I949:J949"/>
    <mergeCell ref="U949:V949"/>
    <mergeCell ref="A950:F950"/>
    <mergeCell ref="H950:J950"/>
    <mergeCell ref="M950:R950"/>
    <mergeCell ref="T950:V950"/>
    <mergeCell ref="E947:G947"/>
    <mergeCell ref="I947:J947"/>
    <mergeCell ref="Q947:S947"/>
    <mergeCell ref="U947:V947"/>
    <mergeCell ref="A948:B948"/>
    <mergeCell ref="I948:J948"/>
    <mergeCell ref="M948:N948"/>
    <mergeCell ref="U948:V948"/>
    <mergeCell ref="E945:G945"/>
    <mergeCell ref="I945:J945"/>
    <mergeCell ref="Q945:S945"/>
    <mergeCell ref="U945:V945"/>
    <mergeCell ref="I946:J946"/>
    <mergeCell ref="U946:V946"/>
    <mergeCell ref="E943:G943"/>
    <mergeCell ref="I943:J943"/>
    <mergeCell ref="Q943:S943"/>
    <mergeCell ref="U943:V943"/>
    <mergeCell ref="E944:G944"/>
    <mergeCell ref="I944:J944"/>
    <mergeCell ref="Q944:S944"/>
    <mergeCell ref="U944:V944"/>
    <mergeCell ref="E941:G941"/>
    <mergeCell ref="I941:J941"/>
    <mergeCell ref="Q941:S941"/>
    <mergeCell ref="U941:V941"/>
    <mergeCell ref="A942:B942"/>
    <mergeCell ref="E942:G942"/>
    <mergeCell ref="I942:J942"/>
    <mergeCell ref="M942:N942"/>
    <mergeCell ref="Q942:S942"/>
    <mergeCell ref="U942:V942"/>
    <mergeCell ref="E939:G939"/>
    <mergeCell ref="I939:J939"/>
    <mergeCell ref="Q939:S939"/>
    <mergeCell ref="U939:V939"/>
    <mergeCell ref="E940:G940"/>
    <mergeCell ref="I940:J940"/>
    <mergeCell ref="Q940:S940"/>
    <mergeCell ref="U940:V940"/>
    <mergeCell ref="E937:G937"/>
    <mergeCell ref="I937:J937"/>
    <mergeCell ref="Q937:S937"/>
    <mergeCell ref="U937:V937"/>
    <mergeCell ref="E938:G938"/>
    <mergeCell ref="I938:J938"/>
    <mergeCell ref="Q938:S938"/>
    <mergeCell ref="U938:V938"/>
    <mergeCell ref="A933:K933"/>
    <mergeCell ref="M933:W933"/>
    <mergeCell ref="A934:D934"/>
    <mergeCell ref="F934:I934"/>
    <mergeCell ref="M934:P934"/>
    <mergeCell ref="R934:U934"/>
    <mergeCell ref="A931:D931"/>
    <mergeCell ref="F931:K931"/>
    <mergeCell ref="M931:P931"/>
    <mergeCell ref="R931:W931"/>
    <mergeCell ref="A932:D932"/>
    <mergeCell ref="F932:K932"/>
    <mergeCell ref="M932:P932"/>
    <mergeCell ref="R932:W932"/>
    <mergeCell ref="A929:K929"/>
    <mergeCell ref="M929:W929"/>
    <mergeCell ref="A930:D930"/>
    <mergeCell ref="F930:K930"/>
    <mergeCell ref="M930:P930"/>
    <mergeCell ref="R930:W930"/>
    <mergeCell ref="B924:E924"/>
    <mergeCell ref="N924:Q924"/>
    <mergeCell ref="I925:K925"/>
    <mergeCell ref="U925:W925"/>
    <mergeCell ref="A927:K927"/>
    <mergeCell ref="M927:W927"/>
    <mergeCell ref="A921:F921"/>
    <mergeCell ref="H921:J921"/>
    <mergeCell ref="M921:R921"/>
    <mergeCell ref="T921:V921"/>
    <mergeCell ref="I923:K923"/>
    <mergeCell ref="U923:W923"/>
    <mergeCell ref="A919:F919"/>
    <mergeCell ref="H919:J919"/>
    <mergeCell ref="M919:R919"/>
    <mergeCell ref="T919:V919"/>
    <mergeCell ref="A920:F920"/>
    <mergeCell ref="H920:J920"/>
    <mergeCell ref="M920:R920"/>
    <mergeCell ref="T920:V920"/>
    <mergeCell ref="A917:F917"/>
    <mergeCell ref="H917:J917"/>
    <mergeCell ref="M917:R917"/>
    <mergeCell ref="T917:V917"/>
    <mergeCell ref="A918:F918"/>
    <mergeCell ref="H918:J918"/>
    <mergeCell ref="M918:R918"/>
    <mergeCell ref="T918:V918"/>
    <mergeCell ref="A915:F915"/>
    <mergeCell ref="M915:R915"/>
    <mergeCell ref="A916:F916"/>
    <mergeCell ref="H916:J916"/>
    <mergeCell ref="M916:R916"/>
    <mergeCell ref="T916:V916"/>
    <mergeCell ref="I912:J912"/>
    <mergeCell ref="U912:V912"/>
    <mergeCell ref="A913:F913"/>
    <mergeCell ref="H913:J913"/>
    <mergeCell ref="M913:R913"/>
    <mergeCell ref="T913:V913"/>
    <mergeCell ref="E910:G910"/>
    <mergeCell ref="I910:J910"/>
    <mergeCell ref="Q910:S910"/>
    <mergeCell ref="U910:V910"/>
    <mergeCell ref="A911:B911"/>
    <mergeCell ref="I911:J911"/>
    <mergeCell ref="M911:N911"/>
    <mergeCell ref="U911:V911"/>
    <mergeCell ref="E908:G908"/>
    <mergeCell ref="I908:J908"/>
    <mergeCell ref="Q908:S908"/>
    <mergeCell ref="U908:V908"/>
    <mergeCell ref="I909:J909"/>
    <mergeCell ref="U909:V909"/>
    <mergeCell ref="E906:G906"/>
    <mergeCell ref="I906:J906"/>
    <mergeCell ref="Q906:S906"/>
    <mergeCell ref="U906:V906"/>
    <mergeCell ref="E907:G907"/>
    <mergeCell ref="I907:J907"/>
    <mergeCell ref="Q907:S907"/>
    <mergeCell ref="U907:V907"/>
    <mergeCell ref="E904:G904"/>
    <mergeCell ref="I904:J904"/>
    <mergeCell ref="Q904:S904"/>
    <mergeCell ref="U904:V904"/>
    <mergeCell ref="A905:B905"/>
    <mergeCell ref="E905:G905"/>
    <mergeCell ref="I905:J905"/>
    <mergeCell ref="M905:N905"/>
    <mergeCell ref="Q905:S905"/>
    <mergeCell ref="U905:V905"/>
    <mergeCell ref="E902:G902"/>
    <mergeCell ref="I902:J902"/>
    <mergeCell ref="Q902:S902"/>
    <mergeCell ref="U902:V902"/>
    <mergeCell ref="E903:G903"/>
    <mergeCell ref="I903:J903"/>
    <mergeCell ref="Q903:S903"/>
    <mergeCell ref="U903:V903"/>
    <mergeCell ref="E900:G900"/>
    <mergeCell ref="I900:J900"/>
    <mergeCell ref="Q900:S900"/>
    <mergeCell ref="U900:V900"/>
    <mergeCell ref="E901:G901"/>
    <mergeCell ref="I901:J901"/>
    <mergeCell ref="Q901:S901"/>
    <mergeCell ref="U901:V901"/>
    <mergeCell ref="A896:K896"/>
    <mergeCell ref="M896:W896"/>
    <mergeCell ref="A897:D897"/>
    <mergeCell ref="F897:I897"/>
    <mergeCell ref="M897:P897"/>
    <mergeCell ref="R897:U897"/>
    <mergeCell ref="A894:D894"/>
    <mergeCell ref="F894:K894"/>
    <mergeCell ref="M894:P894"/>
    <mergeCell ref="R894:W894"/>
    <mergeCell ref="A895:D895"/>
    <mergeCell ref="F895:K895"/>
    <mergeCell ref="M895:P895"/>
    <mergeCell ref="R895:W895"/>
    <mergeCell ref="A892:K892"/>
    <mergeCell ref="M892:W892"/>
    <mergeCell ref="A893:D893"/>
    <mergeCell ref="F893:K893"/>
    <mergeCell ref="M893:P893"/>
    <mergeCell ref="R893:W893"/>
    <mergeCell ref="B887:E887"/>
    <mergeCell ref="N887:Q887"/>
    <mergeCell ref="I888:K888"/>
    <mergeCell ref="U888:W888"/>
    <mergeCell ref="A890:K890"/>
    <mergeCell ref="M890:W890"/>
    <mergeCell ref="A884:F884"/>
    <mergeCell ref="H884:J884"/>
    <mergeCell ref="M884:R884"/>
    <mergeCell ref="T884:V884"/>
    <mergeCell ref="I886:K886"/>
    <mergeCell ref="U886:W886"/>
    <mergeCell ref="A882:F882"/>
    <mergeCell ref="H882:J882"/>
    <mergeCell ref="M882:R882"/>
    <mergeCell ref="T882:V882"/>
    <mergeCell ref="A883:F883"/>
    <mergeCell ref="H883:J883"/>
    <mergeCell ref="M883:R883"/>
    <mergeCell ref="T883:V883"/>
    <mergeCell ref="A880:F880"/>
    <mergeCell ref="H880:J880"/>
    <mergeCell ref="M880:R880"/>
    <mergeCell ref="T880:V880"/>
    <mergeCell ref="A881:F881"/>
    <mergeCell ref="H881:J881"/>
    <mergeCell ref="M881:R881"/>
    <mergeCell ref="T881:V881"/>
    <mergeCell ref="A878:F878"/>
    <mergeCell ref="M878:R878"/>
    <mergeCell ref="A879:F879"/>
    <mergeCell ref="H879:J879"/>
    <mergeCell ref="M879:R879"/>
    <mergeCell ref="T879:V879"/>
    <mergeCell ref="I875:J875"/>
    <mergeCell ref="U875:V875"/>
    <mergeCell ref="A876:F876"/>
    <mergeCell ref="H876:J876"/>
    <mergeCell ref="M876:R876"/>
    <mergeCell ref="T876:V876"/>
    <mergeCell ref="E873:G873"/>
    <mergeCell ref="I873:J873"/>
    <mergeCell ref="Q873:S873"/>
    <mergeCell ref="U873:V873"/>
    <mergeCell ref="A874:B874"/>
    <mergeCell ref="I874:J874"/>
    <mergeCell ref="M874:N874"/>
    <mergeCell ref="U874:V874"/>
    <mergeCell ref="E871:G871"/>
    <mergeCell ref="I871:J871"/>
    <mergeCell ref="Q871:S871"/>
    <mergeCell ref="U871:V871"/>
    <mergeCell ref="I872:J872"/>
    <mergeCell ref="U872:V872"/>
    <mergeCell ref="E869:G869"/>
    <mergeCell ref="I869:J869"/>
    <mergeCell ref="Q869:S869"/>
    <mergeCell ref="U869:V869"/>
    <mergeCell ref="E870:G870"/>
    <mergeCell ref="I870:J870"/>
    <mergeCell ref="Q870:S870"/>
    <mergeCell ref="U870:V870"/>
    <mergeCell ref="E867:G867"/>
    <mergeCell ref="I867:J867"/>
    <mergeCell ref="Q867:S867"/>
    <mergeCell ref="U867:V867"/>
    <mergeCell ref="A868:B868"/>
    <mergeCell ref="E868:G868"/>
    <mergeCell ref="I868:J868"/>
    <mergeCell ref="M868:N868"/>
    <mergeCell ref="Q868:S868"/>
    <mergeCell ref="U868:V868"/>
    <mergeCell ref="E865:G865"/>
    <mergeCell ref="I865:J865"/>
    <mergeCell ref="Q865:S865"/>
    <mergeCell ref="U865:V865"/>
    <mergeCell ref="E866:G866"/>
    <mergeCell ref="I866:J866"/>
    <mergeCell ref="Q866:S866"/>
    <mergeCell ref="U866:V866"/>
    <mergeCell ref="E863:G863"/>
    <mergeCell ref="I863:J863"/>
    <mergeCell ref="Q863:S863"/>
    <mergeCell ref="U863:V863"/>
    <mergeCell ref="E864:G864"/>
    <mergeCell ref="I864:J864"/>
    <mergeCell ref="Q864:S864"/>
    <mergeCell ref="U864:V864"/>
    <mergeCell ref="A859:K859"/>
    <mergeCell ref="M859:W859"/>
    <mergeCell ref="A860:D860"/>
    <mergeCell ref="F860:I860"/>
    <mergeCell ref="M860:P860"/>
    <mergeCell ref="R860:U860"/>
    <mergeCell ref="A857:D857"/>
    <mergeCell ref="F857:K857"/>
    <mergeCell ref="M857:P857"/>
    <mergeCell ref="R857:W857"/>
    <mergeCell ref="A858:D858"/>
    <mergeCell ref="F858:K858"/>
    <mergeCell ref="M858:P858"/>
    <mergeCell ref="R858:W858"/>
    <mergeCell ref="A855:K855"/>
    <mergeCell ref="M855:W855"/>
    <mergeCell ref="A856:D856"/>
    <mergeCell ref="F856:K856"/>
    <mergeCell ref="M856:P856"/>
    <mergeCell ref="R856:W856"/>
    <mergeCell ref="B850:E850"/>
    <mergeCell ref="N850:Q850"/>
    <mergeCell ref="I851:K851"/>
    <mergeCell ref="U851:W851"/>
    <mergeCell ref="A853:K853"/>
    <mergeCell ref="M853:W853"/>
    <mergeCell ref="A847:F847"/>
    <mergeCell ref="H847:J847"/>
    <mergeCell ref="M847:R847"/>
    <mergeCell ref="T847:V847"/>
    <mergeCell ref="I849:K849"/>
    <mergeCell ref="U849:W849"/>
    <mergeCell ref="A845:F845"/>
    <mergeCell ref="H845:J845"/>
    <mergeCell ref="M845:R845"/>
    <mergeCell ref="T845:V845"/>
    <mergeCell ref="A846:F846"/>
    <mergeCell ref="H846:J846"/>
    <mergeCell ref="M846:R846"/>
    <mergeCell ref="T846:V846"/>
    <mergeCell ref="A843:F843"/>
    <mergeCell ref="H843:J843"/>
    <mergeCell ref="M843:R843"/>
    <mergeCell ref="T843:V843"/>
    <mergeCell ref="A844:F844"/>
    <mergeCell ref="H844:J844"/>
    <mergeCell ref="M844:R844"/>
    <mergeCell ref="T844:V844"/>
    <mergeCell ref="A841:F841"/>
    <mergeCell ref="M841:R841"/>
    <mergeCell ref="A842:F842"/>
    <mergeCell ref="H842:J842"/>
    <mergeCell ref="M842:R842"/>
    <mergeCell ref="T842:V842"/>
    <mergeCell ref="I838:J838"/>
    <mergeCell ref="U838:V838"/>
    <mergeCell ref="A839:F839"/>
    <mergeCell ref="H839:J839"/>
    <mergeCell ref="M839:R839"/>
    <mergeCell ref="T839:V839"/>
    <mergeCell ref="E836:G836"/>
    <mergeCell ref="I836:J836"/>
    <mergeCell ref="Q836:S836"/>
    <mergeCell ref="U836:V836"/>
    <mergeCell ref="A837:B837"/>
    <mergeCell ref="I837:J837"/>
    <mergeCell ref="M837:N837"/>
    <mergeCell ref="U837:V837"/>
    <mergeCell ref="E834:G834"/>
    <mergeCell ref="I834:J834"/>
    <mergeCell ref="Q834:S834"/>
    <mergeCell ref="U834:V834"/>
    <mergeCell ref="I835:J835"/>
    <mergeCell ref="U835:V835"/>
    <mergeCell ref="E832:G832"/>
    <mergeCell ref="I832:J832"/>
    <mergeCell ref="Q832:S832"/>
    <mergeCell ref="U832:V832"/>
    <mergeCell ref="E833:G833"/>
    <mergeCell ref="I833:J833"/>
    <mergeCell ref="Q833:S833"/>
    <mergeCell ref="U833:V833"/>
    <mergeCell ref="E830:G830"/>
    <mergeCell ref="I830:J830"/>
    <mergeCell ref="Q830:S830"/>
    <mergeCell ref="U830:V830"/>
    <mergeCell ref="A831:B831"/>
    <mergeCell ref="E831:G831"/>
    <mergeCell ref="I831:J831"/>
    <mergeCell ref="M831:N831"/>
    <mergeCell ref="Q831:S831"/>
    <mergeCell ref="U831:V831"/>
    <mergeCell ref="E828:G828"/>
    <mergeCell ref="I828:J828"/>
    <mergeCell ref="Q828:S828"/>
    <mergeCell ref="U828:V828"/>
    <mergeCell ref="E829:G829"/>
    <mergeCell ref="I829:J829"/>
    <mergeCell ref="Q829:S829"/>
    <mergeCell ref="U829:V829"/>
    <mergeCell ref="E826:G826"/>
    <mergeCell ref="I826:J826"/>
    <mergeCell ref="Q826:S826"/>
    <mergeCell ref="U826:V826"/>
    <mergeCell ref="E827:G827"/>
    <mergeCell ref="I827:J827"/>
    <mergeCell ref="Q827:S827"/>
    <mergeCell ref="U827:V827"/>
    <mergeCell ref="A822:K822"/>
    <mergeCell ref="M822:W822"/>
    <mergeCell ref="A823:D823"/>
    <mergeCell ref="F823:I823"/>
    <mergeCell ref="M823:P823"/>
    <mergeCell ref="R823:U823"/>
    <mergeCell ref="A820:D820"/>
    <mergeCell ref="F820:K820"/>
    <mergeCell ref="M820:P820"/>
    <mergeCell ref="R820:W820"/>
    <mergeCell ref="A821:D821"/>
    <mergeCell ref="F821:K821"/>
    <mergeCell ref="M821:P821"/>
    <mergeCell ref="R821:W821"/>
    <mergeCell ref="A818:K818"/>
    <mergeCell ref="M818:W818"/>
    <mergeCell ref="A819:D819"/>
    <mergeCell ref="F819:K819"/>
    <mergeCell ref="M819:P819"/>
    <mergeCell ref="R819:W819"/>
    <mergeCell ref="B813:E813"/>
    <mergeCell ref="N813:Q813"/>
    <mergeCell ref="I814:K814"/>
    <mergeCell ref="U814:W814"/>
    <mergeCell ref="A816:K816"/>
    <mergeCell ref="M816:W816"/>
    <mergeCell ref="A810:F810"/>
    <mergeCell ref="H810:J810"/>
    <mergeCell ref="M810:R810"/>
    <mergeCell ref="T810:V810"/>
    <mergeCell ref="I812:K812"/>
    <mergeCell ref="U812:W812"/>
    <mergeCell ref="A808:F808"/>
    <mergeCell ref="H808:J808"/>
    <mergeCell ref="M808:R808"/>
    <mergeCell ref="T808:V808"/>
    <mergeCell ref="A809:F809"/>
    <mergeCell ref="H809:J809"/>
    <mergeCell ref="M809:R809"/>
    <mergeCell ref="T809:V809"/>
    <mergeCell ref="A806:F806"/>
    <mergeCell ref="H806:J806"/>
    <mergeCell ref="M806:R806"/>
    <mergeCell ref="T806:V806"/>
    <mergeCell ref="A807:F807"/>
    <mergeCell ref="H807:J807"/>
    <mergeCell ref="M807:R807"/>
    <mergeCell ref="T807:V807"/>
    <mergeCell ref="A804:F804"/>
    <mergeCell ref="M804:R804"/>
    <mergeCell ref="A805:F805"/>
    <mergeCell ref="H805:J805"/>
    <mergeCell ref="M805:R805"/>
    <mergeCell ref="T805:V805"/>
    <mergeCell ref="I801:J801"/>
    <mergeCell ref="U801:V801"/>
    <mergeCell ref="A802:F802"/>
    <mergeCell ref="H802:J802"/>
    <mergeCell ref="M802:R802"/>
    <mergeCell ref="T802:V802"/>
    <mergeCell ref="E799:G799"/>
    <mergeCell ref="I799:J799"/>
    <mergeCell ref="Q799:S799"/>
    <mergeCell ref="U799:V799"/>
    <mergeCell ref="A800:B800"/>
    <mergeCell ref="I800:J800"/>
    <mergeCell ref="M800:N800"/>
    <mergeCell ref="U800:V800"/>
    <mergeCell ref="E797:G797"/>
    <mergeCell ref="I797:J797"/>
    <mergeCell ref="Q797:S797"/>
    <mergeCell ref="U797:V797"/>
    <mergeCell ref="I798:J798"/>
    <mergeCell ref="U798:V798"/>
    <mergeCell ref="E795:G795"/>
    <mergeCell ref="I795:J795"/>
    <mergeCell ref="Q795:S795"/>
    <mergeCell ref="U795:V795"/>
    <mergeCell ref="E796:G796"/>
    <mergeCell ref="I796:J796"/>
    <mergeCell ref="Q796:S796"/>
    <mergeCell ref="U796:V796"/>
    <mergeCell ref="E793:G793"/>
    <mergeCell ref="I793:J793"/>
    <mergeCell ref="Q793:S793"/>
    <mergeCell ref="U793:V793"/>
    <mergeCell ref="A794:B794"/>
    <mergeCell ref="E794:G794"/>
    <mergeCell ref="I794:J794"/>
    <mergeCell ref="M794:N794"/>
    <mergeCell ref="Q794:S794"/>
    <mergeCell ref="U794:V794"/>
    <mergeCell ref="E791:G791"/>
    <mergeCell ref="I791:J791"/>
    <mergeCell ref="Q791:S791"/>
    <mergeCell ref="U791:V791"/>
    <mergeCell ref="E792:G792"/>
    <mergeCell ref="I792:J792"/>
    <mergeCell ref="Q792:S792"/>
    <mergeCell ref="U792:V792"/>
    <mergeCell ref="E789:G789"/>
    <mergeCell ref="I789:J789"/>
    <mergeCell ref="Q789:S789"/>
    <mergeCell ref="U789:V789"/>
    <mergeCell ref="E790:G790"/>
    <mergeCell ref="I790:J790"/>
    <mergeCell ref="Q790:S790"/>
    <mergeCell ref="U790:V790"/>
    <mergeCell ref="A785:K785"/>
    <mergeCell ref="M785:W785"/>
    <mergeCell ref="A786:D786"/>
    <mergeCell ref="F786:I786"/>
    <mergeCell ref="M786:P786"/>
    <mergeCell ref="R786:U786"/>
    <mergeCell ref="A783:D783"/>
    <mergeCell ref="F783:K783"/>
    <mergeCell ref="M783:P783"/>
    <mergeCell ref="R783:W783"/>
    <mergeCell ref="A784:D784"/>
    <mergeCell ref="F784:K784"/>
    <mergeCell ref="M784:P784"/>
    <mergeCell ref="R784:W784"/>
    <mergeCell ref="A781:K781"/>
    <mergeCell ref="M781:W781"/>
    <mergeCell ref="A782:D782"/>
    <mergeCell ref="F782:K782"/>
    <mergeCell ref="M782:P782"/>
    <mergeCell ref="R782:W782"/>
    <mergeCell ref="B776:E776"/>
    <mergeCell ref="N776:Q776"/>
    <mergeCell ref="I777:K777"/>
    <mergeCell ref="U777:W777"/>
    <mergeCell ref="A779:K779"/>
    <mergeCell ref="M779:W779"/>
    <mergeCell ref="A773:F773"/>
    <mergeCell ref="H773:J773"/>
    <mergeCell ref="M773:R773"/>
    <mergeCell ref="T773:V773"/>
    <mergeCell ref="I775:K775"/>
    <mergeCell ref="U775:W775"/>
    <mergeCell ref="A771:F771"/>
    <mergeCell ref="H771:J771"/>
    <mergeCell ref="M771:R771"/>
    <mergeCell ref="T771:V771"/>
    <mergeCell ref="A772:F772"/>
    <mergeCell ref="H772:J772"/>
    <mergeCell ref="M772:R772"/>
    <mergeCell ref="T772:V772"/>
    <mergeCell ref="A769:F769"/>
    <mergeCell ref="H769:J769"/>
    <mergeCell ref="M769:R769"/>
    <mergeCell ref="T769:V769"/>
    <mergeCell ref="A770:F770"/>
    <mergeCell ref="H770:J770"/>
    <mergeCell ref="M770:R770"/>
    <mergeCell ref="T770:V770"/>
    <mergeCell ref="A767:F767"/>
    <mergeCell ref="M767:R767"/>
    <mergeCell ref="A768:F768"/>
    <mergeCell ref="H768:J768"/>
    <mergeCell ref="M768:R768"/>
    <mergeCell ref="T768:V768"/>
    <mergeCell ref="I764:J764"/>
    <mergeCell ref="U764:V764"/>
    <mergeCell ref="A765:F765"/>
    <mergeCell ref="H765:J765"/>
    <mergeCell ref="M765:R765"/>
    <mergeCell ref="T765:V765"/>
    <mergeCell ref="E762:G762"/>
    <mergeCell ref="I762:J762"/>
    <mergeCell ref="Q762:S762"/>
    <mergeCell ref="U762:V762"/>
    <mergeCell ref="A763:B763"/>
    <mergeCell ref="I763:J763"/>
    <mergeCell ref="M763:N763"/>
    <mergeCell ref="U763:V763"/>
    <mergeCell ref="E760:G760"/>
    <mergeCell ref="I760:J760"/>
    <mergeCell ref="Q760:S760"/>
    <mergeCell ref="U760:V760"/>
    <mergeCell ref="I761:J761"/>
    <mergeCell ref="U761:V761"/>
    <mergeCell ref="E758:G758"/>
    <mergeCell ref="I758:J758"/>
    <mergeCell ref="Q758:S758"/>
    <mergeCell ref="U758:V758"/>
    <mergeCell ref="E759:G759"/>
    <mergeCell ref="I759:J759"/>
    <mergeCell ref="Q759:S759"/>
    <mergeCell ref="U759:V759"/>
    <mergeCell ref="E756:G756"/>
    <mergeCell ref="I756:J756"/>
    <mergeCell ref="Q756:S756"/>
    <mergeCell ref="U756:V756"/>
    <mergeCell ref="A757:B757"/>
    <mergeCell ref="E757:G757"/>
    <mergeCell ref="I757:J757"/>
    <mergeCell ref="M757:N757"/>
    <mergeCell ref="Q757:S757"/>
    <mergeCell ref="U757:V757"/>
    <mergeCell ref="E754:G754"/>
    <mergeCell ref="I754:J754"/>
    <mergeCell ref="Q754:S754"/>
    <mergeCell ref="U754:V754"/>
    <mergeCell ref="E755:G755"/>
    <mergeCell ref="I755:J755"/>
    <mergeCell ref="Q755:S755"/>
    <mergeCell ref="U755:V755"/>
    <mergeCell ref="E752:G752"/>
    <mergeCell ref="I752:J752"/>
    <mergeCell ref="Q752:S752"/>
    <mergeCell ref="U752:V752"/>
    <mergeCell ref="E753:G753"/>
    <mergeCell ref="I753:J753"/>
    <mergeCell ref="Q753:S753"/>
    <mergeCell ref="U753:V753"/>
    <mergeCell ref="A748:K748"/>
    <mergeCell ref="M748:W748"/>
    <mergeCell ref="A749:D749"/>
    <mergeCell ref="F749:I749"/>
    <mergeCell ref="M749:P749"/>
    <mergeCell ref="R749:U749"/>
    <mergeCell ref="A746:D746"/>
    <mergeCell ref="F746:K746"/>
    <mergeCell ref="M746:P746"/>
    <mergeCell ref="R746:W746"/>
    <mergeCell ref="A747:D747"/>
    <mergeCell ref="F747:K747"/>
    <mergeCell ref="M747:P747"/>
    <mergeCell ref="R747:W747"/>
    <mergeCell ref="A744:K744"/>
    <mergeCell ref="M744:W744"/>
    <mergeCell ref="A745:D745"/>
    <mergeCell ref="F745:K745"/>
    <mergeCell ref="M745:P745"/>
    <mergeCell ref="R745:W745"/>
    <mergeCell ref="B739:E739"/>
    <mergeCell ref="N739:Q739"/>
    <mergeCell ref="I740:K740"/>
    <mergeCell ref="U740:W740"/>
    <mergeCell ref="A742:K742"/>
    <mergeCell ref="M742:W742"/>
    <mergeCell ref="A736:F736"/>
    <mergeCell ref="H736:J736"/>
    <mergeCell ref="M736:R736"/>
    <mergeCell ref="T736:V736"/>
    <mergeCell ref="I738:K738"/>
    <mergeCell ref="U738:W738"/>
    <mergeCell ref="A734:F734"/>
    <mergeCell ref="H734:J734"/>
    <mergeCell ref="M734:R734"/>
    <mergeCell ref="T734:V734"/>
    <mergeCell ref="A735:F735"/>
    <mergeCell ref="H735:J735"/>
    <mergeCell ref="M735:R735"/>
    <mergeCell ref="T735:V735"/>
    <mergeCell ref="A732:F732"/>
    <mergeCell ref="H732:J732"/>
    <mergeCell ref="M732:R732"/>
    <mergeCell ref="T732:V732"/>
    <mergeCell ref="A733:F733"/>
    <mergeCell ref="H733:J733"/>
    <mergeCell ref="M733:R733"/>
    <mergeCell ref="T733:V733"/>
    <mergeCell ref="A730:F730"/>
    <mergeCell ref="M730:R730"/>
    <mergeCell ref="A731:F731"/>
    <mergeCell ref="H731:J731"/>
    <mergeCell ref="M731:R731"/>
    <mergeCell ref="T731:V731"/>
    <mergeCell ref="I727:J727"/>
    <mergeCell ref="U727:V727"/>
    <mergeCell ref="A728:F728"/>
    <mergeCell ref="H728:J728"/>
    <mergeCell ref="M728:R728"/>
    <mergeCell ref="T728:V728"/>
    <mergeCell ref="E725:G725"/>
    <mergeCell ref="I725:J725"/>
    <mergeCell ref="Q725:S725"/>
    <mergeCell ref="U725:V725"/>
    <mergeCell ref="A726:B726"/>
    <mergeCell ref="I726:J726"/>
    <mergeCell ref="M726:N726"/>
    <mergeCell ref="U726:V726"/>
    <mergeCell ref="E723:G723"/>
    <mergeCell ref="I723:J723"/>
    <mergeCell ref="Q723:S723"/>
    <mergeCell ref="U723:V723"/>
    <mergeCell ref="I724:J724"/>
    <mergeCell ref="U724:V724"/>
    <mergeCell ref="E721:G721"/>
    <mergeCell ref="I721:J721"/>
    <mergeCell ref="Q721:S721"/>
    <mergeCell ref="U721:V721"/>
    <mergeCell ref="E722:G722"/>
    <mergeCell ref="I722:J722"/>
    <mergeCell ref="Q722:S722"/>
    <mergeCell ref="U722:V722"/>
    <mergeCell ref="E719:G719"/>
    <mergeCell ref="I719:J719"/>
    <mergeCell ref="Q719:S719"/>
    <mergeCell ref="U719:V719"/>
    <mergeCell ref="A720:B720"/>
    <mergeCell ref="E720:G720"/>
    <mergeCell ref="I720:J720"/>
    <mergeCell ref="M720:N720"/>
    <mergeCell ref="Q720:S720"/>
    <mergeCell ref="U720:V720"/>
    <mergeCell ref="E717:G717"/>
    <mergeCell ref="I717:J717"/>
    <mergeCell ref="Q717:S717"/>
    <mergeCell ref="U717:V717"/>
    <mergeCell ref="E718:G718"/>
    <mergeCell ref="I718:J718"/>
    <mergeCell ref="Q718:S718"/>
    <mergeCell ref="U718:V718"/>
    <mergeCell ref="E715:G715"/>
    <mergeCell ref="I715:J715"/>
    <mergeCell ref="Q715:S715"/>
    <mergeCell ref="U715:V715"/>
    <mergeCell ref="E716:G716"/>
    <mergeCell ref="I716:J716"/>
    <mergeCell ref="Q716:S716"/>
    <mergeCell ref="U716:V716"/>
    <mergeCell ref="A711:K711"/>
    <mergeCell ref="M711:W711"/>
    <mergeCell ref="A712:D712"/>
    <mergeCell ref="F712:I712"/>
    <mergeCell ref="M712:P712"/>
    <mergeCell ref="R712:U712"/>
    <mergeCell ref="A709:D709"/>
    <mergeCell ref="F709:K709"/>
    <mergeCell ref="M709:P709"/>
    <mergeCell ref="R709:W709"/>
    <mergeCell ref="A710:D710"/>
    <mergeCell ref="F710:K710"/>
    <mergeCell ref="M710:P710"/>
    <mergeCell ref="R710:W710"/>
    <mergeCell ref="A707:K707"/>
    <mergeCell ref="M707:W707"/>
    <mergeCell ref="A708:D708"/>
    <mergeCell ref="F708:K708"/>
    <mergeCell ref="M708:P708"/>
    <mergeCell ref="R708:W708"/>
    <mergeCell ref="B702:E702"/>
    <mergeCell ref="N702:Q702"/>
    <mergeCell ref="I703:K703"/>
    <mergeCell ref="U703:W703"/>
    <mergeCell ref="A705:K705"/>
    <mergeCell ref="M705:W705"/>
    <mergeCell ref="A699:F699"/>
    <mergeCell ref="H699:J699"/>
    <mergeCell ref="M699:R699"/>
    <mergeCell ref="T699:V699"/>
    <mergeCell ref="I701:K701"/>
    <mergeCell ref="U701:W701"/>
    <mergeCell ref="A697:F697"/>
    <mergeCell ref="H697:J697"/>
    <mergeCell ref="M697:R697"/>
    <mergeCell ref="T697:V697"/>
    <mergeCell ref="A698:F698"/>
    <mergeCell ref="H698:J698"/>
    <mergeCell ref="M698:R698"/>
    <mergeCell ref="T698:V698"/>
    <mergeCell ref="A695:F695"/>
    <mergeCell ref="H695:J695"/>
    <mergeCell ref="M695:R695"/>
    <mergeCell ref="T695:V695"/>
    <mergeCell ref="A696:F696"/>
    <mergeCell ref="H696:J696"/>
    <mergeCell ref="M696:R696"/>
    <mergeCell ref="T696:V696"/>
    <mergeCell ref="A693:F693"/>
    <mergeCell ref="M693:R693"/>
    <mergeCell ref="A694:F694"/>
    <mergeCell ref="H694:J694"/>
    <mergeCell ref="M694:R694"/>
    <mergeCell ref="T694:V694"/>
    <mergeCell ref="I690:J690"/>
    <mergeCell ref="U690:V690"/>
    <mergeCell ref="A691:F691"/>
    <mergeCell ref="H691:J691"/>
    <mergeCell ref="M691:R691"/>
    <mergeCell ref="T691:V691"/>
    <mergeCell ref="E688:G688"/>
    <mergeCell ref="I688:J688"/>
    <mergeCell ref="Q688:S688"/>
    <mergeCell ref="U688:V688"/>
    <mergeCell ref="A689:B689"/>
    <mergeCell ref="I689:J689"/>
    <mergeCell ref="M689:N689"/>
    <mergeCell ref="U689:V689"/>
    <mergeCell ref="E686:G686"/>
    <mergeCell ref="I686:J686"/>
    <mergeCell ref="Q686:S686"/>
    <mergeCell ref="U686:V686"/>
    <mergeCell ref="I687:J687"/>
    <mergeCell ref="U687:V687"/>
    <mergeCell ref="E684:G684"/>
    <mergeCell ref="I684:J684"/>
    <mergeCell ref="Q684:S684"/>
    <mergeCell ref="U684:V684"/>
    <mergeCell ref="E685:G685"/>
    <mergeCell ref="I685:J685"/>
    <mergeCell ref="Q685:S685"/>
    <mergeCell ref="U685:V685"/>
    <mergeCell ref="E682:G682"/>
    <mergeCell ref="I682:J682"/>
    <mergeCell ref="Q682:S682"/>
    <mergeCell ref="U682:V682"/>
    <mergeCell ref="A683:B683"/>
    <mergeCell ref="E683:G683"/>
    <mergeCell ref="I683:J683"/>
    <mergeCell ref="M683:N683"/>
    <mergeCell ref="Q683:S683"/>
    <mergeCell ref="U683:V683"/>
    <mergeCell ref="E680:G680"/>
    <mergeCell ref="I680:J680"/>
    <mergeCell ref="Q680:S680"/>
    <mergeCell ref="U680:V680"/>
    <mergeCell ref="E681:G681"/>
    <mergeCell ref="I681:J681"/>
    <mergeCell ref="Q681:S681"/>
    <mergeCell ref="U681:V681"/>
    <mergeCell ref="E678:G678"/>
    <mergeCell ref="I678:J678"/>
    <mergeCell ref="Q678:S678"/>
    <mergeCell ref="U678:V678"/>
    <mergeCell ref="E679:G679"/>
    <mergeCell ref="I679:J679"/>
    <mergeCell ref="Q679:S679"/>
    <mergeCell ref="U679:V679"/>
    <mergeCell ref="A674:K674"/>
    <mergeCell ref="M674:W674"/>
    <mergeCell ref="A675:D675"/>
    <mergeCell ref="F675:I675"/>
    <mergeCell ref="M675:P675"/>
    <mergeCell ref="R675:U675"/>
    <mergeCell ref="A672:D672"/>
    <mergeCell ref="F672:K672"/>
    <mergeCell ref="M672:P672"/>
    <mergeCell ref="R672:W672"/>
    <mergeCell ref="A673:D673"/>
    <mergeCell ref="F673:K673"/>
    <mergeCell ref="M673:P673"/>
    <mergeCell ref="R673:W673"/>
    <mergeCell ref="A670:K670"/>
    <mergeCell ref="M670:W670"/>
    <mergeCell ref="A671:D671"/>
    <mergeCell ref="F671:K671"/>
    <mergeCell ref="M671:P671"/>
    <mergeCell ref="R671:W671"/>
    <mergeCell ref="B665:E665"/>
    <mergeCell ref="N665:Q665"/>
    <mergeCell ref="I666:K666"/>
    <mergeCell ref="U666:W666"/>
    <mergeCell ref="A668:K668"/>
    <mergeCell ref="M668:W668"/>
    <mergeCell ref="A662:F662"/>
    <mergeCell ref="H662:J662"/>
    <mergeCell ref="M662:R662"/>
    <mergeCell ref="T662:V662"/>
    <mergeCell ref="I664:K664"/>
    <mergeCell ref="U664:W664"/>
    <mergeCell ref="A660:F660"/>
    <mergeCell ref="H660:J660"/>
    <mergeCell ref="M660:R660"/>
    <mergeCell ref="T660:V660"/>
    <mergeCell ref="A661:F661"/>
    <mergeCell ref="H661:J661"/>
    <mergeCell ref="M661:R661"/>
    <mergeCell ref="T661:V661"/>
    <mergeCell ref="A658:F658"/>
    <mergeCell ref="H658:J658"/>
    <mergeCell ref="M658:R658"/>
    <mergeCell ref="T658:V658"/>
    <mergeCell ref="A659:F659"/>
    <mergeCell ref="H659:J659"/>
    <mergeCell ref="M659:R659"/>
    <mergeCell ref="T659:V659"/>
    <mergeCell ref="A656:F656"/>
    <mergeCell ref="M656:R656"/>
    <mergeCell ref="A657:F657"/>
    <mergeCell ref="H657:J657"/>
    <mergeCell ref="M657:R657"/>
    <mergeCell ref="T657:V657"/>
    <mergeCell ref="I653:J653"/>
    <mergeCell ref="U653:V653"/>
    <mergeCell ref="A654:F654"/>
    <mergeCell ref="H654:J654"/>
    <mergeCell ref="M654:R654"/>
    <mergeCell ref="T654:V654"/>
    <mergeCell ref="E651:G651"/>
    <mergeCell ref="I651:J651"/>
    <mergeCell ref="Q651:S651"/>
    <mergeCell ref="U651:V651"/>
    <mergeCell ref="A652:B652"/>
    <mergeCell ref="I652:J652"/>
    <mergeCell ref="M652:N652"/>
    <mergeCell ref="U652:V652"/>
    <mergeCell ref="E649:G649"/>
    <mergeCell ref="I649:J649"/>
    <mergeCell ref="Q649:S649"/>
    <mergeCell ref="U649:V649"/>
    <mergeCell ref="I650:J650"/>
    <mergeCell ref="U650:V650"/>
    <mergeCell ref="E647:G647"/>
    <mergeCell ref="I647:J647"/>
    <mergeCell ref="Q647:S647"/>
    <mergeCell ref="U647:V647"/>
    <mergeCell ref="E648:G648"/>
    <mergeCell ref="I648:J648"/>
    <mergeCell ref="Q648:S648"/>
    <mergeCell ref="U648:V648"/>
    <mergeCell ref="E645:G645"/>
    <mergeCell ref="I645:J645"/>
    <mergeCell ref="Q645:S645"/>
    <mergeCell ref="U645:V645"/>
    <mergeCell ref="A646:B646"/>
    <mergeCell ref="E646:G646"/>
    <mergeCell ref="I646:J646"/>
    <mergeCell ref="M646:N646"/>
    <mergeCell ref="Q646:S646"/>
    <mergeCell ref="U646:V646"/>
    <mergeCell ref="E643:G643"/>
    <mergeCell ref="I643:J643"/>
    <mergeCell ref="Q643:S643"/>
    <mergeCell ref="U643:V643"/>
    <mergeCell ref="E644:G644"/>
    <mergeCell ref="I644:J644"/>
    <mergeCell ref="Q644:S644"/>
    <mergeCell ref="U644:V644"/>
    <mergeCell ref="E641:G641"/>
    <mergeCell ref="I641:J641"/>
    <mergeCell ref="Q641:S641"/>
    <mergeCell ref="U641:V641"/>
    <mergeCell ref="E642:G642"/>
    <mergeCell ref="I642:J642"/>
    <mergeCell ref="Q642:S642"/>
    <mergeCell ref="U642:V642"/>
    <mergeCell ref="A637:K637"/>
    <mergeCell ref="M637:W637"/>
    <mergeCell ref="A638:D638"/>
    <mergeCell ref="F638:I638"/>
    <mergeCell ref="M638:P638"/>
    <mergeCell ref="R638:U638"/>
    <mergeCell ref="A635:D635"/>
    <mergeCell ref="F635:K635"/>
    <mergeCell ref="M635:P635"/>
    <mergeCell ref="R635:W635"/>
    <mergeCell ref="A636:D636"/>
    <mergeCell ref="F636:K636"/>
    <mergeCell ref="M636:P636"/>
    <mergeCell ref="R636:W636"/>
    <mergeCell ref="A633:K633"/>
    <mergeCell ref="M633:W633"/>
    <mergeCell ref="A634:D634"/>
    <mergeCell ref="F634:K634"/>
    <mergeCell ref="M634:P634"/>
    <mergeCell ref="R634:W634"/>
    <mergeCell ref="B628:E628"/>
    <mergeCell ref="N628:Q628"/>
    <mergeCell ref="I629:K629"/>
    <mergeCell ref="U629:W629"/>
    <mergeCell ref="A631:K631"/>
    <mergeCell ref="M631:W631"/>
    <mergeCell ref="A625:F625"/>
    <mergeCell ref="H625:J625"/>
    <mergeCell ref="M625:R625"/>
    <mergeCell ref="T625:V625"/>
    <mergeCell ref="I627:K627"/>
    <mergeCell ref="U627:W627"/>
    <mergeCell ref="A623:F623"/>
    <mergeCell ref="H623:J623"/>
    <mergeCell ref="M623:R623"/>
    <mergeCell ref="T623:V623"/>
    <mergeCell ref="A624:F624"/>
    <mergeCell ref="H624:J624"/>
    <mergeCell ref="M624:R624"/>
    <mergeCell ref="T624:V624"/>
    <mergeCell ref="A621:F621"/>
    <mergeCell ref="H621:J621"/>
    <mergeCell ref="M621:R621"/>
    <mergeCell ref="T621:V621"/>
    <mergeCell ref="A622:F622"/>
    <mergeCell ref="H622:J622"/>
    <mergeCell ref="M622:R622"/>
    <mergeCell ref="T622:V622"/>
    <mergeCell ref="A619:F619"/>
    <mergeCell ref="M619:R619"/>
    <mergeCell ref="A620:F620"/>
    <mergeCell ref="H620:J620"/>
    <mergeCell ref="M620:R620"/>
    <mergeCell ref="T620:V620"/>
    <mergeCell ref="I616:J616"/>
    <mergeCell ref="U616:V616"/>
    <mergeCell ref="A617:F617"/>
    <mergeCell ref="H617:J617"/>
    <mergeCell ref="M617:R617"/>
    <mergeCell ref="T617:V617"/>
    <mergeCell ref="E614:G614"/>
    <mergeCell ref="I614:J614"/>
    <mergeCell ref="Q614:S614"/>
    <mergeCell ref="U614:V614"/>
    <mergeCell ref="A615:B615"/>
    <mergeCell ref="I615:J615"/>
    <mergeCell ref="M615:N615"/>
    <mergeCell ref="U615:V615"/>
    <mergeCell ref="E612:G612"/>
    <mergeCell ref="I612:J612"/>
    <mergeCell ref="Q612:S612"/>
    <mergeCell ref="U612:V612"/>
    <mergeCell ref="I613:J613"/>
    <mergeCell ref="U613:V613"/>
    <mergeCell ref="E610:G610"/>
    <mergeCell ref="I610:J610"/>
    <mergeCell ref="Q610:S610"/>
    <mergeCell ref="U610:V610"/>
    <mergeCell ref="E611:G611"/>
    <mergeCell ref="I611:J611"/>
    <mergeCell ref="Q611:S611"/>
    <mergeCell ref="U611:V611"/>
    <mergeCell ref="E608:G608"/>
    <mergeCell ref="I608:J608"/>
    <mergeCell ref="Q608:S608"/>
    <mergeCell ref="U608:V608"/>
    <mergeCell ref="A609:B609"/>
    <mergeCell ref="E609:G609"/>
    <mergeCell ref="I609:J609"/>
    <mergeCell ref="M609:N609"/>
    <mergeCell ref="Q609:S609"/>
    <mergeCell ref="U609:V609"/>
    <mergeCell ref="E606:G606"/>
    <mergeCell ref="I606:J606"/>
    <mergeCell ref="Q606:S606"/>
    <mergeCell ref="U606:V606"/>
    <mergeCell ref="E607:G607"/>
    <mergeCell ref="I607:J607"/>
    <mergeCell ref="Q607:S607"/>
    <mergeCell ref="U607:V607"/>
    <mergeCell ref="E604:G604"/>
    <mergeCell ref="I604:J604"/>
    <mergeCell ref="Q604:S604"/>
    <mergeCell ref="U604:V604"/>
    <mergeCell ref="E605:G605"/>
    <mergeCell ref="I605:J605"/>
    <mergeCell ref="Q605:S605"/>
    <mergeCell ref="U605:V605"/>
    <mergeCell ref="A600:K600"/>
    <mergeCell ref="M600:W600"/>
    <mergeCell ref="A601:D601"/>
    <mergeCell ref="F601:I601"/>
    <mergeCell ref="M601:P601"/>
    <mergeCell ref="R601:U601"/>
    <mergeCell ref="A598:D598"/>
    <mergeCell ref="F598:K598"/>
    <mergeCell ref="M598:P598"/>
    <mergeCell ref="R598:W598"/>
    <mergeCell ref="A599:D599"/>
    <mergeCell ref="F599:K599"/>
    <mergeCell ref="M599:P599"/>
    <mergeCell ref="R599:W599"/>
    <mergeCell ref="A596:K596"/>
    <mergeCell ref="M596:W596"/>
    <mergeCell ref="A597:D597"/>
    <mergeCell ref="F597:K597"/>
    <mergeCell ref="M597:P597"/>
    <mergeCell ref="R597:W597"/>
    <mergeCell ref="B591:E591"/>
    <mergeCell ref="N591:Q591"/>
    <mergeCell ref="I592:K592"/>
    <mergeCell ref="U592:W592"/>
    <mergeCell ref="A594:K594"/>
    <mergeCell ref="M594:W594"/>
    <mergeCell ref="A588:F588"/>
    <mergeCell ref="H588:J588"/>
    <mergeCell ref="M588:R588"/>
    <mergeCell ref="T588:V588"/>
    <mergeCell ref="I590:K590"/>
    <mergeCell ref="U590:W590"/>
    <mergeCell ref="A586:F586"/>
    <mergeCell ref="H586:J586"/>
    <mergeCell ref="M586:R586"/>
    <mergeCell ref="T586:V586"/>
    <mergeCell ref="A587:F587"/>
    <mergeCell ref="H587:J587"/>
    <mergeCell ref="M587:R587"/>
    <mergeCell ref="T587:V587"/>
    <mergeCell ref="A584:F584"/>
    <mergeCell ref="H584:J584"/>
    <mergeCell ref="M584:R584"/>
    <mergeCell ref="T584:V584"/>
    <mergeCell ref="A585:F585"/>
    <mergeCell ref="H585:J585"/>
    <mergeCell ref="M585:R585"/>
    <mergeCell ref="T585:V585"/>
    <mergeCell ref="A582:F582"/>
    <mergeCell ref="M582:R582"/>
    <mergeCell ref="A583:F583"/>
    <mergeCell ref="H583:J583"/>
    <mergeCell ref="M583:R583"/>
    <mergeCell ref="T583:V583"/>
    <mergeCell ref="I579:J579"/>
    <mergeCell ref="U579:V579"/>
    <mergeCell ref="A580:F580"/>
    <mergeCell ref="H580:J580"/>
    <mergeCell ref="M580:R580"/>
    <mergeCell ref="T580:V580"/>
    <mergeCell ref="E577:G577"/>
    <mergeCell ref="I577:J577"/>
    <mergeCell ref="Q577:S577"/>
    <mergeCell ref="U577:V577"/>
    <mergeCell ref="A578:B578"/>
    <mergeCell ref="I578:J578"/>
    <mergeCell ref="M578:N578"/>
    <mergeCell ref="U578:V578"/>
    <mergeCell ref="E575:G575"/>
    <mergeCell ref="I575:J575"/>
    <mergeCell ref="Q575:S575"/>
    <mergeCell ref="U575:V575"/>
    <mergeCell ref="I576:J576"/>
    <mergeCell ref="U576:V576"/>
    <mergeCell ref="E573:G573"/>
    <mergeCell ref="I573:J573"/>
    <mergeCell ref="Q573:S573"/>
    <mergeCell ref="U573:V573"/>
    <mergeCell ref="E574:G574"/>
    <mergeCell ref="I574:J574"/>
    <mergeCell ref="Q574:S574"/>
    <mergeCell ref="U574:V574"/>
    <mergeCell ref="E571:G571"/>
    <mergeCell ref="I571:J571"/>
    <mergeCell ref="Q571:S571"/>
    <mergeCell ref="U571:V571"/>
    <mergeCell ref="A572:B572"/>
    <mergeCell ref="E572:G572"/>
    <mergeCell ref="I572:J572"/>
    <mergeCell ref="M572:N572"/>
    <mergeCell ref="Q572:S572"/>
    <mergeCell ref="U572:V572"/>
    <mergeCell ref="E569:G569"/>
    <mergeCell ref="I569:J569"/>
    <mergeCell ref="Q569:S569"/>
    <mergeCell ref="U569:V569"/>
    <mergeCell ref="E570:G570"/>
    <mergeCell ref="I570:J570"/>
    <mergeCell ref="Q570:S570"/>
    <mergeCell ref="U570:V570"/>
    <mergeCell ref="E567:G567"/>
    <mergeCell ref="I567:J567"/>
    <mergeCell ref="Q567:S567"/>
    <mergeCell ref="U567:V567"/>
    <mergeCell ref="E568:G568"/>
    <mergeCell ref="I568:J568"/>
    <mergeCell ref="Q568:S568"/>
    <mergeCell ref="U568:V568"/>
    <mergeCell ref="A563:K563"/>
    <mergeCell ref="M563:W563"/>
    <mergeCell ref="A564:D564"/>
    <mergeCell ref="F564:I564"/>
    <mergeCell ref="M564:P564"/>
    <mergeCell ref="R564:U564"/>
    <mergeCell ref="A561:D561"/>
    <mergeCell ref="F561:K561"/>
    <mergeCell ref="M561:P561"/>
    <mergeCell ref="R561:W561"/>
    <mergeCell ref="A562:D562"/>
    <mergeCell ref="F562:K562"/>
    <mergeCell ref="M562:P562"/>
    <mergeCell ref="R562:W562"/>
    <mergeCell ref="A559:K559"/>
    <mergeCell ref="M559:W559"/>
    <mergeCell ref="A560:D560"/>
    <mergeCell ref="F560:K560"/>
    <mergeCell ref="M560:P560"/>
    <mergeCell ref="R560:W560"/>
    <mergeCell ref="B554:E554"/>
    <mergeCell ref="N554:Q554"/>
    <mergeCell ref="I555:K555"/>
    <mergeCell ref="U555:W555"/>
    <mergeCell ref="A557:K557"/>
    <mergeCell ref="M557:W557"/>
    <mergeCell ref="A551:F551"/>
    <mergeCell ref="H551:J551"/>
    <mergeCell ref="M551:R551"/>
    <mergeCell ref="T551:V551"/>
    <mergeCell ref="I553:K553"/>
    <mergeCell ref="U553:W553"/>
    <mergeCell ref="A549:F549"/>
    <mergeCell ref="H549:J549"/>
    <mergeCell ref="M549:R549"/>
    <mergeCell ref="T549:V549"/>
    <mergeCell ref="A550:F550"/>
    <mergeCell ref="H550:J550"/>
    <mergeCell ref="M550:R550"/>
    <mergeCell ref="T550:V550"/>
    <mergeCell ref="A547:F547"/>
    <mergeCell ref="H547:J547"/>
    <mergeCell ref="M547:R547"/>
    <mergeCell ref="T547:V547"/>
    <mergeCell ref="A548:F548"/>
    <mergeCell ref="H548:J548"/>
    <mergeCell ref="M548:R548"/>
    <mergeCell ref="T548:V548"/>
    <mergeCell ref="A545:F545"/>
    <mergeCell ref="M545:R545"/>
    <mergeCell ref="A546:F546"/>
    <mergeCell ref="H546:J546"/>
    <mergeCell ref="M546:R546"/>
    <mergeCell ref="T546:V546"/>
    <mergeCell ref="I542:J542"/>
    <mergeCell ref="U542:V542"/>
    <mergeCell ref="A543:F543"/>
    <mergeCell ref="H543:J543"/>
    <mergeCell ref="M543:R543"/>
    <mergeCell ref="T543:V543"/>
    <mergeCell ref="E540:G540"/>
    <mergeCell ref="I540:J540"/>
    <mergeCell ref="Q540:S540"/>
    <mergeCell ref="U540:V540"/>
    <mergeCell ref="A541:B541"/>
    <mergeCell ref="I541:J541"/>
    <mergeCell ref="M541:N541"/>
    <mergeCell ref="U541:V541"/>
    <mergeCell ref="E538:G538"/>
    <mergeCell ref="I538:J538"/>
    <mergeCell ref="Q538:S538"/>
    <mergeCell ref="U538:V538"/>
    <mergeCell ref="I539:J539"/>
    <mergeCell ref="U539:V539"/>
    <mergeCell ref="E536:G536"/>
    <mergeCell ref="I536:J536"/>
    <mergeCell ref="Q536:S536"/>
    <mergeCell ref="U536:V536"/>
    <mergeCell ref="E537:G537"/>
    <mergeCell ref="I537:J537"/>
    <mergeCell ref="Q537:S537"/>
    <mergeCell ref="U537:V537"/>
    <mergeCell ref="E534:G534"/>
    <mergeCell ref="I534:J534"/>
    <mergeCell ref="Q534:S534"/>
    <mergeCell ref="U534:V534"/>
    <mergeCell ref="A535:B535"/>
    <mergeCell ref="E535:G535"/>
    <mergeCell ref="I535:J535"/>
    <mergeCell ref="M535:N535"/>
    <mergeCell ref="Q535:S535"/>
    <mergeCell ref="U535:V535"/>
    <mergeCell ref="E532:G532"/>
    <mergeCell ref="I532:J532"/>
    <mergeCell ref="Q532:S532"/>
    <mergeCell ref="U532:V532"/>
    <mergeCell ref="E533:G533"/>
    <mergeCell ref="I533:J533"/>
    <mergeCell ref="Q533:S533"/>
    <mergeCell ref="U533:V533"/>
    <mergeCell ref="E530:G530"/>
    <mergeCell ref="I530:J530"/>
    <mergeCell ref="Q530:S530"/>
    <mergeCell ref="U530:V530"/>
    <mergeCell ref="E531:G531"/>
    <mergeCell ref="I531:J531"/>
    <mergeCell ref="Q531:S531"/>
    <mergeCell ref="U531:V531"/>
    <mergeCell ref="A526:K526"/>
    <mergeCell ref="M526:W526"/>
    <mergeCell ref="A527:D527"/>
    <mergeCell ref="F527:I527"/>
    <mergeCell ref="M527:P527"/>
    <mergeCell ref="R527:U527"/>
    <mergeCell ref="A524:D524"/>
    <mergeCell ref="F524:K524"/>
    <mergeCell ref="M524:P524"/>
    <mergeCell ref="R524:W524"/>
    <mergeCell ref="A525:D525"/>
    <mergeCell ref="F525:K525"/>
    <mergeCell ref="M525:P525"/>
    <mergeCell ref="R525:W525"/>
    <mergeCell ref="A522:K522"/>
    <mergeCell ref="M522:W522"/>
    <mergeCell ref="A523:D523"/>
    <mergeCell ref="F523:K523"/>
    <mergeCell ref="M523:P523"/>
    <mergeCell ref="R523:W523"/>
    <mergeCell ref="B517:E517"/>
    <mergeCell ref="N517:Q517"/>
    <mergeCell ref="I518:K518"/>
    <mergeCell ref="U518:W518"/>
    <mergeCell ref="A520:K520"/>
    <mergeCell ref="M520:W520"/>
    <mergeCell ref="A514:F514"/>
    <mergeCell ref="H514:J514"/>
    <mergeCell ref="M514:R514"/>
    <mergeCell ref="T514:V514"/>
    <mergeCell ref="I516:K516"/>
    <mergeCell ref="U516:W516"/>
    <mergeCell ref="A512:F512"/>
    <mergeCell ref="H512:J512"/>
    <mergeCell ref="M512:R512"/>
    <mergeCell ref="T512:V512"/>
    <mergeCell ref="A513:F513"/>
    <mergeCell ref="H513:J513"/>
    <mergeCell ref="M513:R513"/>
    <mergeCell ref="T513:V513"/>
    <mergeCell ref="A510:F510"/>
    <mergeCell ref="H510:J510"/>
    <mergeCell ref="M510:R510"/>
    <mergeCell ref="T510:V510"/>
    <mergeCell ref="A511:F511"/>
    <mergeCell ref="H511:J511"/>
    <mergeCell ref="M511:R511"/>
    <mergeCell ref="T511:V511"/>
    <mergeCell ref="A508:F508"/>
    <mergeCell ref="M508:R508"/>
    <mergeCell ref="A509:F509"/>
    <mergeCell ref="H509:J509"/>
    <mergeCell ref="M509:R509"/>
    <mergeCell ref="T509:V509"/>
    <mergeCell ref="I505:J505"/>
    <mergeCell ref="U505:V505"/>
    <mergeCell ref="A506:F506"/>
    <mergeCell ref="H506:J506"/>
    <mergeCell ref="M506:R506"/>
    <mergeCell ref="T506:V506"/>
    <mergeCell ref="E503:G503"/>
    <mergeCell ref="I503:J503"/>
    <mergeCell ref="Q503:S503"/>
    <mergeCell ref="U503:V503"/>
    <mergeCell ref="A504:B504"/>
    <mergeCell ref="I504:J504"/>
    <mergeCell ref="M504:N504"/>
    <mergeCell ref="U504:V504"/>
    <mergeCell ref="E501:G501"/>
    <mergeCell ref="I501:J501"/>
    <mergeCell ref="Q501:S501"/>
    <mergeCell ref="U501:V501"/>
    <mergeCell ref="I502:J502"/>
    <mergeCell ref="U502:V502"/>
    <mergeCell ref="E499:G499"/>
    <mergeCell ref="I499:J499"/>
    <mergeCell ref="Q499:S499"/>
    <mergeCell ref="U499:V499"/>
    <mergeCell ref="E500:G500"/>
    <mergeCell ref="I500:J500"/>
    <mergeCell ref="Q500:S500"/>
    <mergeCell ref="U500:V500"/>
    <mergeCell ref="E497:G497"/>
    <mergeCell ref="I497:J497"/>
    <mergeCell ref="Q497:S497"/>
    <mergeCell ref="U497:V497"/>
    <mergeCell ref="A498:B498"/>
    <mergeCell ref="E498:G498"/>
    <mergeCell ref="I498:J498"/>
    <mergeCell ref="M498:N498"/>
    <mergeCell ref="Q498:S498"/>
    <mergeCell ref="U498:V498"/>
    <mergeCell ref="E495:G495"/>
    <mergeCell ref="I495:J495"/>
    <mergeCell ref="Q495:S495"/>
    <mergeCell ref="U495:V495"/>
    <mergeCell ref="E496:G496"/>
    <mergeCell ref="I496:J496"/>
    <mergeCell ref="Q496:S496"/>
    <mergeCell ref="U496:V496"/>
    <mergeCell ref="E493:G493"/>
    <mergeCell ref="I493:J493"/>
    <mergeCell ref="Q493:S493"/>
    <mergeCell ref="U493:V493"/>
    <mergeCell ref="E494:G494"/>
    <mergeCell ref="I494:J494"/>
    <mergeCell ref="Q494:S494"/>
    <mergeCell ref="U494:V494"/>
    <mergeCell ref="A489:K489"/>
    <mergeCell ref="M489:W489"/>
    <mergeCell ref="A490:D490"/>
    <mergeCell ref="F490:I490"/>
    <mergeCell ref="M490:P490"/>
    <mergeCell ref="R490:U490"/>
    <mergeCell ref="A487:D487"/>
    <mergeCell ref="F487:K487"/>
    <mergeCell ref="M487:P487"/>
    <mergeCell ref="R487:W487"/>
    <mergeCell ref="A488:D488"/>
    <mergeCell ref="F488:K488"/>
    <mergeCell ref="M488:P488"/>
    <mergeCell ref="R488:W488"/>
    <mergeCell ref="A485:K485"/>
    <mergeCell ref="M485:W485"/>
    <mergeCell ref="A486:D486"/>
    <mergeCell ref="F486:K486"/>
    <mergeCell ref="M486:P486"/>
    <mergeCell ref="R486:W486"/>
    <mergeCell ref="B480:E480"/>
    <mergeCell ref="N480:Q480"/>
    <mergeCell ref="I481:K481"/>
    <mergeCell ref="U481:W481"/>
    <mergeCell ref="A483:K483"/>
    <mergeCell ref="M483:W483"/>
    <mergeCell ref="A477:F477"/>
    <mergeCell ref="H477:J477"/>
    <mergeCell ref="M477:R477"/>
    <mergeCell ref="T477:V477"/>
    <mergeCell ref="I479:K479"/>
    <mergeCell ref="U479:W479"/>
    <mergeCell ref="A475:F475"/>
    <mergeCell ref="H475:J475"/>
    <mergeCell ref="M475:R475"/>
    <mergeCell ref="T475:V475"/>
    <mergeCell ref="A476:F476"/>
    <mergeCell ref="H476:J476"/>
    <mergeCell ref="M476:R476"/>
    <mergeCell ref="T476:V476"/>
    <mergeCell ref="A473:F473"/>
    <mergeCell ref="H473:J473"/>
    <mergeCell ref="M473:R473"/>
    <mergeCell ref="T473:V473"/>
    <mergeCell ref="A474:F474"/>
    <mergeCell ref="H474:J474"/>
    <mergeCell ref="M474:R474"/>
    <mergeCell ref="T474:V474"/>
    <mergeCell ref="A471:F471"/>
    <mergeCell ref="M471:R471"/>
    <mergeCell ref="A472:F472"/>
    <mergeCell ref="H472:J472"/>
    <mergeCell ref="M472:R472"/>
    <mergeCell ref="T472:V472"/>
    <mergeCell ref="I468:J468"/>
    <mergeCell ref="U468:V468"/>
    <mergeCell ref="A469:F469"/>
    <mergeCell ref="H469:J469"/>
    <mergeCell ref="M469:R469"/>
    <mergeCell ref="T469:V469"/>
    <mergeCell ref="E466:G466"/>
    <mergeCell ref="I466:J466"/>
    <mergeCell ref="Q466:S466"/>
    <mergeCell ref="U466:V466"/>
    <mergeCell ref="A467:B467"/>
    <mergeCell ref="I467:J467"/>
    <mergeCell ref="M467:N467"/>
    <mergeCell ref="U467:V467"/>
    <mergeCell ref="E464:G464"/>
    <mergeCell ref="I464:J464"/>
    <mergeCell ref="Q464:S464"/>
    <mergeCell ref="U464:V464"/>
    <mergeCell ref="I465:J465"/>
    <mergeCell ref="U465:V465"/>
    <mergeCell ref="E462:G462"/>
    <mergeCell ref="I462:J462"/>
    <mergeCell ref="Q462:S462"/>
    <mergeCell ref="U462:V462"/>
    <mergeCell ref="E463:G463"/>
    <mergeCell ref="I463:J463"/>
    <mergeCell ref="Q463:S463"/>
    <mergeCell ref="U463:V463"/>
    <mergeCell ref="E460:G460"/>
    <mergeCell ref="I460:J460"/>
    <mergeCell ref="Q460:S460"/>
    <mergeCell ref="U460:V460"/>
    <mergeCell ref="A461:B461"/>
    <mergeCell ref="E461:G461"/>
    <mergeCell ref="I461:J461"/>
    <mergeCell ref="M461:N461"/>
    <mergeCell ref="Q461:S461"/>
    <mergeCell ref="U461:V461"/>
    <mergeCell ref="E458:G458"/>
    <mergeCell ref="I458:J458"/>
    <mergeCell ref="Q458:S458"/>
    <mergeCell ref="U458:V458"/>
    <mergeCell ref="E459:G459"/>
    <mergeCell ref="I459:J459"/>
    <mergeCell ref="Q459:S459"/>
    <mergeCell ref="U459:V459"/>
    <mergeCell ref="E456:G456"/>
    <mergeCell ref="I456:J456"/>
    <mergeCell ref="Q456:S456"/>
    <mergeCell ref="U456:V456"/>
    <mergeCell ref="E457:G457"/>
    <mergeCell ref="I457:J457"/>
    <mergeCell ref="Q457:S457"/>
    <mergeCell ref="U457:V457"/>
    <mergeCell ref="A452:K452"/>
    <mergeCell ref="M452:W452"/>
    <mergeCell ref="A453:D453"/>
    <mergeCell ref="F453:I453"/>
    <mergeCell ref="M453:P453"/>
    <mergeCell ref="R453:U453"/>
    <mergeCell ref="A450:D450"/>
    <mergeCell ref="F450:K450"/>
    <mergeCell ref="M450:P450"/>
    <mergeCell ref="R450:W450"/>
    <mergeCell ref="A451:D451"/>
    <mergeCell ref="F451:K451"/>
    <mergeCell ref="M451:P451"/>
    <mergeCell ref="R451:W451"/>
    <mergeCell ref="A448:K448"/>
    <mergeCell ref="M448:W448"/>
    <mergeCell ref="A449:D449"/>
    <mergeCell ref="F449:K449"/>
    <mergeCell ref="M449:P449"/>
    <mergeCell ref="R449:W449"/>
    <mergeCell ref="B443:E443"/>
    <mergeCell ref="N443:Q443"/>
    <mergeCell ref="I444:K444"/>
    <mergeCell ref="U444:W444"/>
    <mergeCell ref="A446:K446"/>
    <mergeCell ref="M446:W446"/>
    <mergeCell ref="A440:F440"/>
    <mergeCell ref="H440:J440"/>
    <mergeCell ref="M440:R440"/>
    <mergeCell ref="T440:V440"/>
    <mergeCell ref="I442:K442"/>
    <mergeCell ref="U442:W442"/>
    <mergeCell ref="A438:F438"/>
    <mergeCell ref="H438:J438"/>
    <mergeCell ref="M438:R438"/>
    <mergeCell ref="T438:V438"/>
    <mergeCell ref="A439:F439"/>
    <mergeCell ref="H439:J439"/>
    <mergeCell ref="M439:R439"/>
    <mergeCell ref="T439:V439"/>
    <mergeCell ref="A436:F436"/>
    <mergeCell ref="H436:J436"/>
    <mergeCell ref="M436:R436"/>
    <mergeCell ref="T436:V436"/>
    <mergeCell ref="A437:F437"/>
    <mergeCell ref="H437:J437"/>
    <mergeCell ref="M437:R437"/>
    <mergeCell ref="T437:V437"/>
    <mergeCell ref="A434:F434"/>
    <mergeCell ref="M434:R434"/>
    <mergeCell ref="A435:F435"/>
    <mergeCell ref="H435:J435"/>
    <mergeCell ref="M435:R435"/>
    <mergeCell ref="T435:V435"/>
    <mergeCell ref="I431:J431"/>
    <mergeCell ref="U431:V431"/>
    <mergeCell ref="A432:F432"/>
    <mergeCell ref="H432:J432"/>
    <mergeCell ref="M432:R432"/>
    <mergeCell ref="T432:V432"/>
    <mergeCell ref="E429:G429"/>
    <mergeCell ref="I429:J429"/>
    <mergeCell ref="Q429:S429"/>
    <mergeCell ref="U429:V429"/>
    <mergeCell ref="A430:B430"/>
    <mergeCell ref="I430:J430"/>
    <mergeCell ref="M430:N430"/>
    <mergeCell ref="U430:V430"/>
    <mergeCell ref="E427:G427"/>
    <mergeCell ref="I427:J427"/>
    <mergeCell ref="Q427:S427"/>
    <mergeCell ref="U427:V427"/>
    <mergeCell ref="I428:J428"/>
    <mergeCell ref="U428:V428"/>
    <mergeCell ref="E425:G425"/>
    <mergeCell ref="I425:J425"/>
    <mergeCell ref="Q425:S425"/>
    <mergeCell ref="U425:V425"/>
    <mergeCell ref="E426:G426"/>
    <mergeCell ref="I426:J426"/>
    <mergeCell ref="Q426:S426"/>
    <mergeCell ref="U426:V426"/>
    <mergeCell ref="E423:G423"/>
    <mergeCell ref="I423:J423"/>
    <mergeCell ref="Q423:S423"/>
    <mergeCell ref="U423:V423"/>
    <mergeCell ref="A424:B424"/>
    <mergeCell ref="E424:G424"/>
    <mergeCell ref="I424:J424"/>
    <mergeCell ref="M424:N424"/>
    <mergeCell ref="Q424:S424"/>
    <mergeCell ref="U424:V424"/>
    <mergeCell ref="E421:G421"/>
    <mergeCell ref="I421:J421"/>
    <mergeCell ref="Q421:S421"/>
    <mergeCell ref="U421:V421"/>
    <mergeCell ref="E422:G422"/>
    <mergeCell ref="I422:J422"/>
    <mergeCell ref="Q422:S422"/>
    <mergeCell ref="U422:V422"/>
    <mergeCell ref="E419:G419"/>
    <mergeCell ref="I419:J419"/>
    <mergeCell ref="Q419:S419"/>
    <mergeCell ref="U419:V419"/>
    <mergeCell ref="E420:G420"/>
    <mergeCell ref="I420:J420"/>
    <mergeCell ref="Q420:S420"/>
    <mergeCell ref="U420:V420"/>
    <mergeCell ref="A415:K415"/>
    <mergeCell ref="M415:W415"/>
    <mergeCell ref="A416:D416"/>
    <mergeCell ref="F416:I416"/>
    <mergeCell ref="M416:P416"/>
    <mergeCell ref="R416:U416"/>
    <mergeCell ref="A413:D413"/>
    <mergeCell ref="F413:K413"/>
    <mergeCell ref="M413:P413"/>
    <mergeCell ref="R413:W413"/>
    <mergeCell ref="A414:D414"/>
    <mergeCell ref="F414:K414"/>
    <mergeCell ref="M414:P414"/>
    <mergeCell ref="R414:W414"/>
    <mergeCell ref="A411:K411"/>
    <mergeCell ref="M411:W411"/>
    <mergeCell ref="A412:D412"/>
    <mergeCell ref="F412:K412"/>
    <mergeCell ref="M412:P412"/>
    <mergeCell ref="R412:W412"/>
    <mergeCell ref="B406:E406"/>
    <mergeCell ref="N406:Q406"/>
    <mergeCell ref="I407:K407"/>
    <mergeCell ref="U407:W407"/>
    <mergeCell ref="A409:K409"/>
    <mergeCell ref="M409:W409"/>
    <mergeCell ref="A403:F403"/>
    <mergeCell ref="H403:J403"/>
    <mergeCell ref="M403:R403"/>
    <mergeCell ref="T403:V403"/>
    <mergeCell ref="I405:K405"/>
    <mergeCell ref="U405:W405"/>
    <mergeCell ref="A401:F401"/>
    <mergeCell ref="H401:J401"/>
    <mergeCell ref="M401:R401"/>
    <mergeCell ref="T401:V401"/>
    <mergeCell ref="A402:F402"/>
    <mergeCell ref="H402:J402"/>
    <mergeCell ref="M402:R402"/>
    <mergeCell ref="T402:V402"/>
    <mergeCell ref="A399:F399"/>
    <mergeCell ref="H399:J399"/>
    <mergeCell ref="M399:R399"/>
    <mergeCell ref="T399:V399"/>
    <mergeCell ref="A400:F400"/>
    <mergeCell ref="H400:J400"/>
    <mergeCell ref="M400:R400"/>
    <mergeCell ref="T400:V400"/>
    <mergeCell ref="A397:F397"/>
    <mergeCell ref="M397:R397"/>
    <mergeCell ref="A398:F398"/>
    <mergeCell ref="H398:J398"/>
    <mergeCell ref="M398:R398"/>
    <mergeCell ref="T398:V398"/>
    <mergeCell ref="I394:J394"/>
    <mergeCell ref="U394:V394"/>
    <mergeCell ref="A395:F395"/>
    <mergeCell ref="H395:J395"/>
    <mergeCell ref="M395:R395"/>
    <mergeCell ref="T395:V395"/>
    <mergeCell ref="E392:G392"/>
    <mergeCell ref="I392:J392"/>
    <mergeCell ref="Q392:S392"/>
    <mergeCell ref="U392:V392"/>
    <mergeCell ref="A393:B393"/>
    <mergeCell ref="I393:J393"/>
    <mergeCell ref="M393:N393"/>
    <mergeCell ref="U393:V393"/>
    <mergeCell ref="E390:G390"/>
    <mergeCell ref="I390:J390"/>
    <mergeCell ref="Q390:S390"/>
    <mergeCell ref="U390:V390"/>
    <mergeCell ref="I391:J391"/>
    <mergeCell ref="U391:V391"/>
    <mergeCell ref="E388:G388"/>
    <mergeCell ref="I388:J388"/>
    <mergeCell ref="Q388:S388"/>
    <mergeCell ref="U388:V388"/>
    <mergeCell ref="E389:G389"/>
    <mergeCell ref="I389:J389"/>
    <mergeCell ref="Q389:S389"/>
    <mergeCell ref="U389:V389"/>
    <mergeCell ref="E386:G386"/>
    <mergeCell ref="I386:J386"/>
    <mergeCell ref="Q386:S386"/>
    <mergeCell ref="U386:V386"/>
    <mergeCell ref="A387:B387"/>
    <mergeCell ref="E387:G387"/>
    <mergeCell ref="I387:J387"/>
    <mergeCell ref="M387:N387"/>
    <mergeCell ref="Q387:S387"/>
    <mergeCell ref="U387:V387"/>
    <mergeCell ref="E384:G384"/>
    <mergeCell ref="I384:J384"/>
    <mergeCell ref="Q384:S384"/>
    <mergeCell ref="U384:V384"/>
    <mergeCell ref="E385:G385"/>
    <mergeCell ref="I385:J385"/>
    <mergeCell ref="Q385:S385"/>
    <mergeCell ref="U385:V385"/>
    <mergeCell ref="E382:G382"/>
    <mergeCell ref="I382:J382"/>
    <mergeCell ref="Q382:S382"/>
    <mergeCell ref="U382:V382"/>
    <mergeCell ref="E383:G383"/>
    <mergeCell ref="I383:J383"/>
    <mergeCell ref="Q383:S383"/>
    <mergeCell ref="U383:V383"/>
    <mergeCell ref="A378:K378"/>
    <mergeCell ref="M378:W378"/>
    <mergeCell ref="A379:D379"/>
    <mergeCell ref="F379:I379"/>
    <mergeCell ref="M379:P379"/>
    <mergeCell ref="R379:U379"/>
    <mergeCell ref="A376:D376"/>
    <mergeCell ref="F376:K376"/>
    <mergeCell ref="M376:P376"/>
    <mergeCell ref="R376:W376"/>
    <mergeCell ref="A377:D377"/>
    <mergeCell ref="F377:K377"/>
    <mergeCell ref="M377:P377"/>
    <mergeCell ref="R377:W377"/>
    <mergeCell ref="A374:K374"/>
    <mergeCell ref="M374:W374"/>
    <mergeCell ref="A375:D375"/>
    <mergeCell ref="F375:K375"/>
    <mergeCell ref="M375:P375"/>
    <mergeCell ref="R375:W375"/>
    <mergeCell ref="B369:E369"/>
    <mergeCell ref="N369:Q369"/>
    <mergeCell ref="I370:K370"/>
    <mergeCell ref="U370:W370"/>
    <mergeCell ref="A372:K372"/>
    <mergeCell ref="M372:W372"/>
    <mergeCell ref="A366:F366"/>
    <mergeCell ref="H366:J366"/>
    <mergeCell ref="M366:R366"/>
    <mergeCell ref="T366:V366"/>
    <mergeCell ref="I368:K368"/>
    <mergeCell ref="U368:W368"/>
    <mergeCell ref="A364:F364"/>
    <mergeCell ref="H364:J364"/>
    <mergeCell ref="M364:R364"/>
    <mergeCell ref="T364:V364"/>
    <mergeCell ref="A365:F365"/>
    <mergeCell ref="H365:J365"/>
    <mergeCell ref="M365:R365"/>
    <mergeCell ref="T365:V365"/>
    <mergeCell ref="A362:F362"/>
    <mergeCell ref="H362:J362"/>
    <mergeCell ref="M362:R362"/>
    <mergeCell ref="T362:V362"/>
    <mergeCell ref="A363:F363"/>
    <mergeCell ref="H363:J363"/>
    <mergeCell ref="M363:R363"/>
    <mergeCell ref="T363:V363"/>
    <mergeCell ref="A360:F360"/>
    <mergeCell ref="M360:R360"/>
    <mergeCell ref="A361:F361"/>
    <mergeCell ref="H361:J361"/>
    <mergeCell ref="M361:R361"/>
    <mergeCell ref="T361:V361"/>
    <mergeCell ref="I357:J357"/>
    <mergeCell ref="U357:V357"/>
    <mergeCell ref="A358:F358"/>
    <mergeCell ref="H358:J358"/>
    <mergeCell ref="M358:R358"/>
    <mergeCell ref="T358:V358"/>
    <mergeCell ref="E355:G355"/>
    <mergeCell ref="I355:J355"/>
    <mergeCell ref="Q355:S355"/>
    <mergeCell ref="U355:V355"/>
    <mergeCell ref="A356:B356"/>
    <mergeCell ref="I356:J356"/>
    <mergeCell ref="M356:N356"/>
    <mergeCell ref="U356:V356"/>
    <mergeCell ref="E353:G353"/>
    <mergeCell ref="I353:J353"/>
    <mergeCell ref="Q353:S353"/>
    <mergeCell ref="U353:V353"/>
    <mergeCell ref="I354:J354"/>
    <mergeCell ref="U354:V354"/>
    <mergeCell ref="E351:G351"/>
    <mergeCell ref="I351:J351"/>
    <mergeCell ref="Q351:S351"/>
    <mergeCell ref="U351:V351"/>
    <mergeCell ref="E352:G352"/>
    <mergeCell ref="I352:J352"/>
    <mergeCell ref="Q352:S352"/>
    <mergeCell ref="U352:V352"/>
    <mergeCell ref="E349:G349"/>
    <mergeCell ref="I349:J349"/>
    <mergeCell ref="Q349:S349"/>
    <mergeCell ref="U349:V349"/>
    <mergeCell ref="A350:B350"/>
    <mergeCell ref="E350:G350"/>
    <mergeCell ref="I350:J350"/>
    <mergeCell ref="M350:N350"/>
    <mergeCell ref="Q350:S350"/>
    <mergeCell ref="U350:V350"/>
    <mergeCell ref="E347:G347"/>
    <mergeCell ref="I347:J347"/>
    <mergeCell ref="Q347:S347"/>
    <mergeCell ref="U347:V347"/>
    <mergeCell ref="E348:G348"/>
    <mergeCell ref="I348:J348"/>
    <mergeCell ref="Q348:S348"/>
    <mergeCell ref="U348:V348"/>
    <mergeCell ref="E345:G345"/>
    <mergeCell ref="I345:J345"/>
    <mergeCell ref="Q345:S345"/>
    <mergeCell ref="U345:V345"/>
    <mergeCell ref="E346:G346"/>
    <mergeCell ref="I346:J346"/>
    <mergeCell ref="Q346:S346"/>
    <mergeCell ref="U346:V346"/>
    <mergeCell ref="A341:K341"/>
    <mergeCell ref="M341:W341"/>
    <mergeCell ref="A342:D342"/>
    <mergeCell ref="F342:I342"/>
    <mergeCell ref="M342:P342"/>
    <mergeCell ref="R342:U342"/>
    <mergeCell ref="A339:D339"/>
    <mergeCell ref="F339:K339"/>
    <mergeCell ref="M339:P339"/>
    <mergeCell ref="R339:W339"/>
    <mergeCell ref="A340:D340"/>
    <mergeCell ref="F340:K340"/>
    <mergeCell ref="M340:P340"/>
    <mergeCell ref="R340:W340"/>
    <mergeCell ref="A337:K337"/>
    <mergeCell ref="M337:W337"/>
    <mergeCell ref="A338:D338"/>
    <mergeCell ref="F338:K338"/>
    <mergeCell ref="M338:P338"/>
    <mergeCell ref="R338:W338"/>
    <mergeCell ref="B332:E332"/>
    <mergeCell ref="N332:Q332"/>
    <mergeCell ref="I333:K333"/>
    <mergeCell ref="U333:W333"/>
    <mergeCell ref="A335:K335"/>
    <mergeCell ref="M335:W335"/>
    <mergeCell ref="A329:F329"/>
    <mergeCell ref="H329:J329"/>
    <mergeCell ref="M329:R329"/>
    <mergeCell ref="T329:V329"/>
    <mergeCell ref="I331:K331"/>
    <mergeCell ref="U331:W331"/>
    <mergeCell ref="A327:F327"/>
    <mergeCell ref="H327:J327"/>
    <mergeCell ref="M327:R327"/>
    <mergeCell ref="T327:V327"/>
    <mergeCell ref="A328:F328"/>
    <mergeCell ref="H328:J328"/>
    <mergeCell ref="M328:R328"/>
    <mergeCell ref="T328:V328"/>
    <mergeCell ref="A325:F325"/>
    <mergeCell ref="H325:J325"/>
    <mergeCell ref="M325:R325"/>
    <mergeCell ref="T325:V325"/>
    <mergeCell ref="A326:F326"/>
    <mergeCell ref="H326:J326"/>
    <mergeCell ref="M326:R326"/>
    <mergeCell ref="T326:V326"/>
    <mergeCell ref="A323:F323"/>
    <mergeCell ref="M323:R323"/>
    <mergeCell ref="A324:F324"/>
    <mergeCell ref="H324:J324"/>
    <mergeCell ref="M324:R324"/>
    <mergeCell ref="T324:V324"/>
    <mergeCell ref="I320:J320"/>
    <mergeCell ref="U320:V320"/>
    <mergeCell ref="A321:F321"/>
    <mergeCell ref="H321:J321"/>
    <mergeCell ref="M321:R321"/>
    <mergeCell ref="T321:V321"/>
    <mergeCell ref="E318:G318"/>
    <mergeCell ref="I318:J318"/>
    <mergeCell ref="Q318:S318"/>
    <mergeCell ref="U318:V318"/>
    <mergeCell ref="A319:B319"/>
    <mergeCell ref="I319:J319"/>
    <mergeCell ref="M319:N319"/>
    <mergeCell ref="U319:V319"/>
    <mergeCell ref="E316:G316"/>
    <mergeCell ref="I316:J316"/>
    <mergeCell ref="Q316:S316"/>
    <mergeCell ref="U316:V316"/>
    <mergeCell ref="I317:J317"/>
    <mergeCell ref="U317:V317"/>
    <mergeCell ref="E314:G314"/>
    <mergeCell ref="I314:J314"/>
    <mergeCell ref="Q314:S314"/>
    <mergeCell ref="U314:V314"/>
    <mergeCell ref="E315:G315"/>
    <mergeCell ref="I315:J315"/>
    <mergeCell ref="Q315:S315"/>
    <mergeCell ref="U315:V315"/>
    <mergeCell ref="E312:G312"/>
    <mergeCell ref="I312:J312"/>
    <mergeCell ref="Q312:S312"/>
    <mergeCell ref="U312:V312"/>
    <mergeCell ref="A313:B313"/>
    <mergeCell ref="E313:G313"/>
    <mergeCell ref="I313:J313"/>
    <mergeCell ref="M313:N313"/>
    <mergeCell ref="Q313:S313"/>
    <mergeCell ref="U313:V313"/>
    <mergeCell ref="E310:G310"/>
    <mergeCell ref="I310:J310"/>
    <mergeCell ref="Q310:S310"/>
    <mergeCell ref="U310:V310"/>
    <mergeCell ref="E311:G311"/>
    <mergeCell ref="I311:J311"/>
    <mergeCell ref="Q311:S311"/>
    <mergeCell ref="U311:V311"/>
    <mergeCell ref="E308:G308"/>
    <mergeCell ref="I308:J308"/>
    <mergeCell ref="Q308:S308"/>
    <mergeCell ref="U308:V308"/>
    <mergeCell ref="E309:G309"/>
    <mergeCell ref="I309:J309"/>
    <mergeCell ref="Q309:S309"/>
    <mergeCell ref="U309:V309"/>
    <mergeCell ref="A304:K304"/>
    <mergeCell ref="M304:W304"/>
    <mergeCell ref="A305:D305"/>
    <mergeCell ref="F305:I305"/>
    <mergeCell ref="M305:P305"/>
    <mergeCell ref="R305:U305"/>
    <mergeCell ref="A302:D302"/>
    <mergeCell ref="F302:K302"/>
    <mergeCell ref="M302:P302"/>
    <mergeCell ref="R302:W302"/>
    <mergeCell ref="A303:D303"/>
    <mergeCell ref="F303:K303"/>
    <mergeCell ref="M303:P303"/>
    <mergeCell ref="R303:W303"/>
    <mergeCell ref="A300:K300"/>
    <mergeCell ref="M300:W300"/>
    <mergeCell ref="A301:D301"/>
    <mergeCell ref="F301:K301"/>
    <mergeCell ref="M301:P301"/>
    <mergeCell ref="R301:W301"/>
    <mergeCell ref="B295:E295"/>
    <mergeCell ref="N295:Q295"/>
    <mergeCell ref="I296:K296"/>
    <mergeCell ref="U296:W296"/>
    <mergeCell ref="A298:K298"/>
    <mergeCell ref="M298:W298"/>
    <mergeCell ref="A292:F292"/>
    <mergeCell ref="H292:J292"/>
    <mergeCell ref="M292:R292"/>
    <mergeCell ref="T292:V292"/>
    <mergeCell ref="I294:K294"/>
    <mergeCell ref="U294:W294"/>
    <mergeCell ref="A290:F290"/>
    <mergeCell ref="H290:J290"/>
    <mergeCell ref="M290:R290"/>
    <mergeCell ref="T290:V290"/>
    <mergeCell ref="A291:F291"/>
    <mergeCell ref="H291:J291"/>
    <mergeCell ref="M291:R291"/>
    <mergeCell ref="T291:V291"/>
    <mergeCell ref="A288:F288"/>
    <mergeCell ref="H288:J288"/>
    <mergeCell ref="M288:R288"/>
    <mergeCell ref="T288:V288"/>
    <mergeCell ref="A289:F289"/>
    <mergeCell ref="H289:J289"/>
    <mergeCell ref="M289:R289"/>
    <mergeCell ref="T289:V289"/>
    <mergeCell ref="A286:F286"/>
    <mergeCell ref="M286:R286"/>
    <mergeCell ref="A287:F287"/>
    <mergeCell ref="H287:J287"/>
    <mergeCell ref="M287:R287"/>
    <mergeCell ref="T287:V287"/>
    <mergeCell ref="I283:J283"/>
    <mergeCell ref="U283:V283"/>
    <mergeCell ref="A284:F284"/>
    <mergeCell ref="H284:J284"/>
    <mergeCell ref="M284:R284"/>
    <mergeCell ref="T284:V284"/>
    <mergeCell ref="E281:G281"/>
    <mergeCell ref="I281:J281"/>
    <mergeCell ref="Q281:S281"/>
    <mergeCell ref="U281:V281"/>
    <mergeCell ref="A282:B282"/>
    <mergeCell ref="I282:J282"/>
    <mergeCell ref="M282:N282"/>
    <mergeCell ref="U282:V282"/>
    <mergeCell ref="E279:G279"/>
    <mergeCell ref="I279:J279"/>
    <mergeCell ref="Q279:S279"/>
    <mergeCell ref="U279:V279"/>
    <mergeCell ref="I280:J280"/>
    <mergeCell ref="U280:V280"/>
    <mergeCell ref="E277:G277"/>
    <mergeCell ref="I277:J277"/>
    <mergeCell ref="Q277:S277"/>
    <mergeCell ref="U277:V277"/>
    <mergeCell ref="E278:G278"/>
    <mergeCell ref="I278:J278"/>
    <mergeCell ref="Q278:S278"/>
    <mergeCell ref="U278:V278"/>
    <mergeCell ref="E275:G275"/>
    <mergeCell ref="I275:J275"/>
    <mergeCell ref="Q275:S275"/>
    <mergeCell ref="U275:V275"/>
    <mergeCell ref="A276:B276"/>
    <mergeCell ref="E276:G276"/>
    <mergeCell ref="I276:J276"/>
    <mergeCell ref="M276:N276"/>
    <mergeCell ref="Q276:S276"/>
    <mergeCell ref="U276:V276"/>
    <mergeCell ref="E273:G273"/>
    <mergeCell ref="I273:J273"/>
    <mergeCell ref="Q273:S273"/>
    <mergeCell ref="U273:V273"/>
    <mergeCell ref="E274:G274"/>
    <mergeCell ref="I274:J274"/>
    <mergeCell ref="Q274:S274"/>
    <mergeCell ref="U274:V274"/>
    <mergeCell ref="E271:G271"/>
    <mergeCell ref="I271:J271"/>
    <mergeCell ref="Q271:S271"/>
    <mergeCell ref="U271:V271"/>
    <mergeCell ref="E272:G272"/>
    <mergeCell ref="I272:J272"/>
    <mergeCell ref="Q272:S272"/>
    <mergeCell ref="U272:V272"/>
    <mergeCell ref="A267:K267"/>
    <mergeCell ref="M267:W267"/>
    <mergeCell ref="A268:D268"/>
    <mergeCell ref="F268:I268"/>
    <mergeCell ref="M268:P268"/>
    <mergeCell ref="R268:U268"/>
    <mergeCell ref="A265:D265"/>
    <mergeCell ref="F265:K265"/>
    <mergeCell ref="M265:P265"/>
    <mergeCell ref="R265:W265"/>
    <mergeCell ref="A266:D266"/>
    <mergeCell ref="F266:K266"/>
    <mergeCell ref="M266:P266"/>
    <mergeCell ref="R266:W266"/>
    <mergeCell ref="A263:K263"/>
    <mergeCell ref="M263:W263"/>
    <mergeCell ref="A264:D264"/>
    <mergeCell ref="F264:K264"/>
    <mergeCell ref="M264:P264"/>
    <mergeCell ref="R264:W264"/>
    <mergeCell ref="B258:E258"/>
    <mergeCell ref="N258:Q258"/>
    <mergeCell ref="I259:K259"/>
    <mergeCell ref="U259:W259"/>
    <mergeCell ref="A261:K261"/>
    <mergeCell ref="M261:W261"/>
    <mergeCell ref="A255:F255"/>
    <mergeCell ref="H255:J255"/>
    <mergeCell ref="M255:R255"/>
    <mergeCell ref="T255:V255"/>
    <mergeCell ref="I257:K257"/>
    <mergeCell ref="U257:W257"/>
    <mergeCell ref="A253:F253"/>
    <mergeCell ref="H253:J253"/>
    <mergeCell ref="M253:R253"/>
    <mergeCell ref="T253:V253"/>
    <mergeCell ref="A254:F254"/>
    <mergeCell ref="H254:J254"/>
    <mergeCell ref="M254:R254"/>
    <mergeCell ref="T254:V254"/>
    <mergeCell ref="A251:F251"/>
    <mergeCell ref="H251:J251"/>
    <mergeCell ref="M251:R251"/>
    <mergeCell ref="T251:V251"/>
    <mergeCell ref="A252:F252"/>
    <mergeCell ref="H252:J252"/>
    <mergeCell ref="M252:R252"/>
    <mergeCell ref="T252:V252"/>
    <mergeCell ref="A249:F249"/>
    <mergeCell ref="M249:R249"/>
    <mergeCell ref="A250:F250"/>
    <mergeCell ref="H250:J250"/>
    <mergeCell ref="M250:R250"/>
    <mergeCell ref="T250:V250"/>
    <mergeCell ref="I246:J246"/>
    <mergeCell ref="U246:V246"/>
    <mergeCell ref="A247:F247"/>
    <mergeCell ref="H247:J247"/>
    <mergeCell ref="M247:R247"/>
    <mergeCell ref="T247:V247"/>
    <mergeCell ref="E244:G244"/>
    <mergeCell ref="I244:J244"/>
    <mergeCell ref="Q244:S244"/>
    <mergeCell ref="U244:V244"/>
    <mergeCell ref="A245:B245"/>
    <mergeCell ref="I245:J245"/>
    <mergeCell ref="M245:N245"/>
    <mergeCell ref="U245:V245"/>
    <mergeCell ref="E242:G242"/>
    <mergeCell ref="I242:J242"/>
    <mergeCell ref="Q242:S242"/>
    <mergeCell ref="U242:V242"/>
    <mergeCell ref="I243:J243"/>
    <mergeCell ref="U243:V243"/>
    <mergeCell ref="E240:G240"/>
    <mergeCell ref="I240:J240"/>
    <mergeCell ref="Q240:S240"/>
    <mergeCell ref="U240:V240"/>
    <mergeCell ref="E241:G241"/>
    <mergeCell ref="I241:J241"/>
    <mergeCell ref="Q241:S241"/>
    <mergeCell ref="U241:V241"/>
    <mergeCell ref="E238:G238"/>
    <mergeCell ref="I238:J238"/>
    <mergeCell ref="Q238:S238"/>
    <mergeCell ref="U238:V238"/>
    <mergeCell ref="A239:B239"/>
    <mergeCell ref="E239:G239"/>
    <mergeCell ref="I239:J239"/>
    <mergeCell ref="M239:N239"/>
    <mergeCell ref="Q239:S239"/>
    <mergeCell ref="U239:V239"/>
    <mergeCell ref="E236:G236"/>
    <mergeCell ref="I236:J236"/>
    <mergeCell ref="Q236:S236"/>
    <mergeCell ref="U236:V236"/>
    <mergeCell ref="E237:G237"/>
    <mergeCell ref="I237:J237"/>
    <mergeCell ref="Q237:S237"/>
    <mergeCell ref="U237:V237"/>
    <mergeCell ref="E234:G234"/>
    <mergeCell ref="I234:J234"/>
    <mergeCell ref="Q234:S234"/>
    <mergeCell ref="U234:V234"/>
    <mergeCell ref="E235:G235"/>
    <mergeCell ref="I235:J235"/>
    <mergeCell ref="Q235:S235"/>
    <mergeCell ref="U235:V235"/>
    <mergeCell ref="A230:K230"/>
    <mergeCell ref="M230:W230"/>
    <mergeCell ref="A231:D231"/>
    <mergeCell ref="F231:I231"/>
    <mergeCell ref="M231:P231"/>
    <mergeCell ref="R231:U231"/>
    <mergeCell ref="A228:D228"/>
    <mergeCell ref="F228:K228"/>
    <mergeCell ref="M228:P228"/>
    <mergeCell ref="R228:W228"/>
    <mergeCell ref="A229:D229"/>
    <mergeCell ref="F229:K229"/>
    <mergeCell ref="M229:P229"/>
    <mergeCell ref="R229:W229"/>
    <mergeCell ref="A226:K226"/>
    <mergeCell ref="M226:W226"/>
    <mergeCell ref="A227:D227"/>
    <mergeCell ref="F227:K227"/>
    <mergeCell ref="M227:P227"/>
    <mergeCell ref="R227:W227"/>
    <mergeCell ref="B221:E221"/>
    <mergeCell ref="N221:Q221"/>
    <mergeCell ref="I222:K222"/>
    <mergeCell ref="U222:W222"/>
    <mergeCell ref="A224:K224"/>
    <mergeCell ref="M224:W224"/>
    <mergeCell ref="A218:F218"/>
    <mergeCell ref="H218:J218"/>
    <mergeCell ref="M218:R218"/>
    <mergeCell ref="T218:V218"/>
    <mergeCell ref="I220:K220"/>
    <mergeCell ref="U220:W220"/>
    <mergeCell ref="A216:F216"/>
    <mergeCell ref="H216:J216"/>
    <mergeCell ref="M216:R216"/>
    <mergeCell ref="T216:V216"/>
    <mergeCell ref="A217:F217"/>
    <mergeCell ref="H217:J217"/>
    <mergeCell ref="M217:R217"/>
    <mergeCell ref="T217:V217"/>
    <mergeCell ref="A214:F214"/>
    <mergeCell ref="H214:J214"/>
    <mergeCell ref="M214:R214"/>
    <mergeCell ref="T214:V214"/>
    <mergeCell ref="A215:F215"/>
    <mergeCell ref="H215:J215"/>
    <mergeCell ref="M215:R215"/>
    <mergeCell ref="T215:V215"/>
    <mergeCell ref="A212:F212"/>
    <mergeCell ref="M212:R212"/>
    <mergeCell ref="A213:F213"/>
    <mergeCell ref="H213:J213"/>
    <mergeCell ref="M213:R213"/>
    <mergeCell ref="T213:V213"/>
    <mergeCell ref="I209:J209"/>
    <mergeCell ref="U209:V209"/>
    <mergeCell ref="A210:F210"/>
    <mergeCell ref="H210:J210"/>
    <mergeCell ref="M210:R210"/>
    <mergeCell ref="T210:V210"/>
    <mergeCell ref="E207:G207"/>
    <mergeCell ref="I207:J207"/>
    <mergeCell ref="Q207:S207"/>
    <mergeCell ref="U207:V207"/>
    <mergeCell ref="A208:B208"/>
    <mergeCell ref="I208:J208"/>
    <mergeCell ref="M208:N208"/>
    <mergeCell ref="U208:V208"/>
    <mergeCell ref="E205:G205"/>
    <mergeCell ref="I205:J205"/>
    <mergeCell ref="Q205:S205"/>
    <mergeCell ref="U205:V205"/>
    <mergeCell ref="I206:J206"/>
    <mergeCell ref="U206:V206"/>
    <mergeCell ref="E203:G203"/>
    <mergeCell ref="I203:J203"/>
    <mergeCell ref="Q203:S203"/>
    <mergeCell ref="U203:V203"/>
    <mergeCell ref="E204:G204"/>
    <mergeCell ref="I204:J204"/>
    <mergeCell ref="Q204:S204"/>
    <mergeCell ref="U204:V204"/>
    <mergeCell ref="E201:G201"/>
    <mergeCell ref="I201:J201"/>
    <mergeCell ref="Q201:S201"/>
    <mergeCell ref="U201:V201"/>
    <mergeCell ref="A202:B202"/>
    <mergeCell ref="E202:G202"/>
    <mergeCell ref="I202:J202"/>
    <mergeCell ref="M202:N202"/>
    <mergeCell ref="Q202:S202"/>
    <mergeCell ref="U202:V202"/>
    <mergeCell ref="E199:G199"/>
    <mergeCell ref="I199:J199"/>
    <mergeCell ref="Q199:S199"/>
    <mergeCell ref="U199:V199"/>
    <mergeCell ref="E200:G200"/>
    <mergeCell ref="I200:J200"/>
    <mergeCell ref="Q200:S200"/>
    <mergeCell ref="U200:V200"/>
    <mergeCell ref="E197:G197"/>
    <mergeCell ref="I197:J197"/>
    <mergeCell ref="Q197:S197"/>
    <mergeCell ref="U197:V197"/>
    <mergeCell ref="E198:G198"/>
    <mergeCell ref="I198:J198"/>
    <mergeCell ref="Q198:S198"/>
    <mergeCell ref="U198:V198"/>
    <mergeCell ref="A193:K193"/>
    <mergeCell ref="M193:W193"/>
    <mergeCell ref="A194:D194"/>
    <mergeCell ref="F194:I194"/>
    <mergeCell ref="M194:P194"/>
    <mergeCell ref="R194:U194"/>
    <mergeCell ref="A191:D191"/>
    <mergeCell ref="F191:K191"/>
    <mergeCell ref="M191:P191"/>
    <mergeCell ref="R191:W191"/>
    <mergeCell ref="A192:D192"/>
    <mergeCell ref="F192:K192"/>
    <mergeCell ref="M192:P192"/>
    <mergeCell ref="R192:W192"/>
    <mergeCell ref="A189:K189"/>
    <mergeCell ref="M189:W189"/>
    <mergeCell ref="A190:D190"/>
    <mergeCell ref="F190:K190"/>
    <mergeCell ref="M190:P190"/>
    <mergeCell ref="R190:W190"/>
    <mergeCell ref="B184:E184"/>
    <mergeCell ref="N184:Q184"/>
    <mergeCell ref="I185:K185"/>
    <mergeCell ref="U185:W185"/>
    <mergeCell ref="A187:K187"/>
    <mergeCell ref="M187:W187"/>
    <mergeCell ref="A181:F181"/>
    <mergeCell ref="H181:J181"/>
    <mergeCell ref="M181:R181"/>
    <mergeCell ref="T181:V181"/>
    <mergeCell ref="I183:K183"/>
    <mergeCell ref="U183:W183"/>
    <mergeCell ref="A179:F179"/>
    <mergeCell ref="H179:J179"/>
    <mergeCell ref="M179:R179"/>
    <mergeCell ref="T179:V179"/>
    <mergeCell ref="A180:F180"/>
    <mergeCell ref="H180:J180"/>
    <mergeCell ref="M180:R180"/>
    <mergeCell ref="T180:V180"/>
    <mergeCell ref="A177:F177"/>
    <mergeCell ref="H177:J177"/>
    <mergeCell ref="M177:R177"/>
    <mergeCell ref="T177:V177"/>
    <mergeCell ref="A178:F178"/>
    <mergeCell ref="H178:J178"/>
    <mergeCell ref="M178:R178"/>
    <mergeCell ref="T178:V178"/>
    <mergeCell ref="A175:F175"/>
    <mergeCell ref="M175:R175"/>
    <mergeCell ref="A176:F176"/>
    <mergeCell ref="H176:J176"/>
    <mergeCell ref="M176:R176"/>
    <mergeCell ref="T176:V176"/>
    <mergeCell ref="I172:J172"/>
    <mergeCell ref="U172:V172"/>
    <mergeCell ref="A173:F173"/>
    <mergeCell ref="H173:J173"/>
    <mergeCell ref="M173:R173"/>
    <mergeCell ref="T173:V173"/>
    <mergeCell ref="E170:G170"/>
    <mergeCell ref="I170:J170"/>
    <mergeCell ref="Q170:S170"/>
    <mergeCell ref="U170:V170"/>
    <mergeCell ref="A171:B171"/>
    <mergeCell ref="I171:J171"/>
    <mergeCell ref="M171:N171"/>
    <mergeCell ref="U171:V171"/>
    <mergeCell ref="E168:G168"/>
    <mergeCell ref="I168:J168"/>
    <mergeCell ref="Q168:S168"/>
    <mergeCell ref="U168:V168"/>
    <mergeCell ref="I169:J169"/>
    <mergeCell ref="U169:V169"/>
    <mergeCell ref="E166:G166"/>
    <mergeCell ref="I166:J166"/>
    <mergeCell ref="Q166:S166"/>
    <mergeCell ref="U166:V166"/>
    <mergeCell ref="E167:G167"/>
    <mergeCell ref="I167:J167"/>
    <mergeCell ref="Q167:S167"/>
    <mergeCell ref="U167:V167"/>
    <mergeCell ref="E164:G164"/>
    <mergeCell ref="I164:J164"/>
    <mergeCell ref="Q164:S164"/>
    <mergeCell ref="U164:V164"/>
    <mergeCell ref="A165:B165"/>
    <mergeCell ref="E165:G165"/>
    <mergeCell ref="I165:J165"/>
    <mergeCell ref="M165:N165"/>
    <mergeCell ref="Q165:S165"/>
    <mergeCell ref="U165:V165"/>
    <mergeCell ref="E162:G162"/>
    <mergeCell ref="I162:J162"/>
    <mergeCell ref="Q162:S162"/>
    <mergeCell ref="U162:V162"/>
    <mergeCell ref="E163:G163"/>
    <mergeCell ref="I163:J163"/>
    <mergeCell ref="Q163:S163"/>
    <mergeCell ref="U163:V163"/>
    <mergeCell ref="E160:G160"/>
    <mergeCell ref="I160:J160"/>
    <mergeCell ref="Q160:S160"/>
    <mergeCell ref="U160:V160"/>
    <mergeCell ref="E161:G161"/>
    <mergeCell ref="I161:J161"/>
    <mergeCell ref="Q161:S161"/>
    <mergeCell ref="U161:V161"/>
    <mergeCell ref="A156:K156"/>
    <mergeCell ref="M156:W156"/>
    <mergeCell ref="A157:D157"/>
    <mergeCell ref="F157:I157"/>
    <mergeCell ref="M157:P157"/>
    <mergeCell ref="R157:U157"/>
    <mergeCell ref="A154:D154"/>
    <mergeCell ref="F154:K154"/>
    <mergeCell ref="M154:P154"/>
    <mergeCell ref="R154:W154"/>
    <mergeCell ref="A155:D155"/>
    <mergeCell ref="F155:K155"/>
    <mergeCell ref="M155:P155"/>
    <mergeCell ref="R155:W155"/>
    <mergeCell ref="A152:K152"/>
    <mergeCell ref="M152:W152"/>
    <mergeCell ref="A153:D153"/>
    <mergeCell ref="F153:K153"/>
    <mergeCell ref="M153:P153"/>
    <mergeCell ref="R153:W153"/>
    <mergeCell ref="B147:E147"/>
    <mergeCell ref="N147:Q147"/>
    <mergeCell ref="I148:K148"/>
    <mergeCell ref="U148:W148"/>
    <mergeCell ref="A150:K150"/>
    <mergeCell ref="M150:W150"/>
    <mergeCell ref="A144:F144"/>
    <mergeCell ref="H144:J144"/>
    <mergeCell ref="M144:R144"/>
    <mergeCell ref="T144:V144"/>
    <mergeCell ref="I146:K146"/>
    <mergeCell ref="U146:W146"/>
    <mergeCell ref="A142:F142"/>
    <mergeCell ref="H142:J142"/>
    <mergeCell ref="M142:R142"/>
    <mergeCell ref="T142:V142"/>
    <mergeCell ref="A143:F143"/>
    <mergeCell ref="H143:J143"/>
    <mergeCell ref="M143:R143"/>
    <mergeCell ref="T143:V143"/>
    <mergeCell ref="A140:F140"/>
    <mergeCell ref="H140:J140"/>
    <mergeCell ref="M140:R140"/>
    <mergeCell ref="T140:V140"/>
    <mergeCell ref="A141:F141"/>
    <mergeCell ref="H141:J141"/>
    <mergeCell ref="M141:R141"/>
    <mergeCell ref="T141:V141"/>
    <mergeCell ref="A138:F138"/>
    <mergeCell ref="M138:R138"/>
    <mergeCell ref="A139:F139"/>
    <mergeCell ref="H139:J139"/>
    <mergeCell ref="M139:R139"/>
    <mergeCell ref="T139:V139"/>
    <mergeCell ref="I135:J135"/>
    <mergeCell ref="U135:V135"/>
    <mergeCell ref="A136:F136"/>
    <mergeCell ref="H136:J136"/>
    <mergeCell ref="M136:R136"/>
    <mergeCell ref="T136:V136"/>
    <mergeCell ref="E133:G133"/>
    <mergeCell ref="I133:J133"/>
    <mergeCell ref="Q133:S133"/>
    <mergeCell ref="U133:V133"/>
    <mergeCell ref="A134:B134"/>
    <mergeCell ref="I134:J134"/>
    <mergeCell ref="M134:N134"/>
    <mergeCell ref="U134:V134"/>
    <mergeCell ref="E131:G131"/>
    <mergeCell ref="I131:J131"/>
    <mergeCell ref="Q131:S131"/>
    <mergeCell ref="U131:V131"/>
    <mergeCell ref="I132:J132"/>
    <mergeCell ref="U132:V132"/>
    <mergeCell ref="E129:G129"/>
    <mergeCell ref="I129:J129"/>
    <mergeCell ref="Q129:S129"/>
    <mergeCell ref="U129:V129"/>
    <mergeCell ref="E130:G130"/>
    <mergeCell ref="I130:J130"/>
    <mergeCell ref="Q130:S130"/>
    <mergeCell ref="U130:V130"/>
    <mergeCell ref="E127:G127"/>
    <mergeCell ref="I127:J127"/>
    <mergeCell ref="Q127:S127"/>
    <mergeCell ref="U127:V127"/>
    <mergeCell ref="A128:B128"/>
    <mergeCell ref="E128:G128"/>
    <mergeCell ref="I128:J128"/>
    <mergeCell ref="M128:N128"/>
    <mergeCell ref="Q128:S128"/>
    <mergeCell ref="U128:V128"/>
    <mergeCell ref="E125:G125"/>
    <mergeCell ref="I125:J125"/>
    <mergeCell ref="Q125:S125"/>
    <mergeCell ref="U125:V125"/>
    <mergeCell ref="E126:G126"/>
    <mergeCell ref="I126:J126"/>
    <mergeCell ref="Q126:S126"/>
    <mergeCell ref="U126:V126"/>
    <mergeCell ref="E123:G123"/>
    <mergeCell ref="I123:J123"/>
    <mergeCell ref="Q123:S123"/>
    <mergeCell ref="U123:V123"/>
    <mergeCell ref="E124:G124"/>
    <mergeCell ref="I124:J124"/>
    <mergeCell ref="Q124:S124"/>
    <mergeCell ref="U124:V124"/>
    <mergeCell ref="A119:K119"/>
    <mergeCell ref="M119:W119"/>
    <mergeCell ref="A120:D120"/>
    <mergeCell ref="F120:I120"/>
    <mergeCell ref="M120:P120"/>
    <mergeCell ref="R120:U120"/>
    <mergeCell ref="A117:D117"/>
    <mergeCell ref="F117:K117"/>
    <mergeCell ref="M117:P117"/>
    <mergeCell ref="R117:W117"/>
    <mergeCell ref="A118:D118"/>
    <mergeCell ref="F118:K118"/>
    <mergeCell ref="M118:P118"/>
    <mergeCell ref="R118:W118"/>
    <mergeCell ref="A115:K115"/>
    <mergeCell ref="M115:W115"/>
    <mergeCell ref="A116:D116"/>
    <mergeCell ref="F116:K116"/>
    <mergeCell ref="M116:P116"/>
    <mergeCell ref="R116:W116"/>
    <mergeCell ref="B110:E110"/>
    <mergeCell ref="N110:Q110"/>
    <mergeCell ref="I111:K111"/>
    <mergeCell ref="U111:W111"/>
    <mergeCell ref="A113:K113"/>
    <mergeCell ref="M113:W113"/>
    <mergeCell ref="A107:F107"/>
    <mergeCell ref="H107:J107"/>
    <mergeCell ref="M107:R107"/>
    <mergeCell ref="T107:V107"/>
    <mergeCell ref="I109:K109"/>
    <mergeCell ref="U109:W109"/>
    <mergeCell ref="A105:F105"/>
    <mergeCell ref="H105:J105"/>
    <mergeCell ref="M105:R105"/>
    <mergeCell ref="T105:V105"/>
    <mergeCell ref="A106:F106"/>
    <mergeCell ref="H106:J106"/>
    <mergeCell ref="M106:R106"/>
    <mergeCell ref="T106:V106"/>
    <mergeCell ref="A103:F103"/>
    <mergeCell ref="H103:J103"/>
    <mergeCell ref="M103:R103"/>
    <mergeCell ref="T103:V103"/>
    <mergeCell ref="A104:F104"/>
    <mergeCell ref="H104:J104"/>
    <mergeCell ref="M104:R104"/>
    <mergeCell ref="T104:V104"/>
    <mergeCell ref="A101:F101"/>
    <mergeCell ref="M101:R101"/>
    <mergeCell ref="A102:F102"/>
    <mergeCell ref="H102:J102"/>
    <mergeCell ref="M102:R102"/>
    <mergeCell ref="T102:V102"/>
    <mergeCell ref="I98:J98"/>
    <mergeCell ref="U98:V98"/>
    <mergeCell ref="A99:F99"/>
    <mergeCell ref="H99:J99"/>
    <mergeCell ref="M99:R99"/>
    <mergeCell ref="T99:V99"/>
    <mergeCell ref="E96:G96"/>
    <mergeCell ref="I96:J96"/>
    <mergeCell ref="Q96:S96"/>
    <mergeCell ref="U96:V96"/>
    <mergeCell ref="A97:B97"/>
    <mergeCell ref="I97:J97"/>
    <mergeCell ref="M97:N97"/>
    <mergeCell ref="U97:V97"/>
    <mergeCell ref="E94:G94"/>
    <mergeCell ref="I94:J94"/>
    <mergeCell ref="Q94:S94"/>
    <mergeCell ref="U94:V94"/>
    <mergeCell ref="I95:J95"/>
    <mergeCell ref="U95:V95"/>
    <mergeCell ref="E92:G92"/>
    <mergeCell ref="I92:J92"/>
    <mergeCell ref="Q92:S92"/>
    <mergeCell ref="U92:V92"/>
    <mergeCell ref="E93:G93"/>
    <mergeCell ref="I93:J93"/>
    <mergeCell ref="Q93:S93"/>
    <mergeCell ref="U93:V93"/>
    <mergeCell ref="E90:G90"/>
    <mergeCell ref="I90:J90"/>
    <mergeCell ref="Q90:S90"/>
    <mergeCell ref="U90:V90"/>
    <mergeCell ref="A91:B91"/>
    <mergeCell ref="E91:G91"/>
    <mergeCell ref="I91:J91"/>
    <mergeCell ref="M91:N91"/>
    <mergeCell ref="Q91:S91"/>
    <mergeCell ref="U91:V91"/>
    <mergeCell ref="E88:G88"/>
    <mergeCell ref="I88:J88"/>
    <mergeCell ref="Q88:S88"/>
    <mergeCell ref="U88:V88"/>
    <mergeCell ref="E89:G89"/>
    <mergeCell ref="I89:J89"/>
    <mergeCell ref="Q89:S89"/>
    <mergeCell ref="U89:V89"/>
    <mergeCell ref="E86:G86"/>
    <mergeCell ref="I86:J86"/>
    <mergeCell ref="Q86:S86"/>
    <mergeCell ref="U86:V86"/>
    <mergeCell ref="E87:G87"/>
    <mergeCell ref="I87:J87"/>
    <mergeCell ref="Q87:S87"/>
    <mergeCell ref="U87:V87"/>
    <mergeCell ref="A82:K82"/>
    <mergeCell ref="M82:W82"/>
    <mergeCell ref="A83:D83"/>
    <mergeCell ref="F83:I83"/>
    <mergeCell ref="M83:P83"/>
    <mergeCell ref="R83:U83"/>
    <mergeCell ref="A80:D80"/>
    <mergeCell ref="F80:K80"/>
    <mergeCell ref="M80:P80"/>
    <mergeCell ref="R80:W80"/>
    <mergeCell ref="A81:D81"/>
    <mergeCell ref="F81:K81"/>
    <mergeCell ref="M81:P81"/>
    <mergeCell ref="R81:W81"/>
    <mergeCell ref="A78:K78"/>
    <mergeCell ref="M78:W78"/>
    <mergeCell ref="A79:D79"/>
    <mergeCell ref="F79:K79"/>
    <mergeCell ref="M79:P79"/>
    <mergeCell ref="R79:W79"/>
    <mergeCell ref="B73:E73"/>
    <mergeCell ref="N73:Q73"/>
    <mergeCell ref="I74:K74"/>
    <mergeCell ref="U74:W74"/>
    <mergeCell ref="A76:K76"/>
    <mergeCell ref="M76:W76"/>
    <mergeCell ref="A70:F70"/>
    <mergeCell ref="H70:J70"/>
    <mergeCell ref="M70:R70"/>
    <mergeCell ref="T70:V70"/>
    <mergeCell ref="I72:K72"/>
    <mergeCell ref="U72:W72"/>
    <mergeCell ref="A68:F68"/>
    <mergeCell ref="H68:J68"/>
    <mergeCell ref="M68:R68"/>
    <mergeCell ref="T68:V68"/>
    <mergeCell ref="A69:F69"/>
    <mergeCell ref="H69:J69"/>
    <mergeCell ref="M69:R69"/>
    <mergeCell ref="T69:V69"/>
    <mergeCell ref="A66:F66"/>
    <mergeCell ref="H66:J66"/>
    <mergeCell ref="M66:R66"/>
    <mergeCell ref="T66:V66"/>
    <mergeCell ref="A67:F67"/>
    <mergeCell ref="H67:J67"/>
    <mergeCell ref="M67:R67"/>
    <mergeCell ref="T67:V67"/>
    <mergeCell ref="A64:F64"/>
    <mergeCell ref="M64:R64"/>
    <mergeCell ref="A65:F65"/>
    <mergeCell ref="H65:J65"/>
    <mergeCell ref="M65:R65"/>
    <mergeCell ref="T65:V65"/>
    <mergeCell ref="I61:J61"/>
    <mergeCell ref="U61:V61"/>
    <mergeCell ref="A62:F62"/>
    <mergeCell ref="H62:J62"/>
    <mergeCell ref="M62:R62"/>
    <mergeCell ref="T62:V62"/>
    <mergeCell ref="E59:G59"/>
    <mergeCell ref="I59:J59"/>
    <mergeCell ref="Q59:S59"/>
    <mergeCell ref="U59:V59"/>
    <mergeCell ref="A60:B60"/>
    <mergeCell ref="I60:J60"/>
    <mergeCell ref="M60:N60"/>
    <mergeCell ref="U60:V60"/>
    <mergeCell ref="E57:G57"/>
    <mergeCell ref="I57:J57"/>
    <mergeCell ref="Q57:S57"/>
    <mergeCell ref="U57:V57"/>
    <mergeCell ref="I58:J58"/>
    <mergeCell ref="U58:V58"/>
    <mergeCell ref="E55:G55"/>
    <mergeCell ref="I55:J55"/>
    <mergeCell ref="Q55:S55"/>
    <mergeCell ref="U55:V55"/>
    <mergeCell ref="E56:G56"/>
    <mergeCell ref="I56:J56"/>
    <mergeCell ref="Q56:S56"/>
    <mergeCell ref="U56:V56"/>
    <mergeCell ref="E53:G53"/>
    <mergeCell ref="I53:J53"/>
    <mergeCell ref="Q53:S53"/>
    <mergeCell ref="U53:V53"/>
    <mergeCell ref="A54:B54"/>
    <mergeCell ref="E54:G54"/>
    <mergeCell ref="I54:J54"/>
    <mergeCell ref="M54:N54"/>
    <mergeCell ref="Q54:S54"/>
    <mergeCell ref="U54:V54"/>
    <mergeCell ref="E51:G51"/>
    <mergeCell ref="I51:J51"/>
    <mergeCell ref="Q51:S51"/>
    <mergeCell ref="U51:V51"/>
    <mergeCell ref="E52:G52"/>
    <mergeCell ref="I52:J52"/>
    <mergeCell ref="Q52:S52"/>
    <mergeCell ref="U52:V52"/>
    <mergeCell ref="E49:G49"/>
    <mergeCell ref="I49:J49"/>
    <mergeCell ref="Q49:S49"/>
    <mergeCell ref="U49:V49"/>
    <mergeCell ref="E50:G50"/>
    <mergeCell ref="I50:J50"/>
    <mergeCell ref="Q50:S50"/>
    <mergeCell ref="U50:V50"/>
    <mergeCell ref="A45:K45"/>
    <mergeCell ref="M45:W45"/>
    <mergeCell ref="A46:D46"/>
    <mergeCell ref="F46:I46"/>
    <mergeCell ref="M46:P46"/>
    <mergeCell ref="R46:U46"/>
    <mergeCell ref="A43:D43"/>
    <mergeCell ref="F43:K43"/>
    <mergeCell ref="M43:P43"/>
    <mergeCell ref="R43:W43"/>
    <mergeCell ref="A44:D44"/>
    <mergeCell ref="F44:K44"/>
    <mergeCell ref="M44:P44"/>
    <mergeCell ref="R44:W44"/>
    <mergeCell ref="A41:K41"/>
    <mergeCell ref="M41:W41"/>
    <mergeCell ref="A42:D42"/>
    <mergeCell ref="F42:K42"/>
    <mergeCell ref="M42:P42"/>
    <mergeCell ref="R42:W42"/>
    <mergeCell ref="B35:E35"/>
    <mergeCell ref="N35:Q35"/>
    <mergeCell ref="I36:K36"/>
    <mergeCell ref="U36:W36"/>
    <mergeCell ref="A39:K39"/>
    <mergeCell ref="M39:W39"/>
    <mergeCell ref="A32:F32"/>
    <mergeCell ref="H32:J32"/>
    <mergeCell ref="M32:R32"/>
    <mergeCell ref="T32:V32"/>
    <mergeCell ref="I34:K34"/>
    <mergeCell ref="U34:W34"/>
    <mergeCell ref="A30:F30"/>
    <mergeCell ref="H30:J30"/>
    <mergeCell ref="M30:R30"/>
    <mergeCell ref="T30:V30"/>
    <mergeCell ref="A31:F31"/>
    <mergeCell ref="H31:J31"/>
    <mergeCell ref="M31:R31"/>
    <mergeCell ref="T31:V31"/>
    <mergeCell ref="A28:F28"/>
    <mergeCell ref="H28:J28"/>
    <mergeCell ref="M28:R28"/>
    <mergeCell ref="T28:V28"/>
    <mergeCell ref="A29:F29"/>
    <mergeCell ref="H29:J29"/>
    <mergeCell ref="M29:R29"/>
    <mergeCell ref="T29:V29"/>
    <mergeCell ref="A26:F26"/>
    <mergeCell ref="M26:R26"/>
    <mergeCell ref="A27:F27"/>
    <mergeCell ref="H27:J27"/>
    <mergeCell ref="M27:R27"/>
    <mergeCell ref="T27:V27"/>
    <mergeCell ref="I23:J23"/>
    <mergeCell ref="U23:V23"/>
    <mergeCell ref="A24:F24"/>
    <mergeCell ref="H24:J24"/>
    <mergeCell ref="M24:R24"/>
    <mergeCell ref="T24:V24"/>
    <mergeCell ref="E21:G21"/>
    <mergeCell ref="I21:J21"/>
    <mergeCell ref="Q21:S21"/>
    <mergeCell ref="U21:V21"/>
    <mergeCell ref="A22:B22"/>
    <mergeCell ref="I22:J22"/>
    <mergeCell ref="M22:N22"/>
    <mergeCell ref="U22:V22"/>
    <mergeCell ref="E19:G19"/>
    <mergeCell ref="I19:J19"/>
    <mergeCell ref="Q19:S19"/>
    <mergeCell ref="U19:V19"/>
    <mergeCell ref="I20:J20"/>
    <mergeCell ref="U20:V20"/>
    <mergeCell ref="E17:G17"/>
    <mergeCell ref="I17:J17"/>
    <mergeCell ref="Q17:S17"/>
    <mergeCell ref="U17:V17"/>
    <mergeCell ref="E18:G18"/>
    <mergeCell ref="I18:J18"/>
    <mergeCell ref="Q18:S18"/>
    <mergeCell ref="U18:V18"/>
    <mergeCell ref="E15:G15"/>
    <mergeCell ref="I15:J15"/>
    <mergeCell ref="Q15:S15"/>
    <mergeCell ref="U15:V15"/>
    <mergeCell ref="A16:B16"/>
    <mergeCell ref="E16:G16"/>
    <mergeCell ref="I16:J16"/>
    <mergeCell ref="M16:N16"/>
    <mergeCell ref="Q16:S16"/>
    <mergeCell ref="U16:V16"/>
    <mergeCell ref="E14:G14"/>
    <mergeCell ref="I14:J14"/>
    <mergeCell ref="Q14:S14"/>
    <mergeCell ref="U14:V14"/>
    <mergeCell ref="E11:G11"/>
    <mergeCell ref="I11:J11"/>
    <mergeCell ref="Q11:S11"/>
    <mergeCell ref="U11:V11"/>
    <mergeCell ref="E12:G12"/>
    <mergeCell ref="I12:J12"/>
    <mergeCell ref="Q12:S12"/>
    <mergeCell ref="U12:V12"/>
    <mergeCell ref="A7:K7"/>
    <mergeCell ref="M7:W7"/>
    <mergeCell ref="A8:D8"/>
    <mergeCell ref="F8:I8"/>
    <mergeCell ref="M8:P8"/>
    <mergeCell ref="R8:U8"/>
    <mergeCell ref="A5:D5"/>
    <mergeCell ref="F5:K5"/>
    <mergeCell ref="M5:P5"/>
    <mergeCell ref="R5:W5"/>
    <mergeCell ref="A6:D6"/>
    <mergeCell ref="F6:K6"/>
    <mergeCell ref="M6:P6"/>
    <mergeCell ref="R6:W6"/>
    <mergeCell ref="A1:K1"/>
    <mergeCell ref="M1:W1"/>
    <mergeCell ref="A3:K3"/>
    <mergeCell ref="M3:W3"/>
    <mergeCell ref="A4:D4"/>
    <mergeCell ref="F4:K4"/>
    <mergeCell ref="M4:P4"/>
    <mergeCell ref="R4:W4"/>
    <mergeCell ref="E13:G13"/>
    <mergeCell ref="I13:J13"/>
    <mergeCell ref="Q13:S13"/>
    <mergeCell ref="U13:V13"/>
  </mergeCells>
  <pageMargins left="0.28000000000000003" right="0.2" top="0.23999999999999996" bottom="0.75" header="0.3" footer="0.3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Bang TH nop</vt:lpstr>
      <vt:lpstr>LƯƠNG Tx</vt:lpstr>
      <vt:lpstr>Phieu lương</vt:lpstr>
      <vt:lpstr>'Phieu lương'!Print_Area</vt:lpstr>
      <vt:lpstr>'Bang TH nop'!Print_Titles</vt:lpstr>
      <vt:lpstr>'LƯƠNG Tx'!Print_Titles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Le</dc:creator>
  <cp:lastModifiedBy>Bảo Bảo</cp:lastModifiedBy>
  <dcterms:created xsi:type="dcterms:W3CDTF">2015-06-05T18:17:20Z</dcterms:created>
  <dcterms:modified xsi:type="dcterms:W3CDTF">2026-05-21T16:11:51Z</dcterms:modified>
</cp:coreProperties>
</file>